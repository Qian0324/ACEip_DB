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55"/>
  </bookViews>
  <sheets>
    <sheet name="ACEiP_Properties"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<sst xmlns="http://schemas.openxmlformats.org/spreadsheetml/2006/main" count="3080" uniqueCount="2415">
  <si>
    <t>Seq</t>
  </si>
  <si>
    <t>length</t>
  </si>
  <si>
    <t>ic50</t>
  </si>
  <si>
    <t>reference</t>
  </si>
  <si>
    <t>doi</t>
  </si>
  <si>
    <t>PubMedID</t>
  </si>
  <si>
    <t>MW (Da)</t>
  </si>
  <si>
    <t>pI</t>
  </si>
  <si>
    <t>Charge (pH7)</t>
  </si>
  <si>
    <t>GRAVY</t>
  </si>
  <si>
    <t>Instability</t>
  </si>
  <si>
    <t>Hydrophobic%</t>
  </si>
  <si>
    <t>Boman Index</t>
  </si>
  <si>
    <t>Helix%</t>
  </si>
  <si>
    <t>Turn%</t>
  </si>
  <si>
    <t>Sheet%</t>
  </si>
  <si>
    <t>&lt;GABA&gt;&lt;GABA&gt;P</t>
  </si>
  <si>
    <t>&lt;GABA&gt;&lt;Thea&gt;P</t>
  </si>
  <si>
    <t>&lt;Thea&gt;&lt;GABA&gt;P</t>
  </si>
  <si>
    <t>&lt;Thea&gt;&lt;Thea&gt;P</t>
  </si>
  <si>
    <t>AA</t>
  </si>
  <si>
    <t>51.4 μM</t>
  </si>
  <si>
    <t>AAAPVAVAK</t>
  </si>
  <si>
    <t>AAIFPGGF</t>
  </si>
  <si>
    <t>AAP</t>
  </si>
  <si>
    <t>0 μM</t>
  </si>
  <si>
    <t>ACHP</t>
  </si>
  <si>
    <t>360.7 μM</t>
  </si>
  <si>
    <t>AD</t>
  </si>
  <si>
    <t>ADA</t>
  </si>
  <si>
    <t>ADW</t>
  </si>
  <si>
    <t>&lt;10 μM</t>
  </si>
  <si>
    <t>AEFGS</t>
  </si>
  <si>
    <t>AEL</t>
  </si>
  <si>
    <t>57.1 μM</t>
  </si>
  <si>
    <t>AF</t>
  </si>
  <si>
    <t>&lt;20 mM</t>
  </si>
  <si>
    <t>AFDAVGVK</t>
  </si>
  <si>
    <t>AFKAWAVAR</t>
  </si>
  <si>
    <t>1.7 μM</t>
  </si>
  <si>
    <t>AFKDEDTEEVPFR</t>
  </si>
  <si>
    <t>AFL</t>
  </si>
  <si>
    <t>AFP</t>
  </si>
  <si>
    <t>610 μM</t>
  </si>
  <si>
    <t>AFPGS</t>
  </si>
  <si>
    <t>3.7 μM</t>
  </si>
  <si>
    <t>AFPRS</t>
  </si>
  <si>
    <t>AFVGYVLP</t>
  </si>
  <si>
    <t>AG</t>
  </si>
  <si>
    <t>AGLAPY</t>
  </si>
  <si>
    <t>AGLP</t>
  </si>
  <si>
    <t>382-&gt;1000 μM</t>
  </si>
  <si>
    <t>AGP</t>
  </si>
  <si>
    <t>AGS</t>
  </si>
  <si>
    <t>527.9 μM</t>
  </si>
  <si>
    <t>AGSP</t>
  </si>
  <si>
    <t>11.6 μM/L</t>
  </si>
  <si>
    <t>AGSS</t>
  </si>
  <si>
    <t>672.1 μM</t>
  </si>
  <si>
    <t>AGTTCLFTPLALPYDYSH</t>
  </si>
  <si>
    <t>AGW</t>
  </si>
  <si>
    <t>AH</t>
  </si>
  <si>
    <t>0 0</t>
  </si>
  <si>
    <t>AHEPVK</t>
  </si>
  <si>
    <t>62.8 μM</t>
  </si>
  <si>
    <t>AHHP</t>
  </si>
  <si>
    <t>847.6 μM</t>
  </si>
  <si>
    <t>AHLL</t>
  </si>
  <si>
    <t>0.231 mg/ml</t>
  </si>
  <si>
    <t>AHSY</t>
  </si>
  <si>
    <t>AI</t>
  </si>
  <si>
    <t>3.41 μM</t>
  </si>
  <si>
    <t>AIGVGAIER</t>
  </si>
  <si>
    <t>AIP</t>
  </si>
  <si>
    <t>350 μM</t>
  </si>
  <si>
    <t>AIPP</t>
  </si>
  <si>
    <t>900 μM</t>
  </si>
  <si>
    <t>AITAKL</t>
  </si>
  <si>
    <t>AIYK</t>
  </si>
  <si>
    <t>213 μM</t>
  </si>
  <si>
    <t>AKC</t>
  </si>
  <si>
    <t>AKDQG</t>
  </si>
  <si>
    <t>AKK</t>
  </si>
  <si>
    <t>AKLEK</t>
  </si>
  <si>
    <t>227.46 μM</t>
  </si>
  <si>
    <t>AKP</t>
  </si>
  <si>
    <t>AKPEG</t>
  </si>
  <si>
    <t>AKSCQ</t>
  </si>
  <si>
    <t>AKYCY</t>
  </si>
  <si>
    <t>19.95 μM</t>
  </si>
  <si>
    <t>AKYSY</t>
  </si>
  <si>
    <t>1.5 μM</t>
  </si>
  <si>
    <t>AL</t>
  </si>
  <si>
    <t>ALAFQ</t>
  </si>
  <si>
    <t>165.96 μM</t>
  </si>
  <si>
    <t>ALEP</t>
  </si>
  <si>
    <t>6320 μM</t>
  </si>
  <si>
    <t>ALKAWSVAR</t>
  </si>
  <si>
    <t>3 μM</t>
  </si>
  <si>
    <t>ALNEINQFY</t>
  </si>
  <si>
    <t>219 μM</t>
  </si>
  <si>
    <t>ALNEINQFYQK</t>
  </si>
  <si>
    <t>264 μM</t>
  </si>
  <si>
    <t>ALP</t>
  </si>
  <si>
    <t>ALPHA</t>
  </si>
  <si>
    <t>10 μM</t>
  </si>
  <si>
    <t>ALPM</t>
  </si>
  <si>
    <t>928 μM</t>
  </si>
  <si>
    <t>ALPMH</t>
  </si>
  <si>
    <t>521 μM</t>
  </si>
  <si>
    <t>ALPMHIR</t>
  </si>
  <si>
    <t>42.6 μM</t>
  </si>
  <si>
    <t>ALPP</t>
  </si>
  <si>
    <t>AMKPW</t>
  </si>
  <si>
    <t>580 μM</t>
  </si>
  <si>
    <t>AMKPWIQPK</t>
  </si>
  <si>
    <t>600 μM</t>
  </si>
  <si>
    <t>AMPKPW</t>
  </si>
  <si>
    <t>AMQS</t>
  </si>
  <si>
    <t>&gt;1 mM</t>
  </si>
  <si>
    <t>ANPAVVRP</t>
  </si>
  <si>
    <t>25 μM</t>
  </si>
  <si>
    <t>ANSSIL</t>
  </si>
  <si>
    <t>AP</t>
  </si>
  <si>
    <t>APGAGVY</t>
  </si>
  <si>
    <t>5.1 μM</t>
  </si>
  <si>
    <t>APGAPGPVG</t>
  </si>
  <si>
    <t>APP</t>
  </si>
  <si>
    <t>4.6 μM</t>
  </si>
  <si>
    <t>APSAK</t>
  </si>
  <si>
    <t>326 μM</t>
  </si>
  <si>
    <t>APVPP</t>
  </si>
  <si>
    <t>630.96 μM</t>
  </si>
  <si>
    <t>AQK</t>
  </si>
  <si>
    <t>AQL</t>
  </si>
  <si>
    <t>AQQLAAQLPAMCR</t>
  </si>
  <si>
    <t>AQTQSL</t>
  </si>
  <si>
    <t>AQTQSLVYP</t>
  </si>
  <si>
    <t>76 μM</t>
  </si>
  <si>
    <t>AR</t>
  </si>
  <si>
    <t>95.5 μM</t>
  </si>
  <si>
    <t>ARCRG</t>
  </si>
  <si>
    <t>ARF</t>
  </si>
  <si>
    <t>ARHEI</t>
  </si>
  <si>
    <t>ARHPHPHLSF</t>
  </si>
  <si>
    <t>ARP</t>
  </si>
  <si>
    <t>ARPAK</t>
  </si>
  <si>
    <t>19.05 μM</t>
  </si>
  <si>
    <t>ARPSR</t>
  </si>
  <si>
    <t>ARY</t>
  </si>
  <si>
    <t>ASP</t>
  </si>
  <si>
    <t>242.3 μM</t>
  </si>
  <si>
    <t>ASQSIWLPGWL</t>
  </si>
  <si>
    <t>ASVRT</t>
  </si>
  <si>
    <t>ASW</t>
  </si>
  <si>
    <t>ASYDTKF</t>
  </si>
  <si>
    <t>920 μM</t>
  </si>
  <si>
    <t>ATF</t>
  </si>
  <si>
    <t>9.6 μM</t>
  </si>
  <si>
    <t>AV</t>
  </si>
  <si>
    <t>15 %(800μM)</t>
  </si>
  <si>
    <t>AVESTVATL</t>
  </si>
  <si>
    <t>AVF</t>
  </si>
  <si>
    <t>2123 μM</t>
  </si>
  <si>
    <t>AVL</t>
  </si>
  <si>
    <t>AVNPIR</t>
  </si>
  <si>
    <t>13 μM</t>
  </si>
  <si>
    <t>AVP</t>
  </si>
  <si>
    <t>AVPYP</t>
  </si>
  <si>
    <t>80 μM</t>
  </si>
  <si>
    <t>AVPYPQ</t>
  </si>
  <si>
    <t>AVPYPQP</t>
  </si>
  <si>
    <t>AVPYPQR</t>
  </si>
  <si>
    <t>15 μM</t>
  </si>
  <si>
    <t>AVV</t>
  </si>
  <si>
    <t>66.6 μM</t>
  </si>
  <si>
    <t>AVVRP</t>
  </si>
  <si>
    <t>74 μM</t>
  </si>
  <si>
    <t>AW</t>
  </si>
  <si>
    <t>AWPF</t>
  </si>
  <si>
    <t>18.3 μM</t>
  </si>
  <si>
    <t>AWPQ</t>
  </si>
  <si>
    <t>AWW</t>
  </si>
  <si>
    <t>6.5 μM</t>
  </si>
  <si>
    <t>AY</t>
  </si>
  <si>
    <t>AYEES</t>
  </si>
  <si>
    <t>AYFTPE</t>
  </si>
  <si>
    <t>104.71 μM</t>
  </si>
  <si>
    <t>AYFY</t>
  </si>
  <si>
    <t>AYFYP</t>
  </si>
  <si>
    <t>500 μM</t>
  </si>
  <si>
    <t>AYFYPE</t>
  </si>
  <si>
    <t>106 μM</t>
  </si>
  <si>
    <t>AYFYPEL</t>
  </si>
  <si>
    <t>6.58 μM</t>
  </si>
  <si>
    <t>AYFYPELF</t>
  </si>
  <si>
    <t>AYIASKGL</t>
  </si>
  <si>
    <t>34.67 μM</t>
  </si>
  <si>
    <t>AYKRQ</t>
  </si>
  <si>
    <t>AYLQAQQLLPFNQLVRSPAA</t>
  </si>
  <si>
    <t>AYP</t>
  </si>
  <si>
    <t>AYPQQ</t>
  </si>
  <si>
    <t>AYTGV</t>
  </si>
  <si>
    <t>AYTQQ</t>
  </si>
  <si>
    <t>AYW</t>
  </si>
  <si>
    <t>CF</t>
  </si>
  <si>
    <t>0.4 mg/ml</t>
  </si>
  <si>
    <t>CFCTKPC</t>
  </si>
  <si>
    <t>1.31 μM</t>
  </si>
  <si>
    <t>CMENSA</t>
  </si>
  <si>
    <t>788 μM</t>
  </si>
  <si>
    <t>CRQNTLGHNTQTSIAQ</t>
  </si>
  <si>
    <t>CVTPALR</t>
  </si>
  <si>
    <t>26.84 mg/ml</t>
  </si>
  <si>
    <t>CWLPVY</t>
  </si>
  <si>
    <t>22.2 μM</t>
  </si>
  <si>
    <t>DA</t>
  </si>
  <si>
    <t>3800 μM</t>
  </si>
  <si>
    <t>DAQSAPLRVY</t>
  </si>
  <si>
    <t>12.2 μM</t>
  </si>
  <si>
    <t>DAYPSGA</t>
  </si>
  <si>
    <t>DAYPSGAW</t>
  </si>
  <si>
    <t>98 μM</t>
  </si>
  <si>
    <t>DDTGHDFEDTGEAM</t>
  </si>
  <si>
    <t>0.63 mg/ml</t>
  </si>
  <si>
    <t>DELQDKIHPFAQTQSLVYPFPGPIPNS</t>
  </si>
  <si>
    <t>4 mM/L</t>
  </si>
  <si>
    <t>DERF</t>
  </si>
  <si>
    <t>DF</t>
  </si>
  <si>
    <t>DFG</t>
  </si>
  <si>
    <t>DFHINQ</t>
  </si>
  <si>
    <t>50.4 mg/ml</t>
  </si>
  <si>
    <t>DFK</t>
  </si>
  <si>
    <t>DG</t>
  </si>
  <si>
    <t>DGL</t>
  </si>
  <si>
    <t>DHPFL</t>
  </si>
  <si>
    <t>6.2 μM</t>
  </si>
  <si>
    <t>DHPFLF</t>
  </si>
  <si>
    <t>DIGYY</t>
  </si>
  <si>
    <t>3.39 μM</t>
  </si>
  <si>
    <t>DIKQME</t>
  </si>
  <si>
    <t>DK</t>
  </si>
  <si>
    <t>510 μM</t>
  </si>
  <si>
    <t>DKIHP</t>
  </si>
  <si>
    <t>113 μM</t>
  </si>
  <si>
    <t>DKIHPF</t>
  </si>
  <si>
    <t>256.8 μM</t>
  </si>
  <si>
    <t>DKIYPSFQPQPLIYP</t>
  </si>
  <si>
    <t>107 μM</t>
  </si>
  <si>
    <t>DKVGINY</t>
  </si>
  <si>
    <t>99.9 μM</t>
  </si>
  <si>
    <t>DKVGINYW</t>
  </si>
  <si>
    <t>25.4 μM</t>
  </si>
  <si>
    <t>DL</t>
  </si>
  <si>
    <t>DLP</t>
  </si>
  <si>
    <t>DLQGK</t>
  </si>
  <si>
    <t>DLRPDNAKA</t>
  </si>
  <si>
    <t>DLTDY</t>
  </si>
  <si>
    <t>143 μM</t>
  </si>
  <si>
    <t>DM</t>
  </si>
  <si>
    <t>DMIPAQK</t>
  </si>
  <si>
    <t>45 μM</t>
  </si>
  <si>
    <t>DMSVF</t>
  </si>
  <si>
    <t>DP</t>
  </si>
  <si>
    <t>2.15 μM</t>
  </si>
  <si>
    <t>DQVFPMNPPK</t>
  </si>
  <si>
    <t>DRVYIHPFHL</t>
  </si>
  <si>
    <t>75.86 μM</t>
  </si>
  <si>
    <t>DV</t>
  </si>
  <si>
    <t>DVENLHLPLPL</t>
  </si>
  <si>
    <t>DVENLHLPLPLLQSW</t>
  </si>
  <si>
    <t>DVPSERY</t>
  </si>
  <si>
    <t>DVPSERYLG</t>
  </si>
  <si>
    <t>DW</t>
  </si>
  <si>
    <t>DWGP</t>
  </si>
  <si>
    <t>DY</t>
  </si>
  <si>
    <t>DYG</t>
  </si>
  <si>
    <t>DYGLYP</t>
  </si>
  <si>
    <t>62 μM</t>
  </si>
  <si>
    <t>DYLRSC</t>
  </si>
  <si>
    <t>DYVGN</t>
  </si>
  <si>
    <t>0.72 μM</t>
  </si>
  <si>
    <t>EA</t>
  </si>
  <si>
    <t>10000 μM</t>
  </si>
  <si>
    <t>EAP</t>
  </si>
  <si>
    <t>EDENNPFYLR</t>
  </si>
  <si>
    <t>730 μM</t>
  </si>
  <si>
    <t>EEAGG</t>
  </si>
  <si>
    <t>EG</t>
  </si>
  <si>
    <t>EGEPR</t>
  </si>
  <si>
    <t>728.2 ± 6.6 μM</t>
  </si>
  <si>
    <t>EGGPKP</t>
  </si>
  <si>
    <t>EGPKLVAS</t>
  </si>
  <si>
    <t>17.5 μM</t>
  </si>
  <si>
    <t>EI</t>
  </si>
  <si>
    <t>EIAKLM</t>
  </si>
  <si>
    <t>EIVPNSAEERLH</t>
  </si>
  <si>
    <t>EK</t>
  </si>
  <si>
    <t>EKDERF</t>
  </si>
  <si>
    <t>10.0-848.0 μM</t>
  </si>
  <si>
    <t>EKERERQ</t>
  </si>
  <si>
    <t>552.5 552.5</t>
  </si>
  <si>
    <t>EKV</t>
  </si>
  <si>
    <t>EKVNELSK</t>
  </si>
  <si>
    <t>ELEELNVPGE</t>
  </si>
  <si>
    <t>EMPFPK</t>
  </si>
  <si>
    <t>423 mg/ml</t>
  </si>
  <si>
    <t>EMPFPKYPVEP</t>
  </si>
  <si>
    <t>ENGLPVHLDQSIFRR</t>
  </si>
  <si>
    <t>ENGLPVHLDQSIFRRP</t>
  </si>
  <si>
    <t>ENLHLP</t>
  </si>
  <si>
    <t>&gt;1000 μM</t>
  </si>
  <si>
    <t>ENLHLPLP</t>
  </si>
  <si>
    <t>155 μM</t>
  </si>
  <si>
    <t>ENLHLPLPLL</t>
  </si>
  <si>
    <t>250 μM</t>
  </si>
  <si>
    <t>ENLLRF</t>
  </si>
  <si>
    <t>82.4 μM</t>
  </si>
  <si>
    <t>ENLLRFFVAPFPEVFG</t>
  </si>
  <si>
    <t>EP</t>
  </si>
  <si>
    <t>1200 μM</t>
  </si>
  <si>
    <t>EPIPYGFLP</t>
  </si>
  <si>
    <t>180 μM</t>
  </si>
  <si>
    <t>EPR</t>
  </si>
  <si>
    <t>EPVLGPVRGPFP</t>
  </si>
  <si>
    <t>790 μM</t>
  </si>
  <si>
    <t>EQGFLPGPEESGR</t>
  </si>
  <si>
    <t>ER</t>
  </si>
  <si>
    <t>667 μM</t>
  </si>
  <si>
    <t>ERF</t>
  </si>
  <si>
    <t>ERGDT</t>
  </si>
  <si>
    <t>ERKIKVYL</t>
  </si>
  <si>
    <t>1.2 μM</t>
  </si>
  <si>
    <t>ERVL</t>
  </si>
  <si>
    <t>200.3 μM</t>
  </si>
  <si>
    <t>ERY</t>
  </si>
  <si>
    <t>ERYPI</t>
  </si>
  <si>
    <t>6.59-27.38 μM</t>
  </si>
  <si>
    <t>ESIIAF</t>
  </si>
  <si>
    <t>ESIINF</t>
  </si>
  <si>
    <t>ETNGQ</t>
  </si>
  <si>
    <t>ETSGMKPTEL</t>
  </si>
  <si>
    <t>EV</t>
  </si>
  <si>
    <t>EVLNENLLRF</t>
  </si>
  <si>
    <t>EVLP</t>
  </si>
  <si>
    <t>EVMAGNLYPG</t>
  </si>
  <si>
    <t>18.4 μM</t>
  </si>
  <si>
    <t>EVMAGNYLPG</t>
  </si>
  <si>
    <t>2.98 μM</t>
  </si>
  <si>
    <t>EVPK</t>
  </si>
  <si>
    <t>1.73 μM</t>
  </si>
  <si>
    <t>EW</t>
  </si>
  <si>
    <t>EWPRPQIPP</t>
  </si>
  <si>
    <t>EY</t>
  </si>
  <si>
    <t>FAGDDAPRR</t>
  </si>
  <si>
    <t>FAL</t>
  </si>
  <si>
    <t>FALPC</t>
  </si>
  <si>
    <t>690.9 ± 5.3 μM</t>
  </si>
  <si>
    <t>FALPQY</t>
  </si>
  <si>
    <t>4.3 μM</t>
  </si>
  <si>
    <t>FALPQYLK</t>
  </si>
  <si>
    <t>FAP</t>
  </si>
  <si>
    <t>FAQTQS</t>
  </si>
  <si>
    <t>FAQTQSLVYP</t>
  </si>
  <si>
    <t>FAVP</t>
  </si>
  <si>
    <t>FCF</t>
  </si>
  <si>
    <t>11 μM</t>
  </si>
  <si>
    <t>FCLYELAR</t>
  </si>
  <si>
    <t>FCVLRP</t>
  </si>
  <si>
    <t>12.3 μM</t>
  </si>
  <si>
    <t>FDK</t>
  </si>
  <si>
    <t>FDKA</t>
  </si>
  <si>
    <t>FDKLPGFGD</t>
  </si>
  <si>
    <t>FDKPVSPL</t>
  </si>
  <si>
    <t>FE</t>
  </si>
  <si>
    <t>FEDYVPLSCF</t>
  </si>
  <si>
    <t>10.77 μM</t>
  </si>
  <si>
    <t>FEGTVFENG</t>
  </si>
  <si>
    <t>FEP</t>
  </si>
  <si>
    <t>FF</t>
  </si>
  <si>
    <t>FFF</t>
  </si>
  <si>
    <t>FFG</t>
  </si>
  <si>
    <t>FFGRCVSP</t>
  </si>
  <si>
    <t>0.4 μM</t>
  </si>
  <si>
    <t>FFGVRCVSP</t>
  </si>
  <si>
    <t>FFL</t>
  </si>
  <si>
    <t>FFVAP</t>
  </si>
  <si>
    <t>6 μM</t>
  </si>
  <si>
    <t>FFVAPFEVFGK</t>
  </si>
  <si>
    <t>77 μM</t>
  </si>
  <si>
    <t>FFVAPFPEVFGK</t>
  </si>
  <si>
    <t>18 μM</t>
  </si>
  <si>
    <t>FFVAPFPFEVFGK</t>
  </si>
  <si>
    <t>FFVAPFPGVFGK</t>
  </si>
  <si>
    <t>FFVAPFPQVFGF</t>
  </si>
  <si>
    <t>FFYY</t>
  </si>
  <si>
    <t>FG</t>
  </si>
  <si>
    <t>FGASTRGA</t>
  </si>
  <si>
    <t>14.7 μM</t>
  </si>
  <si>
    <t>FGF</t>
  </si>
  <si>
    <t>FGG</t>
  </si>
  <si>
    <t>82.5 μM</t>
  </si>
  <si>
    <t>FGGIDDINQIGQSD</t>
  </si>
  <si>
    <t>0.070 mg/ml</t>
  </si>
  <si>
    <t>FGK</t>
  </si>
  <si>
    <t>FGRCVSP</t>
  </si>
  <si>
    <t>0.4-15 μM</t>
  </si>
  <si>
    <t>FHERDPTHIKWGD</t>
  </si>
  <si>
    <t>2.8 μM</t>
  </si>
  <si>
    <t>FHG</t>
  </si>
  <si>
    <t>52.3 mg/ml</t>
  </si>
  <si>
    <t>FHSGIQSEPKAIP</t>
  </si>
  <si>
    <t>FI</t>
  </si>
  <si>
    <t>FIV</t>
  </si>
  <si>
    <t>FK</t>
  </si>
  <si>
    <t>265.43 μM</t>
  </si>
  <si>
    <t>FKC</t>
  </si>
  <si>
    <t>FKGRYYP</t>
  </si>
  <si>
    <t>0.32-14 μM</t>
  </si>
  <si>
    <t>FKP</t>
  </si>
  <si>
    <t>FL</t>
  </si>
  <si>
    <t>FLKPLFNAALKLLP</t>
  </si>
  <si>
    <t>FLP</t>
  </si>
  <si>
    <t>FLPP</t>
  </si>
  <si>
    <t>FLPYPYY</t>
  </si>
  <si>
    <t>FLVPP</t>
  </si>
  <si>
    <t>12.02 μM</t>
  </si>
  <si>
    <t>FNE</t>
  </si>
  <si>
    <t>FNF</t>
  </si>
  <si>
    <t>FNQ</t>
  </si>
  <si>
    <t>335 μM</t>
  </si>
  <si>
    <t>FNQLAALNSAAYLQQQQLLPFSQLA</t>
  </si>
  <si>
    <t>FNVPLYE</t>
  </si>
  <si>
    <t>7.72 μM</t>
  </si>
  <si>
    <t>FNVPLYEFSY</t>
  </si>
  <si>
    <t>365 mg/ml</t>
  </si>
  <si>
    <t>FNW</t>
  </si>
  <si>
    <t>FP</t>
  </si>
  <si>
    <t>FPE</t>
  </si>
  <si>
    <t>FPEVFGK</t>
  </si>
  <si>
    <t>90.6 μM</t>
  </si>
  <si>
    <t>FPF</t>
  </si>
  <si>
    <t>FPFEVFGK</t>
  </si>
  <si>
    <t>FPK</t>
  </si>
  <si>
    <t>FPMNP</t>
  </si>
  <si>
    <t>FPMNPPK</t>
  </si>
  <si>
    <t>FPP</t>
  </si>
  <si>
    <t>FPPQSVL</t>
  </si>
  <si>
    <t>FPQYLQY</t>
  </si>
  <si>
    <t>14 μM</t>
  </si>
  <si>
    <t>FQ</t>
  </si>
  <si>
    <t>FQKPKR</t>
  </si>
  <si>
    <t>FQKVVA</t>
  </si>
  <si>
    <t>5.8 μM</t>
  </si>
  <si>
    <t>FQKVVA(K)</t>
  </si>
  <si>
    <t>FQKVVAG</t>
  </si>
  <si>
    <t>7.4 μM</t>
  </si>
  <si>
    <t>FQKVVAK</t>
  </si>
  <si>
    <t>2.1 μM</t>
  </si>
  <si>
    <t>FQP</t>
  </si>
  <si>
    <t>FQPQPLIYP</t>
  </si>
  <si>
    <t>1.8 μM</t>
  </si>
  <si>
    <t>FR</t>
  </si>
  <si>
    <t>FRADHPFL</t>
  </si>
  <si>
    <t>3.2 μM</t>
  </si>
  <si>
    <t>FRADHPPL</t>
  </si>
  <si>
    <t>FRADPFL</t>
  </si>
  <si>
    <t>FRAHPFL</t>
  </si>
  <si>
    <t>FRC</t>
  </si>
  <si>
    <t>7 μM</t>
  </si>
  <si>
    <t>FREGD</t>
  </si>
  <si>
    <t>FRGLMHY</t>
  </si>
  <si>
    <t>0.81 mg/ml</t>
  </si>
  <si>
    <t>FRHEA</t>
  </si>
  <si>
    <t>FRQF</t>
  </si>
  <si>
    <t>FRQFYQL</t>
  </si>
  <si>
    <t>FRVPTPN</t>
  </si>
  <si>
    <t>9.55 μM</t>
  </si>
  <si>
    <t>FSDKIAKYIPIQ</t>
  </si>
  <si>
    <t>FSQ</t>
  </si>
  <si>
    <t>FSY</t>
  </si>
  <si>
    <t>0.0255 mg/ml</t>
  </si>
  <si>
    <t>FTDVDFIK</t>
  </si>
  <si>
    <t>0.42 μM</t>
  </si>
  <si>
    <t>FTESQS</t>
  </si>
  <si>
    <t>FTY</t>
  </si>
  <si>
    <t>0.0009 mg/ml</t>
  </si>
  <si>
    <t>FV</t>
  </si>
  <si>
    <t>FVAP</t>
  </si>
  <si>
    <t>FVAPFP</t>
  </si>
  <si>
    <t>FVAPFPEV</t>
  </si>
  <si>
    <t>475.89 ± 41.73 μM</t>
  </si>
  <si>
    <t>FVAPFPEVF</t>
  </si>
  <si>
    <t>FVAPFPEVFG</t>
  </si>
  <si>
    <t>FVAPFPEVFGK</t>
  </si>
  <si>
    <t>FVAPFPEVFGKEKVNE</t>
  </si>
  <si>
    <t>FVAPFPEVFGKEKVNELSKDIGS</t>
  </si>
  <si>
    <t>FVAPFPEVFGKEKVNELSKDIGSE</t>
  </si>
  <si>
    <t>FVEPIP</t>
  </si>
  <si>
    <t>FVNPEAGS</t>
  </si>
  <si>
    <t>6.92 μM</t>
  </si>
  <si>
    <t>FVNPQAGS</t>
  </si>
  <si>
    <t>6.9 μM</t>
  </si>
  <si>
    <t>FVVAPFPEVF</t>
  </si>
  <si>
    <t>FW</t>
  </si>
  <si>
    <t>3.9 μM</t>
  </si>
  <si>
    <t>FWN</t>
  </si>
  <si>
    <t>FY</t>
  </si>
  <si>
    <t>FYN</t>
  </si>
  <si>
    <t>FYPEL</t>
  </si>
  <si>
    <t>FYQLDA</t>
  </si>
  <si>
    <t>FYQQ</t>
  </si>
  <si>
    <t>FYTGG</t>
  </si>
  <si>
    <t>3.8 μM</t>
  </si>
  <si>
    <t>GA</t>
  </si>
  <si>
    <t>GAAELPCSADWW</t>
  </si>
  <si>
    <t>0.95 μM</t>
  </si>
  <si>
    <t>GAP</t>
  </si>
  <si>
    <t>9.3 μM</t>
  </si>
  <si>
    <t>GAPGLPGP</t>
  </si>
  <si>
    <t>29.4 μM</t>
  </si>
  <si>
    <t>GAPGPAGPGGIPGERG</t>
  </si>
  <si>
    <t>45.6 μM</t>
  </si>
  <si>
    <t>GAVGPSG</t>
  </si>
  <si>
    <t>GAW</t>
  </si>
  <si>
    <t>240 μM</t>
  </si>
  <si>
    <t>GCETR</t>
  </si>
  <si>
    <t>GD</t>
  </si>
  <si>
    <t>GDAP</t>
  </si>
  <si>
    <t>GDLGKTTTVSNWSPPKYKDTP</t>
  </si>
  <si>
    <t>11.28 μM</t>
  </si>
  <si>
    <t>GE</t>
  </si>
  <si>
    <t>GEG</t>
  </si>
  <si>
    <t>GEGGP</t>
  </si>
  <si>
    <t>0.044 mg/ml</t>
  </si>
  <si>
    <t>GEHGGAGMGGGQFQPV</t>
  </si>
  <si>
    <t>GEP</t>
  </si>
  <si>
    <t>GETGPAGPAGAAGPAGPR</t>
  </si>
  <si>
    <t>GF</t>
  </si>
  <si>
    <t>GFF</t>
  </si>
  <si>
    <t>GFG</t>
  </si>
  <si>
    <t>GFHI</t>
  </si>
  <si>
    <t>64.0 mg/ml</t>
  </si>
  <si>
    <t>GFPGTPGLPGF</t>
  </si>
  <si>
    <t>436 μM</t>
  </si>
  <si>
    <t>GFR</t>
  </si>
  <si>
    <t>94.25 μM</t>
  </si>
  <si>
    <t>GG</t>
  </si>
  <si>
    <t>GGF</t>
  </si>
  <si>
    <t>GGG</t>
  </si>
  <si>
    <t>GGL</t>
  </si>
  <si>
    <t>GGP</t>
  </si>
  <si>
    <t>GGRPTY</t>
  </si>
  <si>
    <t>GGV</t>
  </si>
  <si>
    <t>GGVIPN</t>
  </si>
  <si>
    <t>0.74 μM</t>
  </si>
  <si>
    <t>GGY</t>
  </si>
  <si>
    <t>GH</t>
  </si>
  <si>
    <t>GHF</t>
  </si>
  <si>
    <t>1001 μM</t>
  </si>
  <si>
    <t>GHG</t>
  </si>
  <si>
    <t>122 μM</t>
  </si>
  <si>
    <t>GHKIATFQER</t>
  </si>
  <si>
    <t>GHKIATFQQR</t>
  </si>
  <si>
    <t>GHS</t>
  </si>
  <si>
    <t>0.52 ± 0.01 mg/ml</t>
  </si>
  <si>
    <t>GI</t>
  </si>
  <si>
    <t>GINYWLAHK</t>
  </si>
  <si>
    <t>GIPGERGPVGPSG</t>
  </si>
  <si>
    <t>43.4 μM</t>
  </si>
  <si>
    <t>GIQSEPKAIP</t>
  </si>
  <si>
    <t>GK</t>
  </si>
  <si>
    <t>GKEIIVKAQR</t>
  </si>
  <si>
    <t>66.07 μM</t>
  </si>
  <si>
    <t>GKEKV</t>
  </si>
  <si>
    <t>GKEKVNELSKDI</t>
  </si>
  <si>
    <t>GKKIATYQER</t>
  </si>
  <si>
    <t>2 μM</t>
  </si>
  <si>
    <t>GKKVLQ</t>
  </si>
  <si>
    <t>1.9 μM</t>
  </si>
  <si>
    <t>GKMVKVVSWY</t>
  </si>
  <si>
    <t>6.76 μM</t>
  </si>
  <si>
    <t>GKP</t>
  </si>
  <si>
    <t>GKV</t>
  </si>
  <si>
    <t>GKWG</t>
  </si>
  <si>
    <t>GL</t>
  </si>
  <si>
    <t>GLDIQK</t>
  </si>
  <si>
    <t>GLFG</t>
  </si>
  <si>
    <t>GLG</t>
  </si>
  <si>
    <t>GLL</t>
  </si>
  <si>
    <t>GLP</t>
  </si>
  <si>
    <t>1.62 μM</t>
  </si>
  <si>
    <t>GLPGSRGERGLPG</t>
  </si>
  <si>
    <t>60.8 μM</t>
  </si>
  <si>
    <t>GLSDGEWQ</t>
  </si>
  <si>
    <t>117.6 mg/ml</t>
  </si>
  <si>
    <t>GLTGRPGDAGPQGK</t>
  </si>
  <si>
    <t>GLY</t>
  </si>
  <si>
    <t>GM</t>
  </si>
  <si>
    <t>GMGA</t>
  </si>
  <si>
    <t>GNPVGGVGHGTTGT</t>
  </si>
  <si>
    <t>GP</t>
  </si>
  <si>
    <t>GPA</t>
  </si>
  <si>
    <t>405 μM</t>
  </si>
  <si>
    <t>GPAGAP</t>
  </si>
  <si>
    <t>8.3 mM</t>
  </si>
  <si>
    <t>GPAGAPGAA</t>
  </si>
  <si>
    <t>37 μM</t>
  </si>
  <si>
    <t>GPAM</t>
  </si>
  <si>
    <t>1.3 mg/ml</t>
  </si>
  <si>
    <t>GPCSR</t>
  </si>
  <si>
    <t>61.67 μM</t>
  </si>
  <si>
    <t>GPEGPAGAR</t>
  </si>
  <si>
    <t>GPFPIIV</t>
  </si>
  <si>
    <t>GPFPILV</t>
  </si>
  <si>
    <t>424 μM</t>
  </si>
  <si>
    <t>GPG</t>
  </si>
  <si>
    <t>GPIGPP</t>
  </si>
  <si>
    <t>123.4 μM</t>
  </si>
  <si>
    <t>GPIGSVGAP</t>
  </si>
  <si>
    <t>31.8 mM</t>
  </si>
  <si>
    <t>GPL</t>
  </si>
  <si>
    <t>GPLGLLGFLGPLGLS</t>
  </si>
  <si>
    <t>90.03 μM</t>
  </si>
  <si>
    <t>GPM</t>
  </si>
  <si>
    <t>GPP</t>
  </si>
  <si>
    <t>GPPGAP</t>
  </si>
  <si>
    <t>8.6 mM</t>
  </si>
  <si>
    <t>GPPGPP</t>
  </si>
  <si>
    <t>11.3 mM</t>
  </si>
  <si>
    <t>GPPGTDGAP</t>
  </si>
  <si>
    <t>10.5 mM</t>
  </si>
  <si>
    <t>GPPP</t>
  </si>
  <si>
    <t>0.86 μM</t>
  </si>
  <si>
    <t>GPR</t>
  </si>
  <si>
    <t>GPSMR</t>
  </si>
  <si>
    <t>277.5 μM</t>
  </si>
  <si>
    <t>GPTGPAGP</t>
  </si>
  <si>
    <t>GPV</t>
  </si>
  <si>
    <t>GPVGPA</t>
  </si>
  <si>
    <t>GPVRGPF</t>
  </si>
  <si>
    <t>GPVRGPFP</t>
  </si>
  <si>
    <t>GPVRGPFPII</t>
  </si>
  <si>
    <t>GPVRGPFPIIV</t>
  </si>
  <si>
    <t>GQ</t>
  </si>
  <si>
    <t>GQLGEHGGAGMG</t>
  </si>
  <si>
    <t>GQMRQPI</t>
  </si>
  <si>
    <t>GQP</t>
  </si>
  <si>
    <t>GQY</t>
  </si>
  <si>
    <t>52.3 μM</t>
  </si>
  <si>
    <t>GR</t>
  </si>
  <si>
    <t>GRC</t>
  </si>
  <si>
    <t>GRP</t>
  </si>
  <si>
    <t>GRVMP</t>
  </si>
  <si>
    <t>179.67 μM</t>
  </si>
  <si>
    <t>GRY</t>
  </si>
  <si>
    <t>GS</t>
  </si>
  <si>
    <t>GSAGPAGPSGPRGP</t>
  </si>
  <si>
    <t>GSH</t>
  </si>
  <si>
    <t>GT</t>
  </si>
  <si>
    <t>GTEKC</t>
  </si>
  <si>
    <t>GTG</t>
  </si>
  <si>
    <t>5.54 μM</t>
  </si>
  <si>
    <t>GTW</t>
  </si>
  <si>
    <t>464 μM</t>
  </si>
  <si>
    <t>GV</t>
  </si>
  <si>
    <t>GVGAGY</t>
  </si>
  <si>
    <t>4.07 μM</t>
  </si>
  <si>
    <t>GVGY</t>
  </si>
  <si>
    <t>35 μM</t>
  </si>
  <si>
    <t>GVHGV</t>
  </si>
  <si>
    <t>GVHHA</t>
  </si>
  <si>
    <t>71.8 μM</t>
  </si>
  <si>
    <t>GVNGEEGVPG</t>
  </si>
  <si>
    <t>GVPK</t>
  </si>
  <si>
    <t>GVPKVKETMVPK</t>
  </si>
  <si>
    <t>376.1 μM</t>
  </si>
  <si>
    <t>GVPKVKETMVPKH</t>
  </si>
  <si>
    <t>223.2 μM</t>
  </si>
  <si>
    <t>GVQGPM</t>
  </si>
  <si>
    <t>736.7 ± 4.8 μM</t>
  </si>
  <si>
    <t>GVSLPEW</t>
  </si>
  <si>
    <t>30 μM</t>
  </si>
  <si>
    <t>GVV</t>
  </si>
  <si>
    <t>GVW</t>
  </si>
  <si>
    <t>GVY</t>
  </si>
  <si>
    <t>GVYPH</t>
  </si>
  <si>
    <t>2511.89 μM</t>
  </si>
  <si>
    <t>GVYPHK</t>
  </si>
  <si>
    <t>1.6 μM</t>
  </si>
  <si>
    <t>GW</t>
  </si>
  <si>
    <t>GWAP</t>
  </si>
  <si>
    <t>3.86 μM</t>
  </si>
  <si>
    <t>GY</t>
  </si>
  <si>
    <t>GYALPHA</t>
  </si>
  <si>
    <t>27.3 μM</t>
  </si>
  <si>
    <t>GYG</t>
  </si>
  <si>
    <t>GYK</t>
  </si>
  <si>
    <t>160 μM</t>
  </si>
  <si>
    <t>GYY</t>
  </si>
  <si>
    <t>HAEIN</t>
  </si>
  <si>
    <t>HANENIF</t>
  </si>
  <si>
    <t>HDHM</t>
  </si>
  <si>
    <t>276.2 μM</t>
  </si>
  <si>
    <t>HERDPTHIKWGD</t>
  </si>
  <si>
    <t>8 μM</t>
  </si>
  <si>
    <t>HG</t>
  </si>
  <si>
    <t>HGLF</t>
  </si>
  <si>
    <t>HHL</t>
  </si>
  <si>
    <t>HHT</t>
  </si>
  <si>
    <t>HIK</t>
  </si>
  <si>
    <t>&gt;100 μM</t>
  </si>
  <si>
    <t>HIKW</t>
  </si>
  <si>
    <t>HIKWGD</t>
  </si>
  <si>
    <t>50 μM</t>
  </si>
  <si>
    <t>HIR</t>
  </si>
  <si>
    <t>HIRL</t>
  </si>
  <si>
    <t>HK</t>
  </si>
  <si>
    <t>HKEMPFPK</t>
  </si>
  <si>
    <t>HKEMPFPKYPVEPF</t>
  </si>
  <si>
    <t>HL</t>
  </si>
  <si>
    <t>3200 μM</t>
  </si>
  <si>
    <t>HLFGPPGKKDPV</t>
  </si>
  <si>
    <t>HLL</t>
  </si>
  <si>
    <t>HLNVVHEN</t>
  </si>
  <si>
    <t>HLPLP</t>
  </si>
  <si>
    <t>21.6 mM</t>
  </si>
  <si>
    <t>HLPLPL</t>
  </si>
  <si>
    <t>HLPLPLL</t>
  </si>
  <si>
    <t>34.2 ± 2.22 μM</t>
  </si>
  <si>
    <t>HLPPPV</t>
  </si>
  <si>
    <t>HP</t>
  </si>
  <si>
    <t>HPFA</t>
  </si>
  <si>
    <t>HPFAQ</t>
  </si>
  <si>
    <t>465 μM</t>
  </si>
  <si>
    <t>HPFAQTQ</t>
  </si>
  <si>
    <t>HPFAQTQSLVYP</t>
  </si>
  <si>
    <t>26 μM</t>
  </si>
  <si>
    <t>HPHPHLSF</t>
  </si>
  <si>
    <t>28.9 μM</t>
  </si>
  <si>
    <t>HPIKH</t>
  </si>
  <si>
    <t>1258.93 μM</t>
  </si>
  <si>
    <t>HQAAGW</t>
  </si>
  <si>
    <t>60 μM</t>
  </si>
  <si>
    <t>HQG</t>
  </si>
  <si>
    <t>HQIYP</t>
  </si>
  <si>
    <t>71.5 μM</t>
  </si>
  <si>
    <t>HQK</t>
  </si>
  <si>
    <t>HSGIQSEPKAIP</t>
  </si>
  <si>
    <t>HSSIQSQPQAFT</t>
  </si>
  <si>
    <t>HWTTQR</t>
  </si>
  <si>
    <t>1.44 mg/ml</t>
  </si>
  <si>
    <t>HY</t>
  </si>
  <si>
    <t>IA</t>
  </si>
  <si>
    <t>IAE</t>
  </si>
  <si>
    <t>34.7 μM</t>
  </si>
  <si>
    <t>IAIP</t>
  </si>
  <si>
    <t>470 μM</t>
  </si>
  <si>
    <t>IAIPP</t>
  </si>
  <si>
    <t>IAK</t>
  </si>
  <si>
    <t>IAP</t>
  </si>
  <si>
    <t>IAPG</t>
  </si>
  <si>
    <t>11.4 μM</t>
  </si>
  <si>
    <t>IAQ</t>
  </si>
  <si>
    <t>IARDSAAVF</t>
  </si>
  <si>
    <t>IASGEPTSTPT</t>
  </si>
  <si>
    <t>IASGEPTSTPTEE</t>
  </si>
  <si>
    <t>IASGEPTSTPTTEA</t>
  </si>
  <si>
    <t>IAV</t>
  </si>
  <si>
    <t>153.4 μM</t>
  </si>
  <si>
    <t>IAVPTGVA</t>
  </si>
  <si>
    <t>IAY</t>
  </si>
  <si>
    <t>IAYKP</t>
  </si>
  <si>
    <t>2.93 μM</t>
  </si>
  <si>
    <t>IAYKPAG</t>
  </si>
  <si>
    <t>4.17 μM</t>
  </si>
  <si>
    <t>ICRDL</t>
  </si>
  <si>
    <t>IDALNENK</t>
  </si>
  <si>
    <t>71.2 μM</t>
  </si>
  <si>
    <t>IDPNG</t>
  </si>
  <si>
    <t>8.4 μM</t>
  </si>
  <si>
    <t>IE</t>
  </si>
  <si>
    <t>IEF</t>
  </si>
  <si>
    <t>IEFEQ</t>
  </si>
  <si>
    <t>IEKP</t>
  </si>
  <si>
    <t>2.1 mg/ml</t>
  </si>
  <si>
    <t>IEKPP</t>
  </si>
  <si>
    <t>IELPLG</t>
  </si>
  <si>
    <t>72.44 μM</t>
  </si>
  <si>
    <t>IEP</t>
  </si>
  <si>
    <t>IEPQG</t>
  </si>
  <si>
    <t>IEW</t>
  </si>
  <si>
    <t>104 μM</t>
  </si>
  <si>
    <t>IEWEG</t>
  </si>
  <si>
    <t>IEY</t>
  </si>
  <si>
    <t>IF</t>
  </si>
  <si>
    <t>IFG</t>
  </si>
  <si>
    <t>IFL</t>
  </si>
  <si>
    <t>IFVPAF</t>
  </si>
  <si>
    <t>3.4 μM</t>
  </si>
  <si>
    <t>IG</t>
  </si>
  <si>
    <t>IGDEPLANYL</t>
  </si>
  <si>
    <t>IGGSI</t>
  </si>
  <si>
    <t>46.56&gt;1000 μM</t>
  </si>
  <si>
    <t>IGKGG</t>
  </si>
  <si>
    <t>IGNTLI</t>
  </si>
  <si>
    <t>IGSENSEKTTMP</t>
  </si>
  <si>
    <t>773 μM</t>
  </si>
  <si>
    <t>IGW</t>
  </si>
  <si>
    <t>IGYNQ</t>
  </si>
  <si>
    <t>IHAQQKEP</t>
  </si>
  <si>
    <t>IHETT</t>
  </si>
  <si>
    <t>2.7 μM</t>
  </si>
  <si>
    <t>IHF</t>
  </si>
  <si>
    <t>IHP</t>
  </si>
  <si>
    <t>IHPF</t>
  </si>
  <si>
    <t>11.6 μM</t>
  </si>
  <si>
    <t>IHPFAQTQSLVYP</t>
  </si>
  <si>
    <t>19 μM</t>
  </si>
  <si>
    <t>IHY</t>
  </si>
  <si>
    <t>II</t>
  </si>
  <si>
    <t>IIAMK</t>
  </si>
  <si>
    <t>498 μM</t>
  </si>
  <si>
    <t>IIP</t>
  </si>
  <si>
    <t>IIVTQTMK</t>
  </si>
  <si>
    <t>70.8 μM</t>
  </si>
  <si>
    <t>IKD</t>
  </si>
  <si>
    <t>IKELQ</t>
  </si>
  <si>
    <t>IKF</t>
  </si>
  <si>
    <t>IKH</t>
  </si>
  <si>
    <t>IKL</t>
  </si>
  <si>
    <t>IKN</t>
  </si>
  <si>
    <t>IKP</t>
  </si>
  <si>
    <t>IKPLDY</t>
  </si>
  <si>
    <t>42.66 μM</t>
  </si>
  <si>
    <t>IKPLNY</t>
  </si>
  <si>
    <t>43 μM</t>
  </si>
  <si>
    <t>IKPVQ</t>
  </si>
  <si>
    <t>33.5 μM</t>
  </si>
  <si>
    <t>IKW</t>
  </si>
  <si>
    <t>IKWGD</t>
  </si>
  <si>
    <t>IKY</t>
  </si>
  <si>
    <t>IL</t>
  </si>
  <si>
    <t>ILP</t>
  </si>
  <si>
    <t>IMVAEAR</t>
  </si>
  <si>
    <t>84.12 μM</t>
  </si>
  <si>
    <t>IMY</t>
  </si>
  <si>
    <t>IN</t>
  </si>
  <si>
    <t>INDPF</t>
  </si>
  <si>
    <t>INF</t>
  </si>
  <si>
    <t>INNQFLP</t>
  </si>
  <si>
    <t>INP</t>
  </si>
  <si>
    <t>INQF</t>
  </si>
  <si>
    <t>INSQ</t>
  </si>
  <si>
    <t>4-628 μM</t>
  </si>
  <si>
    <t>INYWL</t>
  </si>
  <si>
    <t>IP</t>
  </si>
  <si>
    <t>IPA</t>
  </si>
  <si>
    <t>IPAI</t>
  </si>
  <si>
    <t>IPAIN</t>
  </si>
  <si>
    <t>432.6 μM</t>
  </si>
  <si>
    <t>IPAQK</t>
  </si>
  <si>
    <t>201 μM</t>
  </si>
  <si>
    <t>IPF</t>
  </si>
  <si>
    <t>IPI</t>
  </si>
  <si>
    <t>IPIPATKT</t>
  </si>
  <si>
    <t>IPN</t>
  </si>
  <si>
    <t>141 μM</t>
  </si>
  <si>
    <t>IPNPIGSE</t>
  </si>
  <si>
    <t>IPP</t>
  </si>
  <si>
    <t>IPPGVPYWT</t>
  </si>
  <si>
    <t>64 μM</t>
  </si>
  <si>
    <t>IPPLTQ</t>
  </si>
  <si>
    <t>IPPLTQTPV</t>
  </si>
  <si>
    <t>IPPVPP</t>
  </si>
  <si>
    <t>13.17 %</t>
  </si>
  <si>
    <t>IPQ</t>
  </si>
  <si>
    <t>IPQEVLP</t>
  </si>
  <si>
    <t>690 μM</t>
  </si>
  <si>
    <t>IPT</t>
  </si>
  <si>
    <t>IPY</t>
  </si>
  <si>
    <t>206 μM</t>
  </si>
  <si>
    <t>IQ</t>
  </si>
  <si>
    <t>IQF</t>
  </si>
  <si>
    <t>IQHST</t>
  </si>
  <si>
    <t>IQKEDVPSER</t>
  </si>
  <si>
    <t>IQP</t>
  </si>
  <si>
    <t>IQSEPKAIP</t>
  </si>
  <si>
    <t>IQSQPQAFP</t>
  </si>
  <si>
    <t>IQW</t>
  </si>
  <si>
    <t>IQWCA</t>
  </si>
  <si>
    <t>IQY</t>
  </si>
  <si>
    <t>IQYCA</t>
  </si>
  <si>
    <t>IR</t>
  </si>
  <si>
    <t>IRA</t>
  </si>
  <si>
    <t>IRAQQ</t>
  </si>
  <si>
    <t>4.2 μM</t>
  </si>
  <si>
    <t>IRD</t>
  </si>
  <si>
    <t>IRH</t>
  </si>
  <si>
    <t>IRN</t>
  </si>
  <si>
    <t>IRP</t>
  </si>
  <si>
    <t>IRPVQ</t>
  </si>
  <si>
    <t>1.4 μM</t>
  </si>
  <si>
    <t>IRRGQ</t>
  </si>
  <si>
    <t>IRW</t>
  </si>
  <si>
    <t>IRWCT</t>
  </si>
  <si>
    <t>IRY</t>
  </si>
  <si>
    <t>0.59 μM</t>
  </si>
  <si>
    <t>IRYCT</t>
  </si>
  <si>
    <t>IRYLPRG</t>
  </si>
  <si>
    <t>ISHIYVWK</t>
  </si>
  <si>
    <t>3.77 μM</t>
  </si>
  <si>
    <t>ISP</t>
  </si>
  <si>
    <t>ISSMGILVCL</t>
  </si>
  <si>
    <t>ISSSK</t>
  </si>
  <si>
    <t>ISW</t>
  </si>
  <si>
    <t>ITC</t>
  </si>
  <si>
    <t>ITF</t>
  </si>
  <si>
    <t>ITP</t>
  </si>
  <si>
    <t>9.5 μM</t>
  </si>
  <si>
    <t>ITRINKK</t>
  </si>
  <si>
    <t>ITRTQ</t>
  </si>
  <si>
    <t>ITRY</t>
  </si>
  <si>
    <t>236.9 μM</t>
  </si>
  <si>
    <t>ITT</t>
  </si>
  <si>
    <t>ITTNP</t>
  </si>
  <si>
    <t>549 μM</t>
  </si>
  <si>
    <t>ITTNPY</t>
  </si>
  <si>
    <t>IV</t>
  </si>
  <si>
    <t>IVF</t>
  </si>
  <si>
    <t>33.11 μM</t>
  </si>
  <si>
    <t>IVGFPAYGH</t>
  </si>
  <si>
    <t>IVGRPHQG</t>
  </si>
  <si>
    <t>IVGRPR</t>
  </si>
  <si>
    <t>302 μM</t>
  </si>
  <si>
    <t>IVGRPRH</t>
  </si>
  <si>
    <t>300 μM</t>
  </si>
  <si>
    <t>IVGRPRHQG</t>
  </si>
  <si>
    <t>2.4 μM</t>
  </si>
  <si>
    <t>IVGRRRHQG</t>
  </si>
  <si>
    <t>IVIF</t>
  </si>
  <si>
    <t>IVPNSVEQKH</t>
  </si>
  <si>
    <t>IVQ</t>
  </si>
  <si>
    <t>IVRDPNGMGAW</t>
  </si>
  <si>
    <t>IVVE</t>
  </si>
  <si>
    <t>315.3 μM</t>
  </si>
  <si>
    <t>IVY</t>
  </si>
  <si>
    <t>IW</t>
  </si>
  <si>
    <t>IWH</t>
  </si>
  <si>
    <t>IWHHT</t>
  </si>
  <si>
    <t>IWHHTFYNELR</t>
  </si>
  <si>
    <t>IY</t>
  </si>
  <si>
    <t>IYEGY</t>
  </si>
  <si>
    <t>IYK</t>
  </si>
  <si>
    <t>177 μM</t>
  </si>
  <si>
    <t>IYLL</t>
  </si>
  <si>
    <t>42 μM</t>
  </si>
  <si>
    <t>IYP</t>
  </si>
  <si>
    <t>61 μM</t>
  </si>
  <si>
    <t>IYPR</t>
  </si>
  <si>
    <t>IYPRY</t>
  </si>
  <si>
    <t>4.1 μM</t>
  </si>
  <si>
    <t>IYPSFQPQPLIYP</t>
  </si>
  <si>
    <t>7.6 μM</t>
  </si>
  <si>
    <t>IYSNN</t>
  </si>
  <si>
    <t>JEWPPGHHIPP</t>
  </si>
  <si>
    <t>JGGWPRPGPEIPP</t>
  </si>
  <si>
    <t>JGLPPGPPIPP</t>
  </si>
  <si>
    <t>JGLPPGPVIPP</t>
  </si>
  <si>
    <t>JGLPPRPKIPP</t>
  </si>
  <si>
    <t>JGRPPGPPIP</t>
  </si>
  <si>
    <t>JKKWPPGHHIPP</t>
  </si>
  <si>
    <t>JKPWPPGHHIPP</t>
  </si>
  <si>
    <t>JKW</t>
  </si>
  <si>
    <t>JKWALPKVPP</t>
  </si>
  <si>
    <t>JKWAP</t>
  </si>
  <si>
    <t>JKWDPPPISPP</t>
  </si>
  <si>
    <t>JKWDPPPPSPP</t>
  </si>
  <si>
    <t>JKWDPPPVSPP</t>
  </si>
  <si>
    <t>JKWHRNPEIP</t>
  </si>
  <si>
    <t>JKWP</t>
  </si>
  <si>
    <t>JKWPGPK</t>
  </si>
  <si>
    <t>JKWPGPKVP</t>
  </si>
  <si>
    <t>JKWPHEHPP</t>
  </si>
  <si>
    <t>JKWPKGPLPP</t>
  </si>
  <si>
    <t>JKWPPGKVPP</t>
  </si>
  <si>
    <t>JKWPRP</t>
  </si>
  <si>
    <t>JKWPRPGPEIPP</t>
  </si>
  <si>
    <t>JNWKSP</t>
  </si>
  <si>
    <t>JNWPRPGPEIP</t>
  </si>
  <si>
    <t>JNWPRPQIPP</t>
  </si>
  <si>
    <t>JRWPHLEIPP</t>
  </si>
  <si>
    <t>JSWP</t>
  </si>
  <si>
    <t>JSWPGPNIPP</t>
  </si>
  <si>
    <t>JTNW</t>
  </si>
  <si>
    <t>JWPRPQIPP</t>
  </si>
  <si>
    <t>JWPRPTPQIPP</t>
  </si>
  <si>
    <t>KA</t>
  </si>
  <si>
    <t>31.5 μM</t>
  </si>
  <si>
    <t>KAFR</t>
  </si>
  <si>
    <t>KALPMHIRLAF</t>
  </si>
  <si>
    <t>KAPVA</t>
  </si>
  <si>
    <t>46.56 μM</t>
  </si>
  <si>
    <t>KAVPYPQ</t>
  </si>
  <si>
    <t>KDERF</t>
  </si>
  <si>
    <t>KDI</t>
  </si>
  <si>
    <t>KDYRL</t>
  </si>
  <si>
    <t>26.5 μM</t>
  </si>
  <si>
    <t>KE</t>
  </si>
  <si>
    <t>KEDDEEEEQGEEE</t>
  </si>
  <si>
    <t>KEGGLGPL</t>
  </si>
  <si>
    <t>KEIW</t>
  </si>
  <si>
    <t>KEKV</t>
  </si>
  <si>
    <t>KF</t>
  </si>
  <si>
    <t>KFAR</t>
  </si>
  <si>
    <t>16.9 mg/ml</t>
  </si>
  <si>
    <t>KFAWPQ</t>
  </si>
  <si>
    <t>177.1 μM</t>
  </si>
  <si>
    <t>KFAYPQ</t>
  </si>
  <si>
    <t>KFHSGIQSEPKAIP</t>
  </si>
  <si>
    <t>KFY</t>
  </si>
  <si>
    <t>KFYG</t>
  </si>
  <si>
    <t>90.5 μM</t>
  </si>
  <si>
    <t>KG</t>
  </si>
  <si>
    <t>KGYGGVSL</t>
  </si>
  <si>
    <t>300.9 μM</t>
  </si>
  <si>
    <t>KGYGGVSLPEW</t>
  </si>
  <si>
    <t>0.7 μM</t>
  </si>
  <si>
    <t>KHIQKEDVPSER</t>
  </si>
  <si>
    <t>KHLPLP</t>
  </si>
  <si>
    <t>KIEL</t>
  </si>
  <si>
    <t>849.7 μM</t>
  </si>
  <si>
    <t>KIHPFAQAQ</t>
  </si>
  <si>
    <t>132.6 μM</t>
  </si>
  <si>
    <t>KIHPFAQT</t>
  </si>
  <si>
    <t>KIHPFAQTQSLVYP</t>
  </si>
  <si>
    <t>39 μM</t>
  </si>
  <si>
    <t>KIYPSFQPQPLIYP</t>
  </si>
  <si>
    <t>8.6 μM</t>
  </si>
  <si>
    <t>KKIATYQER</t>
  </si>
  <si>
    <t>KKY</t>
  </si>
  <si>
    <t>KKYMVPQL</t>
  </si>
  <si>
    <t>77.1 μM</t>
  </si>
  <si>
    <t>KKYNVPQL</t>
  </si>
  <si>
    <t>77.1 mM</t>
  </si>
  <si>
    <t>KL</t>
  </si>
  <si>
    <t>50.2 μM</t>
  </si>
  <si>
    <t>KLKFV</t>
  </si>
  <si>
    <t>30.2 μM</t>
  </si>
  <si>
    <t>KLLLRRLQ</t>
  </si>
  <si>
    <t>KLP</t>
  </si>
  <si>
    <t>KLPAGTLF</t>
  </si>
  <si>
    <t>13.4 μM</t>
  </si>
  <si>
    <t>KP</t>
  </si>
  <si>
    <t>KPF</t>
  </si>
  <si>
    <t>KPK</t>
  </si>
  <si>
    <t>KPPETV</t>
  </si>
  <si>
    <t>24.1 μM</t>
  </si>
  <si>
    <t>KPTPEGDL</t>
  </si>
  <si>
    <t>KPVAL</t>
  </si>
  <si>
    <t>KQMK</t>
  </si>
  <si>
    <t>KR</t>
  </si>
  <si>
    <t>380 μM</t>
  </si>
  <si>
    <t>KRNKNNIA</t>
  </si>
  <si>
    <t>KRQKYDI</t>
  </si>
  <si>
    <t>26.2 26.2</t>
  </si>
  <si>
    <t>KRVIQY</t>
  </si>
  <si>
    <t>6.1 μM</t>
  </si>
  <si>
    <t>KTAP</t>
  </si>
  <si>
    <t>KVAGPK</t>
  </si>
  <si>
    <t>305 μM</t>
  </si>
  <si>
    <t>KVGTKCCAKP</t>
  </si>
  <si>
    <t>KVHSSIQSQPQAFT</t>
  </si>
  <si>
    <t>KVLAGM</t>
  </si>
  <si>
    <t>KVLILA</t>
  </si>
  <si>
    <t>20.85 μM/L</t>
  </si>
  <si>
    <t>KVLPLP</t>
  </si>
  <si>
    <t>5 μM/L</t>
  </si>
  <si>
    <t>KVLPVP</t>
  </si>
  <si>
    <t>KVLPVPE</t>
  </si>
  <si>
    <t>&gt;1000 μM/L</t>
  </si>
  <si>
    <t>KVLPVPQ</t>
  </si>
  <si>
    <t>522.67 μM</t>
  </si>
  <si>
    <t>KVLPVQ</t>
  </si>
  <si>
    <t>1000 μM/L</t>
  </si>
  <si>
    <t>KVREEY</t>
  </si>
  <si>
    <t>9.1 μM</t>
  </si>
  <si>
    <t>KVREGGY</t>
  </si>
  <si>
    <t>KVREGT</t>
  </si>
  <si>
    <t>KVREGTTY</t>
  </si>
  <si>
    <t>102.8 μM</t>
  </si>
  <si>
    <t>KVYPFPGPIPNSLPQNIPP</t>
  </si>
  <si>
    <t>KW</t>
  </si>
  <si>
    <t>KWL</t>
  </si>
  <si>
    <t>43.6 μM</t>
  </si>
  <si>
    <t>KWLP</t>
  </si>
  <si>
    <t>5 μM</t>
  </si>
  <si>
    <t>KY</t>
  </si>
  <si>
    <t>KYP</t>
  </si>
  <si>
    <t>KYPVEPFTESQSLTL</t>
  </si>
  <si>
    <t>93 mM/L</t>
  </si>
  <si>
    <t>KYPVEPFTESQSLTLTDVENLHL</t>
  </si>
  <si>
    <t>KYPVQPFTESQSLTL</t>
  </si>
  <si>
    <t>44 μM</t>
  </si>
  <si>
    <t>KYY</t>
  </si>
  <si>
    <t>79 μM</t>
  </si>
  <si>
    <t>LA</t>
  </si>
  <si>
    <t>310 μM</t>
  </si>
  <si>
    <t>LAA</t>
  </si>
  <si>
    <t>LAHKAL</t>
  </si>
  <si>
    <t>621 μM</t>
  </si>
  <si>
    <t>LAIPVNKP</t>
  </si>
  <si>
    <t>70 μM</t>
  </si>
  <si>
    <t>LALPP</t>
  </si>
  <si>
    <t>LAMA</t>
  </si>
  <si>
    <t>556 μM</t>
  </si>
  <si>
    <t>LANVST</t>
  </si>
  <si>
    <t>LAP</t>
  </si>
  <si>
    <t>LAPSLPGKPKPD</t>
  </si>
  <si>
    <t>LAQ</t>
  </si>
  <si>
    <t>LAY</t>
  </si>
  <si>
    <t>LAYFYP</t>
  </si>
  <si>
    <t>65 μM</t>
  </si>
  <si>
    <t>LAYFYPEL</t>
  </si>
  <si>
    <t>LCNGS</t>
  </si>
  <si>
    <t>LDAQSAPLR</t>
  </si>
  <si>
    <t>635 μM</t>
  </si>
  <si>
    <t>LDIQK</t>
  </si>
  <si>
    <t>27.6 μM</t>
  </si>
  <si>
    <t>LDL</t>
  </si>
  <si>
    <t>LE</t>
  </si>
  <si>
    <t>LEE</t>
  </si>
  <si>
    <t>LEF</t>
  </si>
  <si>
    <t>LEFNQ</t>
  </si>
  <si>
    <t>LEIAKNGLSTTSNPKR</t>
  </si>
  <si>
    <t>LEIVPK</t>
  </si>
  <si>
    <t>LEK</t>
  </si>
  <si>
    <t>LEKTG</t>
  </si>
  <si>
    <t>LEL</t>
  </si>
  <si>
    <t>LELNQ</t>
  </si>
  <si>
    <t>LENLHLP</t>
  </si>
  <si>
    <t>LENLHLPLP</t>
  </si>
  <si>
    <t>86 μM</t>
  </si>
  <si>
    <t>LEP</t>
  </si>
  <si>
    <t>LEPP</t>
  </si>
  <si>
    <t>LEQL</t>
  </si>
  <si>
    <t>LEY</t>
  </si>
  <si>
    <t>LF</t>
  </si>
  <si>
    <t>LFDKPVSPL</t>
  </si>
  <si>
    <t>LFRQ</t>
  </si>
  <si>
    <t>17 μM</t>
  </si>
  <si>
    <t>LG</t>
  </si>
  <si>
    <t>LGAVPPRY</t>
  </si>
  <si>
    <t>LGDARNSPAPP</t>
  </si>
  <si>
    <t>LGFPTTKTYFPHF</t>
  </si>
  <si>
    <t>4.92 μM</t>
  </si>
  <si>
    <t>LGG</t>
  </si>
  <si>
    <t>LGGC</t>
  </si>
  <si>
    <t>LGI</t>
  </si>
  <si>
    <t>LGL</t>
  </si>
  <si>
    <t>LGP</t>
  </si>
  <si>
    <t>LGPLGHQ</t>
  </si>
  <si>
    <t>4.22 μM</t>
  </si>
  <si>
    <t>LGPVRGPFP</t>
  </si>
  <si>
    <t>LGPVRGPFPI</t>
  </si>
  <si>
    <t>LGQTPTK</t>
  </si>
  <si>
    <t>LGTQY</t>
  </si>
  <si>
    <t>LGTQYTDAPSFSDIPNPIGSENSEK</t>
  </si>
  <si>
    <t>LGYL</t>
  </si>
  <si>
    <t>LHEPG</t>
  </si>
  <si>
    <t>LHGPYP</t>
  </si>
  <si>
    <t>75.4 μM</t>
  </si>
  <si>
    <t>LHLP</t>
  </si>
  <si>
    <t>210 μM</t>
  </si>
  <si>
    <t>LHLPAP</t>
  </si>
  <si>
    <t>LHLPGP</t>
  </si>
  <si>
    <t>LHLPLL</t>
  </si>
  <si>
    <t>3.5 μM</t>
  </si>
  <si>
    <t>LHLPLP</t>
  </si>
  <si>
    <t>2.9 μM</t>
  </si>
  <si>
    <t>LHLPLPL</t>
  </si>
  <si>
    <t>425 μM</t>
  </si>
  <si>
    <t>LHLPLPLL</t>
  </si>
  <si>
    <t>LHLPLR</t>
  </si>
  <si>
    <t>LHLPS</t>
  </si>
  <si>
    <t>LHLPYP</t>
  </si>
  <si>
    <t>2.3 μM</t>
  </si>
  <si>
    <t>LHLWLP</t>
  </si>
  <si>
    <t>9 μM</t>
  </si>
  <si>
    <t>LHLYLP</t>
  </si>
  <si>
    <t>18.9 μM</t>
  </si>
  <si>
    <t>LHP</t>
  </si>
  <si>
    <t>0.77 mg/ml</t>
  </si>
  <si>
    <t>LHPGDAQR</t>
  </si>
  <si>
    <t>LHREN</t>
  </si>
  <si>
    <t>LHSMKEG</t>
  </si>
  <si>
    <t>LI</t>
  </si>
  <si>
    <t>LIPPGVPY</t>
  </si>
  <si>
    <t>17.38 μM</t>
  </si>
  <si>
    <t>LIQP</t>
  </si>
  <si>
    <t>LIVGFPAYGH</t>
  </si>
  <si>
    <t>LIWKL</t>
  </si>
  <si>
    <t>0.47 μM</t>
  </si>
  <si>
    <t>LIY</t>
  </si>
  <si>
    <t>LIYP</t>
  </si>
  <si>
    <t>LKA</t>
  </si>
  <si>
    <t>LKC</t>
  </si>
  <si>
    <t>LKD</t>
  </si>
  <si>
    <t>LKDAQ</t>
  </si>
  <si>
    <t>LKDTQ</t>
  </si>
  <si>
    <t>LKELQ</t>
  </si>
  <si>
    <t>LKGYGGVSLPEW</t>
  </si>
  <si>
    <t>83 μM</t>
  </si>
  <si>
    <t>LKKISQ</t>
  </si>
  <si>
    <t>2.6 μM</t>
  </si>
  <si>
    <t>LKKYKVPQ</t>
  </si>
  <si>
    <t>LKL</t>
  </si>
  <si>
    <t>LKN</t>
  </si>
  <si>
    <t>LKP</t>
  </si>
  <si>
    <t>LKPDM</t>
  </si>
  <si>
    <t>9.69 μM</t>
  </si>
  <si>
    <t>LKPI</t>
  </si>
  <si>
    <t>LKPMN</t>
  </si>
  <si>
    <t>LKPNM</t>
  </si>
  <si>
    <t>LKPTPEGN</t>
  </si>
  <si>
    <t>2691.53 μM</t>
  </si>
  <si>
    <t>LKPTPQGN</t>
  </si>
  <si>
    <t>&gt;2700 mg/ml</t>
  </si>
  <si>
    <t>LKSQQ</t>
  </si>
  <si>
    <t>LKVGKQY</t>
  </si>
  <si>
    <t>LKVGVKQY</t>
  </si>
  <si>
    <t>LKY</t>
  </si>
  <si>
    <t>0.33-5.80 mg/ml</t>
  </si>
  <si>
    <t>LL</t>
  </si>
  <si>
    <t>LLF</t>
  </si>
  <si>
    <t>LLG</t>
  </si>
  <si>
    <t>LLL</t>
  </si>
  <si>
    <t>LLLAHLL</t>
  </si>
  <si>
    <t>5.19 μM</t>
  </si>
  <si>
    <t>LLMLDNDLPP</t>
  </si>
  <si>
    <t>35.7 μM</t>
  </si>
  <si>
    <t>LLNP</t>
  </si>
  <si>
    <t>LLNPPHQIYP</t>
  </si>
  <si>
    <t>LLP</t>
  </si>
  <si>
    <t>LLQSW</t>
  </si>
  <si>
    <t>LLR</t>
  </si>
  <si>
    <t>LLRF</t>
  </si>
  <si>
    <t>LLSQTPRY</t>
  </si>
  <si>
    <t>LLYQEP</t>
  </si>
  <si>
    <t>LLYQEPVLGPVRGPFPIIV</t>
  </si>
  <si>
    <t>21 mM/L</t>
  </si>
  <si>
    <t>LLYQQPV</t>
  </si>
  <si>
    <t>LLYQQPVLGPVRGPFPIIV</t>
  </si>
  <si>
    <t>LN</t>
  </si>
  <si>
    <t>LNECQ</t>
  </si>
  <si>
    <t>LNENLLRFFVAPFPEVFG</t>
  </si>
  <si>
    <t>280 μM</t>
  </si>
  <si>
    <t>LNNSRAP</t>
  </si>
  <si>
    <t>105.3 μM</t>
  </si>
  <si>
    <t>LNP</t>
  </si>
  <si>
    <t>LNPA</t>
  </si>
  <si>
    <t>312 μM</t>
  </si>
  <si>
    <t>LNPPHQIYP</t>
  </si>
  <si>
    <t>LNQ</t>
  </si>
  <si>
    <t>LNVPGE</t>
  </si>
  <si>
    <t>LNVPGEIVE</t>
  </si>
  <si>
    <t>LNVVGETVE</t>
  </si>
  <si>
    <t>LNY</t>
  </si>
  <si>
    <t>LP</t>
  </si>
  <si>
    <t>LPF</t>
  </si>
  <si>
    <t>LPG</t>
  </si>
  <si>
    <t>5.73 μM</t>
  </si>
  <si>
    <t>LPHF</t>
  </si>
  <si>
    <t>670 μM</t>
  </si>
  <si>
    <t>LPLP</t>
  </si>
  <si>
    <t>703 μM</t>
  </si>
  <si>
    <t>LPN</t>
  </si>
  <si>
    <t>LPP</t>
  </si>
  <si>
    <t>LPPP</t>
  </si>
  <si>
    <t>LPPPVH</t>
  </si>
  <si>
    <t>LPQNILP</t>
  </si>
  <si>
    <t>46 μM</t>
  </si>
  <si>
    <t>LPQNIPPL</t>
  </si>
  <si>
    <t>LPQNIPPLTQTPVVVPPFLQPEVMGVSK</t>
  </si>
  <si>
    <t>LPQYLKTVYQHQKA</t>
  </si>
  <si>
    <t>LPYPY</t>
  </si>
  <si>
    <t>LPYPYY</t>
  </si>
  <si>
    <t>LQ</t>
  </si>
  <si>
    <t>LQC</t>
  </si>
  <si>
    <t>LQEDG</t>
  </si>
  <si>
    <t>LQKW</t>
  </si>
  <si>
    <t>LQKY</t>
  </si>
  <si>
    <t>34.7 mg/ml</t>
  </si>
  <si>
    <t>LQP</t>
  </si>
  <si>
    <t>LQPEVMG</t>
  </si>
  <si>
    <t>LQPEVMGVSK</t>
  </si>
  <si>
    <t>LQPGS</t>
  </si>
  <si>
    <t>LQPHQ</t>
  </si>
  <si>
    <t>LQPSS</t>
  </si>
  <si>
    <t>LQQ</t>
  </si>
  <si>
    <t>100 μM</t>
  </si>
  <si>
    <t>LQQGG</t>
  </si>
  <si>
    <t>LQQQ</t>
  </si>
  <si>
    <t>LQQQP</t>
  </si>
  <si>
    <t>LQQQQ</t>
  </si>
  <si>
    <t>LQSW</t>
  </si>
  <si>
    <t>LQY</t>
  </si>
  <si>
    <t>LRC</t>
  </si>
  <si>
    <t>LRCGG</t>
  </si>
  <si>
    <t>LRCNG</t>
  </si>
  <si>
    <t>LRENNKLMLLELK</t>
  </si>
  <si>
    <t>LRF</t>
  </si>
  <si>
    <t>LRIPVA</t>
  </si>
  <si>
    <t>0.38 μM</t>
  </si>
  <si>
    <t>LRKKQ</t>
  </si>
  <si>
    <t>LRN</t>
  </si>
  <si>
    <t>LRP</t>
  </si>
  <si>
    <t>LRPVAA</t>
  </si>
  <si>
    <t>4.14 μM</t>
  </si>
  <si>
    <t>LRQRQ</t>
  </si>
  <si>
    <t>LRQSQ</t>
  </si>
  <si>
    <t>LRRGQ</t>
  </si>
  <si>
    <t>LRRQQ</t>
  </si>
  <si>
    <t>LRW</t>
  </si>
  <si>
    <t>LRY</t>
  </si>
  <si>
    <t>LSA</t>
  </si>
  <si>
    <t>LSERRMLLRKEKQAQ</t>
  </si>
  <si>
    <t>LSKDIGSESTEDQAMED</t>
  </si>
  <si>
    <t>LSLP</t>
  </si>
  <si>
    <t>LSMGSASLSP</t>
  </si>
  <si>
    <t>0.19 mg/ml</t>
  </si>
  <si>
    <t>LSP</t>
  </si>
  <si>
    <t>LSPA</t>
  </si>
  <si>
    <t>315 μM</t>
  </si>
  <si>
    <t>LSPQSY</t>
  </si>
  <si>
    <t>LSPY</t>
  </si>
  <si>
    <t>LSQSKVLPVPQK</t>
  </si>
  <si>
    <t>LSRGQ</t>
  </si>
  <si>
    <t>LSSSEESTRINKKIEKFQSEEQQQYEDELQDKIHPFAQTQSLVYPFPGPI</t>
  </si>
  <si>
    <t>LSW</t>
  </si>
  <si>
    <t>LSYCG</t>
  </si>
  <si>
    <t>LTDLENLHLP</t>
  </si>
  <si>
    <t>LTDVEN</t>
  </si>
  <si>
    <t>LTF</t>
  </si>
  <si>
    <t>LTLTDVE</t>
  </si>
  <si>
    <t>LTLTDVEN</t>
  </si>
  <si>
    <t>LTQTPVVPP</t>
  </si>
  <si>
    <t>LTQTPVVVPPF</t>
  </si>
  <si>
    <t>&gt;1500 μM</t>
  </si>
  <si>
    <t>LTWNS</t>
  </si>
  <si>
    <t>LV</t>
  </si>
  <si>
    <t>LVE</t>
  </si>
  <si>
    <t>14.2 μM</t>
  </si>
  <si>
    <t>LVL</t>
  </si>
  <si>
    <t>LVNDLVTPVFDNL</t>
  </si>
  <si>
    <t>4.00 mg/ml</t>
  </si>
  <si>
    <t>LVP</t>
  </si>
  <si>
    <t>LVQ</t>
  </si>
  <si>
    <t>LVQGS</t>
  </si>
  <si>
    <t>43.7 μM</t>
  </si>
  <si>
    <t>LVR</t>
  </si>
  <si>
    <t>LVRT</t>
  </si>
  <si>
    <t>1000 μM</t>
  </si>
  <si>
    <t>LVRY</t>
  </si>
  <si>
    <t>2470 mg/ml</t>
  </si>
  <si>
    <t>LVVDGEGY</t>
  </si>
  <si>
    <t>LVVYPWTQ</t>
  </si>
  <si>
    <t>LVVYPWTQR</t>
  </si>
  <si>
    <t>LVY</t>
  </si>
  <si>
    <t>LVYP</t>
  </si>
  <si>
    <t>170 μM</t>
  </si>
  <si>
    <t>LVYPFP</t>
  </si>
  <si>
    <t>132 μM</t>
  </si>
  <si>
    <t>LVYPFPGP</t>
  </si>
  <si>
    <t>147.3 mg/ml</t>
  </si>
  <si>
    <t>LVYPFPGPI</t>
  </si>
  <si>
    <t>LVYPFPGPIH</t>
  </si>
  <si>
    <t>LVYPFPGPIHNSLP</t>
  </si>
  <si>
    <t>71 μM</t>
  </si>
  <si>
    <t>LVYPFPGPIPN</t>
  </si>
  <si>
    <t>27.9 μM</t>
  </si>
  <si>
    <t>LVYPFPGPIPNSLP</t>
  </si>
  <si>
    <t>5.2 μM</t>
  </si>
  <si>
    <t>LVYPFPGPIPNSLPQN</t>
  </si>
  <si>
    <t>LVYPFPGPIPNSLPQNIPP</t>
  </si>
  <si>
    <t>LVYPFTGPIPN</t>
  </si>
  <si>
    <t>LW</t>
  </si>
  <si>
    <t>LWA</t>
  </si>
  <si>
    <t>LY</t>
  </si>
  <si>
    <t>LYKNG</t>
  </si>
  <si>
    <t>LYP</t>
  </si>
  <si>
    <t>LYPVK</t>
  </si>
  <si>
    <t>4.5 μM</t>
  </si>
  <si>
    <t>LYQA</t>
  </si>
  <si>
    <t>LYQKS</t>
  </si>
  <si>
    <t>LYRNG</t>
  </si>
  <si>
    <t>LYW</t>
  </si>
  <si>
    <t>MA</t>
  </si>
  <si>
    <t>152.0 μM</t>
  </si>
  <si>
    <t>MAIPPK</t>
  </si>
  <si>
    <t>MAIPPKK</t>
  </si>
  <si>
    <t>92 mg/ml</t>
  </si>
  <si>
    <t>MAP</t>
  </si>
  <si>
    <t>0.8 μM</t>
  </si>
  <si>
    <t>MAW</t>
  </si>
  <si>
    <t>0.0042 mg/ml</t>
  </si>
  <si>
    <t>MCESASSK</t>
  </si>
  <si>
    <t>75.93 μM</t>
  </si>
  <si>
    <t>MDFLI</t>
  </si>
  <si>
    <t>0.01 μM</t>
  </si>
  <si>
    <t>MDLA</t>
  </si>
  <si>
    <t>ME</t>
  </si>
  <si>
    <t>MEF</t>
  </si>
  <si>
    <t>MEGAQEAQGD</t>
  </si>
  <si>
    <t>0.0165 mg/ml</t>
  </si>
  <si>
    <t>MF</t>
  </si>
  <si>
    <t>MFDL</t>
  </si>
  <si>
    <t>MG</t>
  </si>
  <si>
    <t>MHYGN</t>
  </si>
  <si>
    <t>MIFPGAGGPEL</t>
  </si>
  <si>
    <t>0.03 μM</t>
  </si>
  <si>
    <t>MIFPGGPQL</t>
  </si>
  <si>
    <t>22.3 μM</t>
  </si>
  <si>
    <t>MIPAY</t>
  </si>
  <si>
    <t>8.7 μM</t>
  </si>
  <si>
    <t>MKC</t>
  </si>
  <si>
    <t>MKG</t>
  </si>
  <si>
    <t>24 μM</t>
  </si>
  <si>
    <t>MKP</t>
  </si>
  <si>
    <t>MKPWIQPK</t>
  </si>
  <si>
    <t>MKR</t>
  </si>
  <si>
    <t>25.7 μM</t>
  </si>
  <si>
    <t>MKY</t>
  </si>
  <si>
    <t>MLGQTPT</t>
  </si>
  <si>
    <t>MLGQTPTK</t>
  </si>
  <si>
    <t>MLLCS</t>
  </si>
  <si>
    <t>0.056 mg/ml</t>
  </si>
  <si>
    <t>MLPAY</t>
  </si>
  <si>
    <t>MMEPMVK</t>
  </si>
  <si>
    <t>1.03 μM</t>
  </si>
  <si>
    <t>MMVPI</t>
  </si>
  <si>
    <t>MNP</t>
  </si>
  <si>
    <t>MNPPK</t>
  </si>
  <si>
    <t>945.5 μM</t>
  </si>
  <si>
    <t>MNVKHWPWMK</t>
  </si>
  <si>
    <t>228 μM</t>
  </si>
  <si>
    <t>MP</t>
  </si>
  <si>
    <t>135.3 μM</t>
  </si>
  <si>
    <t>MPF</t>
  </si>
  <si>
    <t>MPFPKYPVEP</t>
  </si>
  <si>
    <t>MPFPKYPVQPF</t>
  </si>
  <si>
    <t>MPP</t>
  </si>
  <si>
    <t>MPVHTDAD</t>
  </si>
  <si>
    <t>MRKDQ</t>
  </si>
  <si>
    <t>MRW</t>
  </si>
  <si>
    <t>MRWRD</t>
  </si>
  <si>
    <t>2.09 μM</t>
  </si>
  <si>
    <t>MVGSAPGVL</t>
  </si>
  <si>
    <t>3.09 μM</t>
  </si>
  <si>
    <t>MW</t>
  </si>
  <si>
    <t>MY</t>
  </si>
  <si>
    <t>MYPGIA</t>
  </si>
  <si>
    <t>641.02 μM</t>
  </si>
  <si>
    <t>MYY</t>
  </si>
  <si>
    <t>NAGPFTPTVNREQLSTS</t>
  </si>
  <si>
    <t>NAQRP</t>
  </si>
  <si>
    <t>32 μM</t>
  </si>
  <si>
    <t>NELSKDI</t>
  </si>
  <si>
    <t>NENLLRFFVAPFPE</t>
  </si>
  <si>
    <t>NENLLRFFVAPFPEVFG</t>
  </si>
  <si>
    <t>55 μM</t>
  </si>
  <si>
    <t>NF</t>
  </si>
  <si>
    <t>NG</t>
  </si>
  <si>
    <t>12000 μM</t>
  </si>
  <si>
    <t>NGTWFEPP</t>
  </si>
  <si>
    <t>NHRNRMMDHVH</t>
  </si>
  <si>
    <t>13.42 μM</t>
  </si>
  <si>
    <t>NIDTDI</t>
  </si>
  <si>
    <t>NIDTDL</t>
  </si>
  <si>
    <t>NIFYCP</t>
  </si>
  <si>
    <t>NIIPA</t>
  </si>
  <si>
    <t>NILP</t>
  </si>
  <si>
    <t>560 μM</t>
  </si>
  <si>
    <t>NIPPLTQTPV</t>
  </si>
  <si>
    <t>173 μM</t>
  </si>
  <si>
    <t>NIPPLTQTPVVVPPFIQ</t>
  </si>
  <si>
    <t>450 μM</t>
  </si>
  <si>
    <t>NIPPLTQTPVVVPPFIQPEVMGVSK</t>
  </si>
  <si>
    <t>NK</t>
  </si>
  <si>
    <t>810 μM</t>
  </si>
  <si>
    <t>NKL</t>
  </si>
  <si>
    <t>88 μM</t>
  </si>
  <si>
    <t>NLAPFL</t>
  </si>
  <si>
    <t>NLDTDI</t>
  </si>
  <si>
    <t>NLDTDL</t>
  </si>
  <si>
    <t>NLHLP</t>
  </si>
  <si>
    <t>420 μM</t>
  </si>
  <si>
    <t>NLHLPLP</t>
  </si>
  <si>
    <t>51 μM</t>
  </si>
  <si>
    <t>NLHLPLPLL</t>
  </si>
  <si>
    <t>NMAINPSK</t>
  </si>
  <si>
    <t>NNVMLQW</t>
  </si>
  <si>
    <t>40.74 μM</t>
  </si>
  <si>
    <t>NP</t>
  </si>
  <si>
    <t>NPAVVRP</t>
  </si>
  <si>
    <t>NPP</t>
  </si>
  <si>
    <t>NPPHQIYP</t>
  </si>
  <si>
    <t>NQFLP</t>
  </si>
  <si>
    <t>NRVYVHPF</t>
  </si>
  <si>
    <t>NSAEER</t>
  </si>
  <si>
    <t>NVPGEIVE</t>
  </si>
  <si>
    <t>NVPGEIVESL</t>
  </si>
  <si>
    <t>NVR</t>
  </si>
  <si>
    <t>NWGPLV</t>
  </si>
  <si>
    <t>21 μM</t>
  </si>
  <si>
    <t>NY</t>
  </si>
  <si>
    <t>NYVADGLG</t>
  </si>
  <si>
    <t>PA</t>
  </si>
  <si>
    <t>PAGPR</t>
  </si>
  <si>
    <t>PAGPVG</t>
  </si>
  <si>
    <t>PAHIAW</t>
  </si>
  <si>
    <t>PANIKWGD</t>
  </si>
  <si>
    <t>PANLPWGSSNV</t>
  </si>
  <si>
    <t>PAP</t>
  </si>
  <si>
    <t>87 μM</t>
  </si>
  <si>
    <t>PAVVLP</t>
  </si>
  <si>
    <t>PAVVRP</t>
  </si>
  <si>
    <t>PCHIAW</t>
  </si>
  <si>
    <t>PDHIAW</t>
  </si>
  <si>
    <t>PEAAELMMEVDP</t>
  </si>
  <si>
    <t>80.69 %</t>
  </si>
  <si>
    <t>PER</t>
  </si>
  <si>
    <t>PEW</t>
  </si>
  <si>
    <t>PFAQTQSLVYP</t>
  </si>
  <si>
    <t>PFFDPQIP</t>
  </si>
  <si>
    <t>PFP</t>
  </si>
  <si>
    <t>144 μM</t>
  </si>
  <si>
    <t>PFPE</t>
  </si>
  <si>
    <t>PFPEVFGK</t>
  </si>
  <si>
    <t>PFPGPIPN</t>
  </si>
  <si>
    <t>PG</t>
  </si>
  <si>
    <t>PGG</t>
  </si>
  <si>
    <t>PGI</t>
  </si>
  <si>
    <t>PGL</t>
  </si>
  <si>
    <t>13.93 μM</t>
  </si>
  <si>
    <t>PGP</t>
  </si>
  <si>
    <t>PGPIHN</t>
  </si>
  <si>
    <t>PGPIP</t>
  </si>
  <si>
    <t>PGPLGLTGP</t>
  </si>
  <si>
    <t>0.21 mg/ml</t>
  </si>
  <si>
    <t>PGR</t>
  </si>
  <si>
    <t>PGTAVFK</t>
  </si>
  <si>
    <t>PH</t>
  </si>
  <si>
    <t>PHQIYP</t>
  </si>
  <si>
    <t>PI</t>
  </si>
  <si>
    <t>PIP</t>
  </si>
  <si>
    <t>PK</t>
  </si>
  <si>
    <t>PKAIP</t>
  </si>
  <si>
    <t>592.2 μM</t>
  </si>
  <si>
    <t>PKDLREN</t>
  </si>
  <si>
    <t>9.82 μM</t>
  </si>
  <si>
    <t>PKHKEMPFPPKYPVEPFT</t>
  </si>
  <si>
    <t>PKHP</t>
  </si>
  <si>
    <t>709.1 μM</t>
  </si>
  <si>
    <t>PKIDAMREKVLA</t>
  </si>
  <si>
    <t>103 μM</t>
  </si>
  <si>
    <t>PL</t>
  </si>
  <si>
    <t>337.32 μM</t>
  </si>
  <si>
    <t>PLG</t>
  </si>
  <si>
    <t>4.74 μM</t>
  </si>
  <si>
    <t>PLIYP</t>
  </si>
  <si>
    <t>4.4 μM</t>
  </si>
  <si>
    <t>PLP</t>
  </si>
  <si>
    <t>430 μM</t>
  </si>
  <si>
    <t>PLPLL</t>
  </si>
  <si>
    <t>0.25 mg/ml</t>
  </si>
  <si>
    <t>PLTQTP</t>
  </si>
  <si>
    <t>PLW</t>
  </si>
  <si>
    <t>PMNPP</t>
  </si>
  <si>
    <t>PNNKPFQ</t>
  </si>
  <si>
    <t>33 μM</t>
  </si>
  <si>
    <t>PNRIKYGD</t>
  </si>
  <si>
    <t>4 μM</t>
  </si>
  <si>
    <t>PNSHP</t>
  </si>
  <si>
    <t>PP</t>
  </si>
  <si>
    <t>PPEIN</t>
  </si>
  <si>
    <t>0.29 mg/ml</t>
  </si>
  <si>
    <t>PPF</t>
  </si>
  <si>
    <t>PPFLQPEV</t>
  </si>
  <si>
    <t>PPG</t>
  </si>
  <si>
    <t>PPHQIYP</t>
  </si>
  <si>
    <t>PPK</t>
  </si>
  <si>
    <t>PPL</t>
  </si>
  <si>
    <t>PPLTQTPV</t>
  </si>
  <si>
    <t>PPP</t>
  </si>
  <si>
    <t>PPPVHL</t>
  </si>
  <si>
    <t>PPQSVLSLSQSKVLPVPQ</t>
  </si>
  <si>
    <t>25 mM/L</t>
  </si>
  <si>
    <t>PQ</t>
  </si>
  <si>
    <t>PQAFP</t>
  </si>
  <si>
    <t>585 μM</t>
  </si>
  <si>
    <t>PQEVLP</t>
  </si>
  <si>
    <t>800 μM</t>
  </si>
  <si>
    <t>PQNILP</t>
  </si>
  <si>
    <t>177.33 μM</t>
  </si>
  <si>
    <t>PQNIPPLTQT</t>
  </si>
  <si>
    <t>PQPIP</t>
  </si>
  <si>
    <t>340 μM</t>
  </si>
  <si>
    <t>PQPLIYP</t>
  </si>
  <si>
    <t>PQR</t>
  </si>
  <si>
    <t>401 μM</t>
  </si>
  <si>
    <t>PQRDMP</t>
  </si>
  <si>
    <t>PQTLALP</t>
  </si>
  <si>
    <t>110 μM</t>
  </si>
  <si>
    <t>PR</t>
  </si>
  <si>
    <t>PRHQG</t>
  </si>
  <si>
    <t>20.67 μM</t>
  </si>
  <si>
    <t>PRKEKLCTTS</t>
  </si>
  <si>
    <t>142 μM</t>
  </si>
  <si>
    <t>PRVF</t>
  </si>
  <si>
    <t>PRY</t>
  </si>
  <si>
    <t>PSFQP</t>
  </si>
  <si>
    <t>73 μM</t>
  </si>
  <si>
    <t>PSFQPQPLIYP</t>
  </si>
  <si>
    <t>PSGQYY</t>
  </si>
  <si>
    <t>PSKIKWGD</t>
  </si>
  <si>
    <t>68 μM</t>
  </si>
  <si>
    <t>PSSNK</t>
  </si>
  <si>
    <t>129 μM</t>
  </si>
  <si>
    <t>PSY</t>
  </si>
  <si>
    <t>PT</t>
  </si>
  <si>
    <t>PTFIAW</t>
  </si>
  <si>
    <t>PTHDAW</t>
  </si>
  <si>
    <t>PTHGAW</t>
  </si>
  <si>
    <t>PTHIAW</t>
  </si>
  <si>
    <t>0.39 μM</t>
  </si>
  <si>
    <t>PTHIDW</t>
  </si>
  <si>
    <t>12.88 μM</t>
  </si>
  <si>
    <t>PTHIK</t>
  </si>
  <si>
    <t>PTHIKW</t>
  </si>
  <si>
    <t>PTHIKWD</t>
  </si>
  <si>
    <t>38 μM</t>
  </si>
  <si>
    <t>PTHIKWG</t>
  </si>
  <si>
    <t>7.59 μM</t>
  </si>
  <si>
    <t>PTHIKWGD</t>
  </si>
  <si>
    <t>0.9 μM</t>
  </si>
  <si>
    <t>PTHIKWN</t>
  </si>
  <si>
    <t>38.02 μM</t>
  </si>
  <si>
    <t>PTHIW</t>
  </si>
  <si>
    <t>PTHKAW</t>
  </si>
  <si>
    <t>PTHVAW</t>
  </si>
  <si>
    <t>PTPAP</t>
  </si>
  <si>
    <t>PTPVP</t>
  </si>
  <si>
    <t>256.41 μM</t>
  </si>
  <si>
    <t>PVEPFTESQ</t>
  </si>
  <si>
    <t>PVGLVQPASATLYDY</t>
  </si>
  <si>
    <t>PVLGPVRGPF</t>
  </si>
  <si>
    <t>PVNNPQIH</t>
  </si>
  <si>
    <t>PVP</t>
  </si>
  <si>
    <t>PVPQP</t>
  </si>
  <si>
    <t>PVQALLLNQELLLNP</t>
  </si>
  <si>
    <t>PVRAVP</t>
  </si>
  <si>
    <t>PVRGPFPIIV</t>
  </si>
  <si>
    <t>PVVVPPFLQ</t>
  </si>
  <si>
    <t>PVVVPPFLQPEV</t>
  </si>
  <si>
    <t>PY</t>
  </si>
  <si>
    <t>PYK</t>
  </si>
  <si>
    <t>2400 μM</t>
  </si>
  <si>
    <t>PYKW</t>
  </si>
  <si>
    <t>17.2 μM</t>
  </si>
  <si>
    <t>PYKWLP</t>
  </si>
  <si>
    <t>5.5 μM</t>
  </si>
  <si>
    <t>PYP</t>
  </si>
  <si>
    <t>PYVRYL</t>
  </si>
  <si>
    <t>QAFT</t>
  </si>
  <si>
    <t>QEPVLGPVRGPFP</t>
  </si>
  <si>
    <t>QEVLP</t>
  </si>
  <si>
    <t>QF</t>
  </si>
  <si>
    <t>QFYQLD</t>
  </si>
  <si>
    <t>QG</t>
  </si>
  <si>
    <t>QGR</t>
  </si>
  <si>
    <t>QHEAT</t>
  </si>
  <si>
    <t>QIGLF</t>
  </si>
  <si>
    <t>75 μM</t>
  </si>
  <si>
    <t>QK</t>
  </si>
  <si>
    <t>QKALNEINQF</t>
  </si>
  <si>
    <t>QKAVPYPQRDMPI</t>
  </si>
  <si>
    <t>QKF</t>
  </si>
  <si>
    <t>QKPRN</t>
  </si>
  <si>
    <t>QKTAP</t>
  </si>
  <si>
    <t>QKW</t>
  </si>
  <si>
    <t>QLADVSPAAFLTQQQLLPFYLHAM</t>
  </si>
  <si>
    <t>QLGFLGPR</t>
  </si>
  <si>
    <t>QLLKLK</t>
  </si>
  <si>
    <t>342.4 μM</t>
  </si>
  <si>
    <t>QN</t>
  </si>
  <si>
    <t>89 μM</t>
  </si>
  <si>
    <t>QNALIVRYTR</t>
  </si>
  <si>
    <t>QNILP</t>
  </si>
  <si>
    <t>QNIPP</t>
  </si>
  <si>
    <t>QNLLRF</t>
  </si>
  <si>
    <t>82.4 mg/ml</t>
  </si>
  <si>
    <t>QP</t>
  </si>
  <si>
    <t>65.8 μM</t>
  </si>
  <si>
    <t>QPIP</t>
  </si>
  <si>
    <t>860 μM</t>
  </si>
  <si>
    <t>QPLIYP</t>
  </si>
  <si>
    <t>3.6 μM</t>
  </si>
  <si>
    <t>QPQ</t>
  </si>
  <si>
    <t>QPQPLIYP</t>
  </si>
  <si>
    <t>QQI</t>
  </si>
  <si>
    <t>QQQG</t>
  </si>
  <si>
    <t>QQRRLLRRK</t>
  </si>
  <si>
    <t>QSEPKAIP</t>
  </si>
  <si>
    <t>QSLVYP</t>
  </si>
  <si>
    <t>41 μM</t>
  </si>
  <si>
    <t>QSQPQAFP</t>
  </si>
  <si>
    <t>QSWMHQPHQ</t>
  </si>
  <si>
    <t>QSWMHQPHQPLPPTVM</t>
  </si>
  <si>
    <t>QTQSLVYP</t>
  </si>
  <si>
    <t>QTQYTDAPSFSDIPNPIGSENSEKTTMPLW</t>
  </si>
  <si>
    <t>346 mM/L</t>
  </si>
  <si>
    <t>QVPQPIP</t>
  </si>
  <si>
    <t>660 μM</t>
  </si>
  <si>
    <t>QVSLNSGYY</t>
  </si>
  <si>
    <t>QVVF</t>
  </si>
  <si>
    <t>RA</t>
  </si>
  <si>
    <t>460 μM</t>
  </si>
  <si>
    <t>RADHP</t>
  </si>
  <si>
    <t>20.48 mg/ml</t>
  </si>
  <si>
    <t>RADHPF</t>
  </si>
  <si>
    <t>RADHPFL</t>
  </si>
  <si>
    <t>RADHRYNDLGHR</t>
  </si>
  <si>
    <t>RALP</t>
  </si>
  <si>
    <t>0.65 mM</t>
  </si>
  <si>
    <t>RASDPLLSV</t>
  </si>
  <si>
    <t>RCPET</t>
  </si>
  <si>
    <t>RDLPG</t>
  </si>
  <si>
    <t>RDMPIQAF</t>
  </si>
  <si>
    <t>197.46 μM</t>
  </si>
  <si>
    <t>REKVLASS</t>
  </si>
  <si>
    <t>RELEE</t>
  </si>
  <si>
    <t>RELEEL</t>
  </si>
  <si>
    <t>REQEEL</t>
  </si>
  <si>
    <t>REYLLVAQ</t>
  </si>
  <si>
    <t>RF</t>
  </si>
  <si>
    <t>RFH</t>
  </si>
  <si>
    <t>RG</t>
  </si>
  <si>
    <t>RGLERA</t>
  </si>
  <si>
    <t>RGP</t>
  </si>
  <si>
    <t>RGPFPIIV</t>
  </si>
  <si>
    <t>RGY</t>
  </si>
  <si>
    <t>61.9 μM</t>
  </si>
  <si>
    <t>RIGLF</t>
  </si>
  <si>
    <t>116 μM</t>
  </si>
  <si>
    <t>RIY</t>
  </si>
  <si>
    <t>RL</t>
  </si>
  <si>
    <t>RLLLKLRQ</t>
  </si>
  <si>
    <t>RLPSEFDLSAFLRA</t>
  </si>
  <si>
    <t>0.46 mg/ml</t>
  </si>
  <si>
    <t>RLSGQTIEVTSEYLFRH</t>
  </si>
  <si>
    <t>1.14 mg/ml</t>
  </si>
  <si>
    <t>RML</t>
  </si>
  <si>
    <t>RMLGNTPTK</t>
  </si>
  <si>
    <t>RMLGQ</t>
  </si>
  <si>
    <t>354.81 μM</t>
  </si>
  <si>
    <t>RMLGQTP</t>
  </si>
  <si>
    <t>501.19 μM</t>
  </si>
  <si>
    <t>RMLGQTPTK</t>
  </si>
  <si>
    <t>34 μM</t>
  </si>
  <si>
    <t>RMLGQTPWK</t>
  </si>
  <si>
    <t>RMLGQYPYK</t>
  </si>
  <si>
    <t>RNAVPITPTL</t>
  </si>
  <si>
    <t>RNDDLNYIQ</t>
  </si>
  <si>
    <t>RNEQMGAGRLGRLRK</t>
  </si>
  <si>
    <t>RP</t>
  </si>
  <si>
    <t>RPF</t>
  </si>
  <si>
    <t>RPG</t>
  </si>
  <si>
    <t>RPK</t>
  </si>
  <si>
    <t>RPKH</t>
  </si>
  <si>
    <t>&gt;1863 μM</t>
  </si>
  <si>
    <t>RPKHP</t>
  </si>
  <si>
    <t>RPKHPI</t>
  </si>
  <si>
    <t>40.3 μM</t>
  </si>
  <si>
    <t>RPKHPIK</t>
  </si>
  <si>
    <t>RPKHPIKH</t>
  </si>
  <si>
    <t>892.83 mg/ml</t>
  </si>
  <si>
    <t>RPKHPIKHQ</t>
  </si>
  <si>
    <t>RPKHPIKHQGLPQ</t>
  </si>
  <si>
    <t>RPKHPIKHQGLPQEV</t>
  </si>
  <si>
    <t>RPKHPIKHQGLPQEVLNEN</t>
  </si>
  <si>
    <t>RPLA</t>
  </si>
  <si>
    <t>RPLKPW</t>
  </si>
  <si>
    <t>RPP</t>
  </si>
  <si>
    <t>RPQIPP</t>
  </si>
  <si>
    <t>166 μM</t>
  </si>
  <si>
    <t>RPR</t>
  </si>
  <si>
    <t>382 μM</t>
  </si>
  <si>
    <t>RPYL</t>
  </si>
  <si>
    <t>56.5 μM</t>
  </si>
  <si>
    <t>RR</t>
  </si>
  <si>
    <t>267.1 μM</t>
  </si>
  <si>
    <t>RRARGERMSRRK</t>
  </si>
  <si>
    <t>RRQRRRRMRKDK</t>
  </si>
  <si>
    <t>RRR</t>
  </si>
  <si>
    <t>RRWQWR</t>
  </si>
  <si>
    <t>RS</t>
  </si>
  <si>
    <t>61.5 μM</t>
  </si>
  <si>
    <t>RVAPEEHPT</t>
  </si>
  <si>
    <t>RVPSL</t>
  </si>
  <si>
    <t>20 μM</t>
  </si>
  <si>
    <t>RVPSLM</t>
  </si>
  <si>
    <t>23.07 μM/L</t>
  </si>
  <si>
    <t>RVY</t>
  </si>
  <si>
    <t>RW</t>
  </si>
  <si>
    <t>RY</t>
  </si>
  <si>
    <t>RYLGY</t>
  </si>
  <si>
    <t>0.71 μM</t>
  </si>
  <si>
    <t>RYPSYG</t>
  </si>
  <si>
    <t>SAPLRVY</t>
  </si>
  <si>
    <t>SAYPGQITSN</t>
  </si>
  <si>
    <t>SCHTG</t>
  </si>
  <si>
    <t>SDNRNQGY</t>
  </si>
  <si>
    <t>SF</t>
  </si>
  <si>
    <t>SFHPYFSY</t>
  </si>
  <si>
    <t>SFQPQPLIYP</t>
  </si>
  <si>
    <t>SG</t>
  </si>
  <si>
    <t>SGIQSEPKAIP</t>
  </si>
  <si>
    <t>SGPLRPFF</t>
  </si>
  <si>
    <t>SHP</t>
  </si>
  <si>
    <t>SIQSQPQAFP</t>
  </si>
  <si>
    <t>SKPHT</t>
  </si>
  <si>
    <t>SKVLPVPE</t>
  </si>
  <si>
    <t>SKVLPVPQ</t>
  </si>
  <si>
    <t>SKVLPVPQK</t>
  </si>
  <si>
    <t>SKVPP</t>
  </si>
  <si>
    <t>74.13 μM</t>
  </si>
  <si>
    <t>SKVYP</t>
  </si>
  <si>
    <t>SKVYPFPGPI</t>
  </si>
  <si>
    <t>1.7 mg/ml</t>
  </si>
  <si>
    <t>SL</t>
  </si>
  <si>
    <t>SLPQ</t>
  </si>
  <si>
    <t>330 μM</t>
  </si>
  <si>
    <t>SLVLPVPE</t>
  </si>
  <si>
    <t>SLVYP</t>
  </si>
  <si>
    <t>40 μM</t>
  </si>
  <si>
    <t>SNIP</t>
  </si>
  <si>
    <t>228.3 μM</t>
  </si>
  <si>
    <t>SPP</t>
  </si>
  <si>
    <t>SPPEIN</t>
  </si>
  <si>
    <t>SPPPFYL</t>
  </si>
  <si>
    <t>63.1 μM</t>
  </si>
  <si>
    <t>SPYP</t>
  </si>
  <si>
    <t>850 μM</t>
  </si>
  <si>
    <t>SQPK</t>
  </si>
  <si>
    <t>354 μM</t>
  </si>
  <si>
    <t>SQSKVLPVPQ</t>
  </si>
  <si>
    <t>92 μM</t>
  </si>
  <si>
    <t>SRGKQ</t>
  </si>
  <si>
    <t>SRY</t>
  </si>
  <si>
    <t>SSIQSQPQAFT</t>
  </si>
  <si>
    <t>ST</t>
  </si>
  <si>
    <t>4.03 μM</t>
  </si>
  <si>
    <t>STYQT</t>
  </si>
  <si>
    <t>300.4 μM</t>
  </si>
  <si>
    <t>SVAKL</t>
  </si>
  <si>
    <t>891.25 μM</t>
  </si>
  <si>
    <t>SVAKLE</t>
  </si>
  <si>
    <t>2187.76 μM</t>
  </si>
  <si>
    <t>SVAKLEK</t>
  </si>
  <si>
    <t>82 μM</t>
  </si>
  <si>
    <t>SVR</t>
  </si>
  <si>
    <t>SVY</t>
  </si>
  <si>
    <t>SWSF</t>
  </si>
  <si>
    <t>76.3 μM</t>
  </si>
  <si>
    <t>SY</t>
  </si>
  <si>
    <t>TAP</t>
  </si>
  <si>
    <t>TAPY</t>
  </si>
  <si>
    <t>TAQVTSTEV</t>
  </si>
  <si>
    <t>TCRGLERA</t>
  </si>
  <si>
    <t>TCSP</t>
  </si>
  <si>
    <t>68.00 %</t>
  </si>
  <si>
    <t>TDQHQDKIYP</t>
  </si>
  <si>
    <t>TDVEK</t>
  </si>
  <si>
    <t>TE</t>
  </si>
  <si>
    <t>TEDELQDKIHP</t>
  </si>
  <si>
    <t>TF</t>
  </si>
  <si>
    <t>TFPHGP</t>
  </si>
  <si>
    <t>0.068 mg/ml</t>
  </si>
  <si>
    <t>TG</t>
  </si>
  <si>
    <t>TGGGNA</t>
  </si>
  <si>
    <t>85.00 %</t>
  </si>
  <si>
    <t>TGGGNV</t>
  </si>
  <si>
    <t>TGPIPN</t>
  </si>
  <si>
    <t>316 μM</t>
  </si>
  <si>
    <t>TGPIPNSLPQ</t>
  </si>
  <si>
    <t>TGVY</t>
  </si>
  <si>
    <t>18.2 μM</t>
  </si>
  <si>
    <t>THDWWKER</t>
  </si>
  <si>
    <t>THIKWGD</t>
  </si>
  <si>
    <t>TIIPLPV</t>
  </si>
  <si>
    <t>TK</t>
  </si>
  <si>
    <t>TKIVP</t>
  </si>
  <si>
    <t>400 μM</t>
  </si>
  <si>
    <t>TKKTKLTEEEKNRL</t>
  </si>
  <si>
    <t>TKTGRSAHVLSRYRPRA</t>
  </si>
  <si>
    <t>TKVIP</t>
  </si>
  <si>
    <t>TKY</t>
  </si>
  <si>
    <t>TNGIIR</t>
  </si>
  <si>
    <t>TNP</t>
  </si>
  <si>
    <t>TP</t>
  </si>
  <si>
    <t>TPLPLAGPPR</t>
  </si>
  <si>
    <t>TPPAGPDGGPP</t>
  </si>
  <si>
    <t>TPRVF</t>
  </si>
  <si>
    <t>200 μM</t>
  </si>
  <si>
    <t>TPSPR</t>
  </si>
  <si>
    <t>TPVVVPPFLQP</t>
  </si>
  <si>
    <t>749 μM</t>
  </si>
  <si>
    <t>TPWVPPFLQP</t>
  </si>
  <si>
    <t>TQ</t>
  </si>
  <si>
    <t>TQPKTNAIPY</t>
  </si>
  <si>
    <t>TQSLVYP</t>
  </si>
  <si>
    <t>TQTPVVVPPFIQPE</t>
  </si>
  <si>
    <t>TQVY</t>
  </si>
  <si>
    <t>TRDQQ</t>
  </si>
  <si>
    <t>TRGKQ</t>
  </si>
  <si>
    <t>TTENVLFG</t>
  </si>
  <si>
    <t>3.03 mg/ml</t>
  </si>
  <si>
    <t>TTI</t>
  </si>
  <si>
    <t>TTMLIQDEDDLEMA</t>
  </si>
  <si>
    <t>TTMPLW</t>
  </si>
  <si>
    <t>12 μM</t>
  </si>
  <si>
    <t>TTN</t>
  </si>
  <si>
    <t>TVDQ</t>
  </si>
  <si>
    <t>TVDQHQ</t>
  </si>
  <si>
    <t>183.5 μM</t>
  </si>
  <si>
    <t>TVPY</t>
  </si>
  <si>
    <t>2.0 μM</t>
  </si>
  <si>
    <t>TVVPG</t>
  </si>
  <si>
    <t>TVY</t>
  </si>
  <si>
    <t>TVYTKGRVMP</t>
  </si>
  <si>
    <t>TYCQ</t>
  </si>
  <si>
    <t>TYLGS</t>
  </si>
  <si>
    <t>VA</t>
  </si>
  <si>
    <t>VAA</t>
  </si>
  <si>
    <t>VADVYVGK</t>
  </si>
  <si>
    <t>2.82 μM</t>
  </si>
  <si>
    <t>VAF</t>
  </si>
  <si>
    <t>35.8 μM</t>
  </si>
  <si>
    <t>VAGTW</t>
  </si>
  <si>
    <t>534 μM</t>
  </si>
  <si>
    <t>VAGTWY</t>
  </si>
  <si>
    <t>1682 μM</t>
  </si>
  <si>
    <t>VAHINVGK</t>
  </si>
  <si>
    <t>VAHINVWK</t>
  </si>
  <si>
    <t>3.47 μM</t>
  </si>
  <si>
    <t>VAND</t>
  </si>
  <si>
    <t>411 μM</t>
  </si>
  <si>
    <t>VAP</t>
  </si>
  <si>
    <t>0.00534 mg/ml</t>
  </si>
  <si>
    <t>VAPEEHPT</t>
  </si>
  <si>
    <t>VAPEEHPV</t>
  </si>
  <si>
    <t>VAPFPEV</t>
  </si>
  <si>
    <t>VAPFPEVF</t>
  </si>
  <si>
    <t>362.5 ± 23.56 μM</t>
  </si>
  <si>
    <t>VAPFPEVFGKE</t>
  </si>
  <si>
    <t>VAV</t>
  </si>
  <si>
    <t>260 μM</t>
  </si>
  <si>
    <t>VAW</t>
  </si>
  <si>
    <t>2.86 μM</t>
  </si>
  <si>
    <t>VAWKL</t>
  </si>
  <si>
    <t>31.62 μM</t>
  </si>
  <si>
    <t>VAY</t>
  </si>
  <si>
    <t>16 μM</t>
  </si>
  <si>
    <t>VCYNQ</t>
  </si>
  <si>
    <t>VD</t>
  </si>
  <si>
    <t>VDF</t>
  </si>
  <si>
    <t>VDFEG</t>
  </si>
  <si>
    <t>VDKEA</t>
  </si>
  <si>
    <t>VDP</t>
  </si>
  <si>
    <t>VDSDVVKG</t>
  </si>
  <si>
    <t>VDW</t>
  </si>
  <si>
    <t>VE</t>
  </si>
  <si>
    <t>VECYGPNRPQF</t>
  </si>
  <si>
    <t>29.6 μM</t>
  </si>
  <si>
    <t>VEELKP</t>
  </si>
  <si>
    <t>VEF</t>
  </si>
  <si>
    <t>VEFEG</t>
  </si>
  <si>
    <t>VEGY</t>
  </si>
  <si>
    <t>0.06 mg/ml</t>
  </si>
  <si>
    <t>VENLHLPLPL</t>
  </si>
  <si>
    <t>VENLHLPLPLL</t>
  </si>
  <si>
    <t>175 μM</t>
  </si>
  <si>
    <t>VEP</t>
  </si>
  <si>
    <t>VEQKHIQKE</t>
  </si>
  <si>
    <t>VEY</t>
  </si>
  <si>
    <t>VF</t>
  </si>
  <si>
    <t>VFER</t>
  </si>
  <si>
    <t>152.8 μM</t>
  </si>
  <si>
    <t>VFEWAFAR</t>
  </si>
  <si>
    <t>12.68 mg/ml</t>
  </si>
  <si>
    <t>VFGKEK</t>
  </si>
  <si>
    <t>VFGR</t>
  </si>
  <si>
    <t>VFK</t>
  </si>
  <si>
    <t>VFNNNPQE</t>
  </si>
  <si>
    <t>VFPGCPET</t>
  </si>
  <si>
    <t>VFPS</t>
  </si>
  <si>
    <t>0.46 μM</t>
  </si>
  <si>
    <t>VG</t>
  </si>
  <si>
    <t>VGINYWLAHK</t>
  </si>
  <si>
    <t>327 μM</t>
  </si>
  <si>
    <t>VGINYWLAHKHK</t>
  </si>
  <si>
    <t>VGLPIF</t>
  </si>
  <si>
    <t>25.26 mg/ml</t>
  </si>
  <si>
    <t>VGP</t>
  </si>
  <si>
    <t>VGPAPWGF</t>
  </si>
  <si>
    <t>VGPR</t>
  </si>
  <si>
    <t>VGVIKAVDKKAGGAGKVT</t>
  </si>
  <si>
    <t>VHIPP</t>
  </si>
  <si>
    <t>VHLAP</t>
  </si>
  <si>
    <t>VHLPP</t>
  </si>
  <si>
    <t>VHLPPP</t>
  </si>
  <si>
    <t>VHRKC</t>
  </si>
  <si>
    <t>VHSSIQSQPQAFT</t>
  </si>
  <si>
    <t>VHY</t>
  </si>
  <si>
    <t>VHYEA</t>
  </si>
  <si>
    <t>VI</t>
  </si>
  <si>
    <t>VIEKYP</t>
  </si>
  <si>
    <t>0.1 μM</t>
  </si>
  <si>
    <t>VIF</t>
  </si>
  <si>
    <t>7.5 μM</t>
  </si>
  <si>
    <t>VIGSPPEIN</t>
  </si>
  <si>
    <t>VIGSPPQIN</t>
  </si>
  <si>
    <t>VIIF</t>
  </si>
  <si>
    <t>0.0027 mg/ml</t>
  </si>
  <si>
    <t>VIKP</t>
  </si>
  <si>
    <t>VIP</t>
  </si>
  <si>
    <t>VIPAAY</t>
  </si>
  <si>
    <t>VIPEL</t>
  </si>
  <si>
    <t>799.24 μM</t>
  </si>
  <si>
    <t>VIY</t>
  </si>
  <si>
    <t>VK</t>
  </si>
  <si>
    <t>VKAGE</t>
  </si>
  <si>
    <t>141.56 μM</t>
  </si>
  <si>
    <t>VKAGF</t>
  </si>
  <si>
    <t>20.3 μM</t>
  </si>
  <si>
    <t>VKD</t>
  </si>
  <si>
    <t>VKEDQ</t>
  </si>
  <si>
    <t>VKELQ</t>
  </si>
  <si>
    <t>VKELY</t>
  </si>
  <si>
    <t>VKETT</t>
  </si>
  <si>
    <t>VKF</t>
  </si>
  <si>
    <t>1029 μM</t>
  </si>
  <si>
    <t>VKH</t>
  </si>
  <si>
    <t>VKHTT</t>
  </si>
  <si>
    <t>VKHWPW</t>
  </si>
  <si>
    <t>VKITVDDKHY</t>
  </si>
  <si>
    <t>VKK</t>
  </si>
  <si>
    <t>0.036 mg/ml</t>
  </si>
  <si>
    <t>VKKTC</t>
  </si>
  <si>
    <t>VKKVLGNP</t>
  </si>
  <si>
    <t>28.5 μM</t>
  </si>
  <si>
    <t>VKN</t>
  </si>
  <si>
    <t>VKNDT</t>
  </si>
  <si>
    <t>VKNEE</t>
  </si>
  <si>
    <t>VKP</t>
  </si>
  <si>
    <t>VL</t>
  </si>
  <si>
    <t>VLAQYK</t>
  </si>
  <si>
    <t>VLDTDYK</t>
  </si>
  <si>
    <t>946 μM</t>
  </si>
  <si>
    <t>VLGP</t>
  </si>
  <si>
    <t>VLGPVRGPFP</t>
  </si>
  <si>
    <t>137 μM</t>
  </si>
  <si>
    <t>VLGPVRGPFPIIV</t>
  </si>
  <si>
    <t>&gt;700 μM</t>
  </si>
  <si>
    <t>VLIVP</t>
  </si>
  <si>
    <t>1.69 μM</t>
  </si>
  <si>
    <t>VLNENL</t>
  </si>
  <si>
    <t>VLP</t>
  </si>
  <si>
    <t>VLPEI</t>
  </si>
  <si>
    <t>VLPIP</t>
  </si>
  <si>
    <t>31 μM</t>
  </si>
  <si>
    <t>VLPIPQ</t>
  </si>
  <si>
    <t>5300 μM</t>
  </si>
  <si>
    <t>VLPVPQ</t>
  </si>
  <si>
    <t>VLPVPQK</t>
  </si>
  <si>
    <t>VLPYP</t>
  </si>
  <si>
    <t>36 μM</t>
  </si>
  <si>
    <t>VLPYPV</t>
  </si>
  <si>
    <t>VLY</t>
  </si>
  <si>
    <t>VLYRDG</t>
  </si>
  <si>
    <t>VMDKPQG</t>
  </si>
  <si>
    <t>38.9 μM</t>
  </si>
  <si>
    <t>VMP</t>
  </si>
  <si>
    <t>29 μM</t>
  </si>
  <si>
    <t>VNEL</t>
  </si>
  <si>
    <t>VNGSEKSKF</t>
  </si>
  <si>
    <t>VNP</t>
  </si>
  <si>
    <t>VP</t>
  </si>
  <si>
    <t>VPFGVG</t>
  </si>
  <si>
    <t>336 μM</t>
  </si>
  <si>
    <t>VPK</t>
  </si>
  <si>
    <t>VPKVK</t>
  </si>
  <si>
    <t>93.7 μM</t>
  </si>
  <si>
    <t>VPKVKE</t>
  </si>
  <si>
    <t>VPKVKET</t>
  </si>
  <si>
    <t>VPLGTQYT</t>
  </si>
  <si>
    <t>VPP</t>
  </si>
  <si>
    <t>VPPFLQPEV</t>
  </si>
  <si>
    <t>VPPIPP</t>
  </si>
  <si>
    <t>34.71 %</t>
  </si>
  <si>
    <t>VPQ</t>
  </si>
  <si>
    <t>VPQP</t>
  </si>
  <si>
    <t>VPQPIP</t>
  </si>
  <si>
    <t>290 μM</t>
  </si>
  <si>
    <t>VPSERY</t>
  </si>
  <si>
    <t>VPSERYL</t>
  </si>
  <si>
    <t>249.5 μM</t>
  </si>
  <si>
    <t>VPYPQRDMPIQA</t>
  </si>
  <si>
    <t>VQ</t>
  </si>
  <si>
    <t>VQV</t>
  </si>
  <si>
    <t>VQVTSTAV</t>
  </si>
  <si>
    <t>VR</t>
  </si>
  <si>
    <t>0.332 mg/ml</t>
  </si>
  <si>
    <t>VRC</t>
  </si>
  <si>
    <t>VRF</t>
  </si>
  <si>
    <t>1.3 μM</t>
  </si>
  <si>
    <t>VRGP</t>
  </si>
  <si>
    <t>VRGPFP</t>
  </si>
  <si>
    <t>505.28 μM</t>
  </si>
  <si>
    <t>VRGPFPIIV</t>
  </si>
  <si>
    <t>395 μM</t>
  </si>
  <si>
    <t>VRK</t>
  </si>
  <si>
    <t>700 μM</t>
  </si>
  <si>
    <t>VRKGQ</t>
  </si>
  <si>
    <t>VRL</t>
  </si>
  <si>
    <t>VRLPT</t>
  </si>
  <si>
    <t>VRMPQ</t>
  </si>
  <si>
    <t>VRN</t>
  </si>
  <si>
    <t>VRP</t>
  </si>
  <si>
    <t>VRPEK</t>
  </si>
  <si>
    <t>VRSP</t>
  </si>
  <si>
    <t>2018.27 μM/L</t>
  </si>
  <si>
    <t>VRTPE</t>
  </si>
  <si>
    <t>VRTPEVDD</t>
  </si>
  <si>
    <t>VRW</t>
  </si>
  <si>
    <t>VRWCT</t>
  </si>
  <si>
    <t>VRY</t>
  </si>
  <si>
    <t>VRYL</t>
  </si>
  <si>
    <t>VSKVKET</t>
  </si>
  <si>
    <t>VSLPEW</t>
  </si>
  <si>
    <t>57 μM</t>
  </si>
  <si>
    <t>VSP</t>
  </si>
  <si>
    <t>VSRHFASYAN</t>
  </si>
  <si>
    <t>VSV</t>
  </si>
  <si>
    <t>0.15 μM</t>
  </si>
  <si>
    <t>VSW</t>
  </si>
  <si>
    <t>VTC</t>
  </si>
  <si>
    <t>VTGRFAGHPAAQ</t>
  </si>
  <si>
    <t>VTP</t>
  </si>
  <si>
    <t>VTPALR</t>
  </si>
  <si>
    <t>VTR</t>
  </si>
  <si>
    <t>VTSTAV</t>
  </si>
  <si>
    <t>52 μM</t>
  </si>
  <si>
    <t>VTVNPYKWLP</t>
  </si>
  <si>
    <t>VTY</t>
  </si>
  <si>
    <t>VV</t>
  </si>
  <si>
    <t>VVAPFPE</t>
  </si>
  <si>
    <t>VVAPFPEVF</t>
  </si>
  <si>
    <t>VVF</t>
  </si>
  <si>
    <t>VVGAK</t>
  </si>
  <si>
    <t>1.14 μM</t>
  </si>
  <si>
    <t>VVPP</t>
  </si>
  <si>
    <t>258.21 μM/L</t>
  </si>
  <si>
    <t>VVPPA</t>
  </si>
  <si>
    <t>79.43 μM</t>
  </si>
  <si>
    <t>VVPPFIQPE</t>
  </si>
  <si>
    <t>VVRP</t>
  </si>
  <si>
    <t>81 μM</t>
  </si>
  <si>
    <t>VVV</t>
  </si>
  <si>
    <t>VVVPP</t>
  </si>
  <si>
    <t>284.4 μM</t>
  </si>
  <si>
    <t>VVVPPF</t>
  </si>
  <si>
    <t>VVW</t>
  </si>
  <si>
    <t>22 μM</t>
  </si>
  <si>
    <t>VVY</t>
  </si>
  <si>
    <t>VVYPW</t>
  </si>
  <si>
    <t>0.254 mg/ml</t>
  </si>
  <si>
    <t>VVYPWT</t>
  </si>
  <si>
    <t>6.02 μM</t>
  </si>
  <si>
    <t>VVYPWTQRF</t>
  </si>
  <si>
    <t>0.066 μM/ml</t>
  </si>
  <si>
    <t>VW</t>
  </si>
  <si>
    <t>0.0016 mM</t>
  </si>
  <si>
    <t>VWDPPKFD</t>
  </si>
  <si>
    <t>9.10 μM</t>
  </si>
  <si>
    <t>VWIG</t>
  </si>
  <si>
    <t>VWIS</t>
  </si>
  <si>
    <t>0.030 mM</t>
  </si>
  <si>
    <t>VWP</t>
  </si>
  <si>
    <t>VWY</t>
  </si>
  <si>
    <t>VY</t>
  </si>
  <si>
    <t>VYAP</t>
  </si>
  <si>
    <t>1.19 mg/ml</t>
  </si>
  <si>
    <t>VYHEL</t>
  </si>
  <si>
    <t>VYIHPF</t>
  </si>
  <si>
    <t>VYLAELHF</t>
  </si>
  <si>
    <t>VYLPQ</t>
  </si>
  <si>
    <t>VYNEGLPAP</t>
  </si>
  <si>
    <t>3.1 μM</t>
  </si>
  <si>
    <t>VYP</t>
  </si>
  <si>
    <t>VYPFPG</t>
  </si>
  <si>
    <t>221 μM</t>
  </si>
  <si>
    <t>VYPFPGPI</t>
  </si>
  <si>
    <t>VYPFPGPIHNSLPQNIPPLTQT</t>
  </si>
  <si>
    <t>VYPFPGPIPNSL</t>
  </si>
  <si>
    <t>VYPHK</t>
  </si>
  <si>
    <t>4.59 μM</t>
  </si>
  <si>
    <t>VYVEELKPTPE</t>
  </si>
  <si>
    <t>WA</t>
  </si>
  <si>
    <t>WAP</t>
  </si>
  <si>
    <t>WE</t>
  </si>
  <si>
    <t>WG</t>
  </si>
  <si>
    <t>WGHGNPHV</t>
  </si>
  <si>
    <t>WH</t>
  </si>
  <si>
    <t>WHHTF</t>
  </si>
  <si>
    <t>WL</t>
  </si>
  <si>
    <t>WLAHK</t>
  </si>
  <si>
    <t>WLP</t>
  </si>
  <si>
    <t>WM</t>
  </si>
  <si>
    <t>WNINA</t>
  </si>
  <si>
    <t>WNLNA</t>
  </si>
  <si>
    <t>WP</t>
  </si>
  <si>
    <t>217.27 μM</t>
  </si>
  <si>
    <t>WPEAAELMMEVDP</t>
  </si>
  <si>
    <t>21.6 μM</t>
  </si>
  <si>
    <t>WPERPPQIP</t>
  </si>
  <si>
    <t>25.67 mg/ml</t>
  </si>
  <si>
    <t>WPPRPQIPP</t>
  </si>
  <si>
    <t>WQ</t>
  </si>
  <si>
    <t>WQVLPNAVPAK</t>
  </si>
  <si>
    <t>10.1 μM</t>
  </si>
  <si>
    <t>WQW</t>
  </si>
  <si>
    <t>WSKVVL</t>
  </si>
  <si>
    <t>154.88 μM</t>
  </si>
  <si>
    <t>WSVPQPK</t>
  </si>
  <si>
    <t>WT</t>
  </si>
  <si>
    <t>632 μM</t>
  </si>
  <si>
    <t>WV</t>
  </si>
  <si>
    <t>500.5 μM</t>
  </si>
  <si>
    <t>WVPSV</t>
  </si>
  <si>
    <t>0.368 mg/ml</t>
  </si>
  <si>
    <t>WVPSVY</t>
  </si>
  <si>
    <t>WW</t>
  </si>
  <si>
    <t>WY</t>
  </si>
  <si>
    <t>38.3 μM</t>
  </si>
  <si>
    <t>WYQQVPGSGL</t>
  </si>
  <si>
    <t>WYS</t>
  </si>
  <si>
    <t>WYSL</t>
  </si>
  <si>
    <t>WYSLA</t>
  </si>
  <si>
    <t>86.9 μM</t>
  </si>
  <si>
    <t>WYSLAM</t>
  </si>
  <si>
    <t>56.3 μM</t>
  </si>
  <si>
    <t>WYSLAMA</t>
  </si>
  <si>
    <t>59.9 μM</t>
  </si>
  <si>
    <t>YA</t>
  </si>
  <si>
    <t>YAEERYPIL</t>
  </si>
  <si>
    <t>4.7 μM</t>
  </si>
  <si>
    <t>YAKPVA</t>
  </si>
  <si>
    <t>14.3 μM</t>
  </si>
  <si>
    <t>YALPHA</t>
  </si>
  <si>
    <t>9.8 μM</t>
  </si>
  <si>
    <t>YANPAVVRP</t>
  </si>
  <si>
    <t>7.8 μM</t>
  </si>
  <si>
    <t>YAP</t>
  </si>
  <si>
    <t>0.006 mg/ml</t>
  </si>
  <si>
    <t>YDDGSYKPH</t>
  </si>
  <si>
    <t>YE</t>
  </si>
  <si>
    <t>YEAP</t>
  </si>
  <si>
    <t>YETGNGIK</t>
  </si>
  <si>
    <t>YEY</t>
  </si>
  <si>
    <t>YF</t>
  </si>
  <si>
    <t>YFYPEL</t>
  </si>
  <si>
    <t>YG</t>
  </si>
  <si>
    <t>YGAP</t>
  </si>
  <si>
    <t>17.4 μM</t>
  </si>
  <si>
    <t>YGFLP</t>
  </si>
  <si>
    <t>232.33 μM</t>
  </si>
  <si>
    <t>YGFLPILP</t>
  </si>
  <si>
    <t>YGG</t>
  </si>
  <si>
    <t>YGGVSLPEW</t>
  </si>
  <si>
    <t>YGGY</t>
  </si>
  <si>
    <t>YGL</t>
  </si>
  <si>
    <t>YGLF</t>
  </si>
  <si>
    <t>733 μM</t>
  </si>
  <si>
    <t>YGLVAGTW</t>
  </si>
  <si>
    <t>YGLYP</t>
  </si>
  <si>
    <t>159.27 μM</t>
  </si>
  <si>
    <t>YGNPVGGVGH</t>
  </si>
  <si>
    <t>YGY</t>
  </si>
  <si>
    <t>YH</t>
  </si>
  <si>
    <t>YIEAVNKVSPRAGQF</t>
  </si>
  <si>
    <t>YIHPF</t>
  </si>
  <si>
    <t>YINQMPQKSRE</t>
  </si>
  <si>
    <t>YINQMPQKSREA</t>
  </si>
  <si>
    <t>YIPIQY</t>
  </si>
  <si>
    <t>YIPIQYVL</t>
  </si>
  <si>
    <t>YIPIQYVLSR</t>
  </si>
  <si>
    <t>132.5 μM</t>
  </si>
  <si>
    <t>YK</t>
  </si>
  <si>
    <t>YKVPQL</t>
  </si>
  <si>
    <t>YKW</t>
  </si>
  <si>
    <t>13.3 μM</t>
  </si>
  <si>
    <t>YKWL</t>
  </si>
  <si>
    <t>38.7 μM</t>
  </si>
  <si>
    <t>YKWLP</t>
  </si>
  <si>
    <t>YKY</t>
  </si>
  <si>
    <t>43.5 μM</t>
  </si>
  <si>
    <t>YKYY</t>
  </si>
  <si>
    <t>64.2 μM</t>
  </si>
  <si>
    <t>YL</t>
  </si>
  <si>
    <t>YLAGNQ</t>
  </si>
  <si>
    <t>YLAHK</t>
  </si>
  <si>
    <t>YLEPA</t>
  </si>
  <si>
    <t>YLLF</t>
  </si>
  <si>
    <t>172 μM</t>
  </si>
  <si>
    <t>YLYEIA</t>
  </si>
  <si>
    <t>YLYEIAR</t>
  </si>
  <si>
    <t>YLYEIARR</t>
  </si>
  <si>
    <t>YN</t>
  </si>
  <si>
    <t>YNK</t>
  </si>
  <si>
    <t>125 μM</t>
  </si>
  <si>
    <t>YNKL</t>
  </si>
  <si>
    <t>YP</t>
  </si>
  <si>
    <t>YPER</t>
  </si>
  <si>
    <t>YPF</t>
  </si>
  <si>
    <t>YPFGPIPN</t>
  </si>
  <si>
    <t>YPFPGPI</t>
  </si>
  <si>
    <t>299.25 μM</t>
  </si>
  <si>
    <t>YPFPGPIN</t>
  </si>
  <si>
    <t>YPFPGPIP</t>
  </si>
  <si>
    <t>YPFPGPIPN</t>
  </si>
  <si>
    <t>14.8 μM</t>
  </si>
  <si>
    <t>YPFPGPIPNSL</t>
  </si>
  <si>
    <t>YPGIA</t>
  </si>
  <si>
    <t>YPI</t>
  </si>
  <si>
    <t>YPK</t>
  </si>
  <si>
    <t>10.5 mg/ml</t>
  </si>
  <si>
    <t>YPLDL</t>
  </si>
  <si>
    <t>YPLDLF</t>
  </si>
  <si>
    <t>24.4 μM</t>
  </si>
  <si>
    <t>YPQRDMPIQ</t>
  </si>
  <si>
    <t>YPR</t>
  </si>
  <si>
    <t>YPRY</t>
  </si>
  <si>
    <t>YPSFQPQPLIYP</t>
  </si>
  <si>
    <t>4.8 μM</t>
  </si>
  <si>
    <t>YPSYGLNY</t>
  </si>
  <si>
    <t>YPSYGLNYY</t>
  </si>
  <si>
    <t>YPVEPF</t>
  </si>
  <si>
    <t>YPVEPFTE</t>
  </si>
  <si>
    <t>YPVQPFTE</t>
  </si>
  <si>
    <t>YPWTQR</t>
  </si>
  <si>
    <t>YPYY</t>
  </si>
  <si>
    <t>90.9 μM</t>
  </si>
  <si>
    <t>YQ</t>
  </si>
  <si>
    <t>YQAP</t>
  </si>
  <si>
    <t>YQEPVL</t>
  </si>
  <si>
    <t>YQEPVLGPVR</t>
  </si>
  <si>
    <t>YQEPVLGPVRG</t>
  </si>
  <si>
    <t>412 μM</t>
  </si>
  <si>
    <t>YQEPVLGPVRGPF</t>
  </si>
  <si>
    <t>YQEPVLGPVRGPFPI</t>
  </si>
  <si>
    <t>YQEPVLGPVRGPFPIIV</t>
  </si>
  <si>
    <t>YQEPVLQPVR</t>
  </si>
  <si>
    <t>YQEVLGPVRGPFPIIV</t>
  </si>
  <si>
    <t>YQKFPQY</t>
  </si>
  <si>
    <t>20.08 μM</t>
  </si>
  <si>
    <t>YQKFPQYL</t>
  </si>
  <si>
    <t>YQNPRLGPTGELDPATQPIVAVHNPVIV</t>
  </si>
  <si>
    <t>14.53 μM</t>
  </si>
  <si>
    <t>YQQKPVAL</t>
  </si>
  <si>
    <t>YQQP</t>
  </si>
  <si>
    <t>YQQPVL</t>
  </si>
  <si>
    <t>YQQPVLGPVR</t>
  </si>
  <si>
    <t>YQY</t>
  </si>
  <si>
    <t>YRGGLEPINF</t>
  </si>
  <si>
    <t>YRNTQ</t>
  </si>
  <si>
    <t>YRPY</t>
  </si>
  <si>
    <t>320 μM</t>
  </si>
  <si>
    <t>YRSTQ</t>
  </si>
  <si>
    <t>YS</t>
  </si>
  <si>
    <t>YSQQQQ</t>
  </si>
  <si>
    <t>YTAGV</t>
  </si>
  <si>
    <t>YTDAPSF</t>
  </si>
  <si>
    <t>YTVF</t>
  </si>
  <si>
    <t>YV</t>
  </si>
  <si>
    <t>YVA</t>
  </si>
  <si>
    <t>YVE</t>
  </si>
  <si>
    <t>YVP</t>
  </si>
  <si>
    <t>YVVFK</t>
  </si>
  <si>
    <t>YW</t>
  </si>
  <si>
    <t>YY</t>
  </si>
  <si>
    <t>YYAKPAAVR</t>
  </si>
  <si>
    <t>YYAPF</t>
  </si>
  <si>
    <t>26.3 μM</t>
  </si>
  <si>
    <t>YYAPFDGIL</t>
  </si>
  <si>
    <t>YYAPFE</t>
  </si>
  <si>
    <t>0.055 mg/ml</t>
  </si>
  <si>
    <t>YYG</t>
  </si>
  <si>
    <t>YYPQIMQY</t>
  </si>
  <si>
    <t>24.55 μM</t>
  </si>
  <si>
    <t>YYRA</t>
  </si>
  <si>
    <t>33.9 mg/ml</t>
  </si>
  <si>
    <t>YYVPLGTQ</t>
  </si>
  <si>
    <t>YYY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</si>
</sst>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s>
  <fonts count="21">
    <font>
      <sz val="11"/>
      <color theme="1"/>
      <name val="宋体"/>
      <charset val="134"/>
      <scheme val="minor"/>
    </font>
    <font>
      <b/>
      <sz val="11"/>
      <color rgb="FFFFFFFF"/>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2B5797"/>
        <bgColor rgb="FF2B5797"/>
      </patternFill>
    </fill>
    <fill>
      <patternFill patternType="solid">
        <fgColor rgb="FF1A7A3A"/>
        <bgColor rgb="FF1A7A3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0D0"/>
      </left>
      <right style="thin">
        <color rgb="FFD0D0D0"/>
      </right>
      <top style="thin">
        <color rgb="FFD0D0D0"/>
      </top>
      <bottom style="thin">
        <color rgb="FFD0D0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5" borderId="5" applyNumberFormat="0" applyAlignment="0" applyProtection="0">
      <alignment vertical="center"/>
    </xf>
    <xf numFmtId="0" fontId="11" fillId="6" borderId="6" applyNumberFormat="0" applyAlignment="0" applyProtection="0">
      <alignment vertical="center"/>
    </xf>
    <xf numFmtId="0" fontId="12" fillId="6" borderId="5" applyNumberFormat="0" applyAlignment="0" applyProtection="0">
      <alignment vertical="center"/>
    </xf>
    <xf numFmtId="0" fontId="13" fillId="7"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8">
    <xf numFmtId="0" fontId="0" fillId="0" borderId="0" xfId="0"/>
    <xf numFmtId="0" fontId="0" fillId="0" borderId="0" xfId="0" applyFont="1" applyFill="1" applyAlignment="1">
      <alignment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xf numFmtId="2" fontId="0" fillId="0" borderId="1" xfId="0" applyNumberFormat="1" applyBorder="1" applyAlignment="1">
      <alignment horizontal="center"/>
    </xf>
    <xf numFmtId="176" fontId="0" fillId="0" borderId="1" xfId="0" applyNumberFormat="1" applyBorder="1" applyAlignment="1">
      <alignment horizontal="center"/>
    </xf>
    <xf numFmtId="1" fontId="0" fillId="0" borderId="1" xfId="0" applyNumberFormat="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EIP%20DB.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biopep_DB"/>
      <sheetName val="AHTPDB IC50"/>
      <sheetName val="biopep-uwm &gt;=8"/>
      <sheetName val="整合"/>
    </sheetNames>
    <sheetDataSet>
      <sheetData sheetId="0">
        <row r="2">
          <cell r="F2" t="str">
            <v>FGRCVSP</v>
          </cell>
          <cell r="G2" t="str">
            <v>ovalbumin</v>
          </cell>
          <cell r="H2" t="str">
            <v/>
          </cell>
          <cell r="I2" t="str">
            <v/>
          </cell>
          <cell r="J2" t="str">
            <v>Angiotensin I converting enzyme inhibitory peptides from simulated in vitro gastrointestinal digestion of cooked eggs.</v>
          </cell>
          <cell r="K2" t="str">
            <v>10.1021/jf8028557</v>
          </cell>
          <cell r="L2">
            <v>19154160</v>
          </cell>
        </row>
        <row r="3">
          <cell r="F3" t="str">
            <v>AA</v>
          </cell>
          <cell r="G3" t="str">
            <v/>
          </cell>
          <cell r="H3" t="str">
            <v/>
          </cell>
          <cell r="I3" t="str">
            <v/>
          </cell>
          <cell r="J3" t="str">
            <v>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v>
          </cell>
          <cell r="K3" t="str">
            <v>10.1002/psc.892; 10.1007/s00894-010-0862-x; 10.1016/j.jprot.2013.06.023</v>
          </cell>
          <cell r="L3" t="str">
            <v>17654623 20941517 23806758</v>
          </cell>
        </row>
        <row r="4">
          <cell r="F4" t="str">
            <v>AAP</v>
          </cell>
          <cell r="G4" t="str">
            <v/>
          </cell>
          <cell r="H4" t="str">
            <v/>
          </cell>
          <cell r="I4" t="str">
            <v/>
          </cell>
          <cell r="J4" t="str">
            <v>Bioactive peptides in amaranth (Amaranthus hypochondriacus) seed.; What are the ideal properties for functional food peptides with antihypertensive effect? A computational peptidology approach.</v>
          </cell>
          <cell r="K4" t="str">
            <v>10.1021/jf072911z; 10.1016/j.foodchem.2013.05.140</v>
          </cell>
          <cell r="L4" t="str">
            <v>18211015 23871047</v>
          </cell>
        </row>
        <row r="5">
          <cell r="F5" t="str">
            <v>ACHP</v>
          </cell>
          <cell r="G5" t="str">
            <v/>
          </cell>
          <cell r="H5" t="str">
            <v/>
          </cell>
          <cell r="I5" t="str">
            <v/>
          </cell>
          <cell r="J5" t="str">
            <v>What are the ideal properties for functional food peptides with antihypertensive effect? A computational peptidology approach.</v>
          </cell>
          <cell r="K5" t="str">
            <v>10.1016/j.foodchem.2013.05.140</v>
          </cell>
          <cell r="L5">
            <v>23871047</v>
          </cell>
        </row>
        <row r="6">
          <cell r="F6" t="str">
            <v>AD</v>
          </cell>
          <cell r="G6" t="str">
            <v/>
          </cell>
          <cell r="H6" t="str">
            <v/>
          </cell>
          <cell r="I6" t="str">
            <v/>
          </cell>
          <cell r="J6" t="str">
            <v>Quantitative structure-activity relationship study of bitter di- and tri-peptides including relationship with angiotensin I-converting enzyme inhibitory activity.</v>
          </cell>
          <cell r="K6" t="str">
            <v>10.1002/psc.800</v>
          </cell>
          <cell r="L6">
            <v>17117396</v>
          </cell>
        </row>
        <row r="7">
          <cell r="F7" t="str">
            <v>ADA</v>
          </cell>
          <cell r="G7" t="str">
            <v/>
          </cell>
          <cell r="H7" t="str">
            <v/>
          </cell>
          <cell r="I7" t="str">
            <v/>
          </cell>
          <cell r="J7"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7" t="str">
            <v>10.1002/psc.800; 10.1007/s00894-010-0862-x; 10.1016/j.foodchem.2013.05.140</v>
          </cell>
          <cell r="L7" t="str">
            <v>17117396 20941517 23871047</v>
          </cell>
        </row>
        <row r="8">
          <cell r="F8" t="str">
            <v>ADW</v>
          </cell>
          <cell r="G8" t="str">
            <v/>
          </cell>
          <cell r="H8" t="str">
            <v/>
          </cell>
          <cell r="I8" t="str">
            <v/>
          </cell>
          <cell r="J8" t="str">
            <v/>
          </cell>
          <cell r="K8" t="str">
            <v/>
          </cell>
          <cell r="L8" t="str">
            <v/>
          </cell>
        </row>
        <row r="9">
          <cell r="F9" t="str">
            <v>AEFGS</v>
          </cell>
          <cell r="G9" t="str">
            <v/>
          </cell>
          <cell r="H9" t="str">
            <v/>
          </cell>
          <cell r="I9" t="str">
            <v/>
          </cell>
          <cell r="J9" t="str">
            <v/>
          </cell>
          <cell r="K9" t="str">
            <v/>
          </cell>
          <cell r="L9" t="str">
            <v/>
          </cell>
        </row>
        <row r="10">
          <cell r="F10" t="str">
            <v>AEL</v>
          </cell>
          <cell r="G10" t="str">
            <v/>
          </cell>
          <cell r="H10" t="str">
            <v/>
          </cell>
          <cell r="I10" t="str">
            <v/>
          </cell>
          <cell r="J10" t="str">
            <v>Review on the angiotensin-I-converting enzyme (ACE) inhibitor peptides from marine proteins.; Vegetable foods: a cheap source of proteins and peptides with antihypertensive, antioxidant, and other less occurrence bioactivities.</v>
          </cell>
          <cell r="K10" t="str">
            <v>10.1007/s12010-012-0024-y; 10.1016/j.talanta.2012.12.041</v>
          </cell>
          <cell r="L10" t="str">
            <v>23271625 23598136</v>
          </cell>
        </row>
        <row r="11">
          <cell r="F11" t="str">
            <v>AF</v>
          </cell>
          <cell r="G11" t="str">
            <v>pea vicilin</v>
          </cell>
          <cell r="H11" t="str">
            <v/>
          </cell>
          <cell r="I11" t="str">
            <v/>
          </cell>
          <cell r="J11" t="str">
            <v>Binding of peptide substrates and inhibitors of angiotensin-converting enzyme. Importance of the COOH-terminal dipeptide sequence.; Isolation from alpha-zein of thermolysin peptides with angiotensin I-converting enzyme inhibitory activity.;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Model of the exofacial substrate-binding site and helical folding of the human Glut1 glucose transporter based on scanning mutagenesis.; Antihypertensive effect of peptide-enriched soy sauce-like seasoning and identification of its angiotensin I-converting enzyme inhibitory substances.; QSAR study on angiotensin-converting enzyme inhibitor oligopeptides based on a novel set of sequence information descriptors.;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ell>
          <cell r="K11" t="str">
            <v>10.1271/bbb.60.661; 10.1021/jf051263l; 10.1002/psc.800; 10.1002/psc.892; 10.1021/bi900521n; 10.1021/jf903261h; 10.1007/s00894-010-0862-x; 10.1016/j.talanta.2012.12.041; 10.1016/j.jprot.2013.06.023; 10.1016/j.foodchem.2013.05.140; 10.1080/10408398.2012.664829</v>
          </cell>
          <cell r="L11" t="str">
            <v>6243277 8829536 16448176 17117396 17654623 19449892 19994857 20941517 23598136 23806758 23871047 24915368</v>
          </cell>
        </row>
        <row r="12">
          <cell r="F12" t="str">
            <v>AFKAWAVAR</v>
          </cell>
          <cell r="G12" t="str">
            <v/>
          </cell>
          <cell r="H12" t="str">
            <v/>
          </cell>
          <cell r="I12" t="str">
            <v/>
          </cell>
          <cell r="J12" t="str">
            <v>QSAR study on angiotensin-converting enzyme inhibitor oligopeptides based on a novel set of sequence information descriptors.; A new QSAR model, for angiotensin I-converting enzyme inhibitory oligopeptides.</v>
          </cell>
          <cell r="K12" t="str">
            <v>10.1007/s00894-010-0862-x; 10.1016/j.foodchem.2012.09.092</v>
          </cell>
          <cell r="L12" t="str">
            <v>20941517 23194537</v>
          </cell>
        </row>
        <row r="13">
          <cell r="F13" t="str">
            <v>AFL</v>
          </cell>
          <cell r="G13" t="str">
            <v/>
          </cell>
          <cell r="H13" t="str">
            <v/>
          </cell>
          <cell r="I13" t="str">
            <v/>
          </cell>
          <cell r="J13" t="str">
            <v>Analysis of novel angiotensin-I-converting enzyme inhibitory peptides from protease-hydrolyzed marine shrimp Acetes chinensis.;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v>
          </cell>
          <cell r="K13" t="str">
            <v>10.1002/psc.789; 10.1007/s12010-012-0024-y; 10.1016/j.talanta.2012.12.041; 10.1016/j.foodchem.2013.05.140</v>
          </cell>
          <cell r="L13" t="str">
            <v>16981241 23271625 23598136 23871047</v>
          </cell>
        </row>
        <row r="14">
          <cell r="F14" t="str">
            <v>AFP</v>
          </cell>
          <cell r="G14" t="str">
            <v/>
          </cell>
          <cell r="H14" t="str">
            <v/>
          </cell>
          <cell r="I14" t="str">
            <v/>
          </cell>
          <cell r="J14" t="str">
            <v/>
          </cell>
          <cell r="K14" t="str">
            <v/>
          </cell>
          <cell r="L14" t="str">
            <v/>
          </cell>
        </row>
        <row r="15">
          <cell r="F15" t="str">
            <v>AFPGS</v>
          </cell>
          <cell r="G15" t="str">
            <v/>
          </cell>
          <cell r="H15" t="str">
            <v/>
          </cell>
          <cell r="I15" t="str">
            <v/>
          </cell>
          <cell r="J15" t="str">
            <v/>
          </cell>
          <cell r="K15" t="str">
            <v/>
          </cell>
          <cell r="L15" t="str">
            <v/>
          </cell>
        </row>
        <row r="16">
          <cell r="F16" t="str">
            <v>AFPRS</v>
          </cell>
          <cell r="G16" t="str">
            <v/>
          </cell>
          <cell r="H16" t="str">
            <v/>
          </cell>
          <cell r="I16" t="str">
            <v/>
          </cell>
          <cell r="J16" t="str">
            <v/>
          </cell>
          <cell r="K16" t="str">
            <v/>
          </cell>
          <cell r="L16" t="str">
            <v/>
          </cell>
        </row>
        <row r="17">
          <cell r="F17" t="str">
            <v>AG</v>
          </cell>
          <cell r="G17" t="str">
            <v/>
          </cell>
          <cell r="H17" t="str">
            <v/>
          </cell>
          <cell r="I17" t="str">
            <v/>
          </cell>
          <cell r="J17"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v>
          </cell>
          <cell r="K17" t="str">
            <v>10.1021/jf051263l; 10.1002/psc.892; 10.1007/s00894-010-0862-x; 10.1016/j.jprot.2013.06.023</v>
          </cell>
          <cell r="L17" t="str">
            <v>6243277 16448176 17654623 20941517 23806758</v>
          </cell>
        </row>
        <row r="18">
          <cell r="F18" t="str">
            <v>AGLAPY</v>
          </cell>
          <cell r="G18" t="str">
            <v/>
          </cell>
          <cell r="H18" t="str">
            <v/>
          </cell>
          <cell r="I18" t="str">
            <v/>
          </cell>
          <cell r="J18" t="str">
            <v/>
          </cell>
          <cell r="K18" t="str">
            <v/>
          </cell>
          <cell r="L18" t="str">
            <v/>
          </cell>
        </row>
        <row r="19">
          <cell r="F19" t="str">
            <v>AGLP</v>
          </cell>
          <cell r="G19" t="str">
            <v/>
          </cell>
          <cell r="H19" t="str">
            <v/>
          </cell>
          <cell r="I19" t="str">
            <v/>
          </cell>
          <cell r="J19" t="str">
            <v>Angiotensin I-converting enzyme inhibitory peptides generated from in vitro gastrointestinal digestion of pork meat.; Isolation and characterization of peptides with antihypertensive activity in foodstuffs.</v>
          </cell>
          <cell r="K19" t="str">
            <v>10.1021/jf904204n; 10.1080/10408398.2012.664829</v>
          </cell>
          <cell r="L19" t="str">
            <v>20151679 24915368</v>
          </cell>
        </row>
        <row r="20">
          <cell r="F20" t="str">
            <v>AGP</v>
          </cell>
          <cell r="G20" t="str">
            <v/>
          </cell>
          <cell r="H20" t="str">
            <v/>
          </cell>
          <cell r="I20" t="str">
            <v/>
          </cell>
          <cell r="J20" t="str">
            <v>Angiotensin I-converting enzyme inhibitory activity and insulin secretion stimulative activity of fermented fish sauce.; Structural requirements of Angiotensin I-converting enzyme inhibitory peptides: quantitative structure-activity relationship study of di- and tripeptides.; What are the ideal properties for functional food peptides with antihypertensive effect? A computational peptidology approach.</v>
          </cell>
          <cell r="K20" t="str">
            <v>10.1016/S1389-1723(03)70138-8; 10.1021/jf051263l; 10.1016/j.foodchem.2013.05.140</v>
          </cell>
          <cell r="L20" t="str">
            <v>16233562 16448176 23871047</v>
          </cell>
        </row>
        <row r="21">
          <cell r="F21" t="str">
            <v>AGS</v>
          </cell>
          <cell r="G21" t="str">
            <v/>
          </cell>
          <cell r="H21" t="str">
            <v/>
          </cell>
          <cell r="I21" t="str">
            <v/>
          </cell>
          <cell r="J21" t="str">
            <v>Analysis of novel angiotensin I-converting enzyme inhibitory peptides from enzymatic hydrolysates of cuttlefish (Sepia officinalis) muscle proteins.; Review on the angiotensin-I-converting enzyme (ACE) inhibitor peptides from marine proteins.; What are the ideal properties for functional food peptides with antihypertensive effect? A computational peptidology approach.</v>
          </cell>
          <cell r="K21" t="str">
            <v>10.1021/jf904300q; 10.1007/s12010-012-0024-y; 10.1016/j.foodchem.2013.05.140</v>
          </cell>
          <cell r="L21" t="str">
            <v>20180574 23271625 23871047</v>
          </cell>
        </row>
        <row r="22">
          <cell r="F22" t="str">
            <v>AGSP</v>
          </cell>
          <cell r="G22" t="str">
            <v/>
          </cell>
          <cell r="H22" t="str">
            <v/>
          </cell>
          <cell r="I22" t="str">
            <v/>
          </cell>
          <cell r="J22" t="str">
            <v>Analysis of novel angiotensin I-converting enzyme inhibitory peptides from enzymatic hydrolysates of cuttlefish (Sepia officinalis) muscle proteins.; Review on the angiotensin-I-converting enzyme (ACE) inhibitor peptides from marine proteins.; What are the ideal properties for functional food peptides with antihypertensive effect? A computational peptidology approach.</v>
          </cell>
          <cell r="K22" t="str">
            <v>10.1021/jf904300q; 10.1007/s12010-012-0024-y; 10.1016/j.foodchem.2013.05.140</v>
          </cell>
          <cell r="L22" t="str">
            <v>20180574 23271625 23871047</v>
          </cell>
        </row>
        <row r="23">
          <cell r="F23" t="str">
            <v>AGSS</v>
          </cell>
          <cell r="G23" t="str">
            <v/>
          </cell>
          <cell r="H23" t="str">
            <v/>
          </cell>
          <cell r="I23" t="str">
            <v/>
          </cell>
          <cell r="J23" t="str">
            <v>Analysis of novel angiotensin I-converting enzyme inhibitory peptides from enzymatic hydrolysates of cuttlefish (Sepia officinalis) muscle proteins.; Review on the angiotensin-I-converting enzyme (ACE) inhibitor peptides from marine proteins.; What are the ideal properties for functional food peptides with antihypertensive effect? A computational peptidology approach.</v>
          </cell>
          <cell r="K23" t="str">
            <v>10.1021/jf904300q; 10.1007/s12010-012-0024-y; 10.1016/j.foodchem.2013.05.140</v>
          </cell>
          <cell r="L23" t="str">
            <v>20180574 23271625 23871047</v>
          </cell>
        </row>
        <row r="24">
          <cell r="F24" t="str">
            <v>AGW</v>
          </cell>
          <cell r="G24" t="str">
            <v/>
          </cell>
          <cell r="H24" t="str">
            <v/>
          </cell>
          <cell r="I24" t="str">
            <v/>
          </cell>
          <cell r="J24" t="str">
            <v/>
          </cell>
          <cell r="K24" t="str">
            <v/>
          </cell>
          <cell r="L24" t="str">
            <v/>
          </cell>
        </row>
        <row r="25">
          <cell r="F25" t="str">
            <v>AH</v>
          </cell>
          <cell r="G25" t="str">
            <v/>
          </cell>
          <cell r="H25" t="str">
            <v/>
          </cell>
          <cell r="I25" t="str">
            <v/>
          </cell>
          <cell r="J25" t="str">
            <v>Application of at-line two-dimensional liquid chromatography-mass spectrometry for identification of small hydrophilic angiotensin I-inhibiting peptides in milk hydrolysates.</v>
          </cell>
          <cell r="K25" t="str">
            <v>10.1007/s00216-008-1990-3</v>
          </cell>
          <cell r="L25">
            <v>18392815</v>
          </cell>
        </row>
        <row r="26">
          <cell r="F26" t="str">
            <v>AHEPVK</v>
          </cell>
          <cell r="G26" t="str">
            <v/>
          </cell>
          <cell r="H26" t="str">
            <v/>
          </cell>
          <cell r="I26" t="str">
            <v/>
          </cell>
          <cell r="J26" t="str">
            <v>Novel angiotensin I-converting enzyme inhibitory peptides derived from an edible mushroom, Pleurotus cystidiosus O.K. Miller identified by LC-MS/MS.; Novel angiotensin I-converting enzyme inhibitory peptides derived from edible mushroom Agaricus bisporus (J.E. Lange) Imbach identified by LC-MS/MS.</v>
          </cell>
          <cell r="K26" t="str">
            <v>10.1186/1472-6882-13-313; 10.1016/j.foodchem.2013.10.053</v>
          </cell>
          <cell r="L26" t="str">
            <v>24215325 24262574</v>
          </cell>
        </row>
        <row r="27">
          <cell r="F27" t="str">
            <v>AHHP</v>
          </cell>
          <cell r="G27" t="str">
            <v/>
          </cell>
          <cell r="H27" t="str">
            <v/>
          </cell>
          <cell r="I27" t="str">
            <v/>
          </cell>
          <cell r="J27" t="str">
            <v>What are the ideal properties for functional food peptides with antihypertensive effect? A computational peptidology approach.</v>
          </cell>
          <cell r="K27" t="str">
            <v>10.1016/j.foodchem.2013.05.140</v>
          </cell>
          <cell r="L27">
            <v>23871047</v>
          </cell>
        </row>
        <row r="28">
          <cell r="F28" t="str">
            <v>AHLL</v>
          </cell>
          <cell r="G28" t="str">
            <v/>
          </cell>
          <cell r="H28" t="str">
            <v/>
          </cell>
          <cell r="I28" t="str">
            <v/>
          </cell>
          <cell r="J28" t="str">
            <v/>
          </cell>
          <cell r="K28" t="str">
            <v/>
          </cell>
          <cell r="L28" t="str">
            <v/>
          </cell>
        </row>
        <row r="29">
          <cell r="F29" t="str">
            <v>AHSY</v>
          </cell>
          <cell r="G29" t="str">
            <v/>
          </cell>
          <cell r="H29" t="str">
            <v/>
          </cell>
          <cell r="I29" t="str">
            <v/>
          </cell>
          <cell r="J29" t="str">
            <v>Analysis of novel angiotensin I-converting enzyme inhibitory peptides from enzymatic hydrolysates of cuttlefish (Sepia officinalis) muscle proteins.; Review on the angiotensin-I-converting enzyme (ACE) inhibitor peptides from marine proteins.; What are the ideal properties for functional food peptides with antihypertensive effect? A computational peptidology approach.</v>
          </cell>
          <cell r="K29" t="str">
            <v>10.1021/jf904300q; 10.1007/s12010-012-0024-y; 10.1016/j.foodchem.2013.05.140</v>
          </cell>
          <cell r="L29" t="str">
            <v>20180574 23271625 23871047</v>
          </cell>
        </row>
        <row r="30">
          <cell r="F30" t="str">
            <v>AI</v>
          </cell>
          <cell r="G30" t="str">
            <v/>
          </cell>
          <cell r="H30" t="str">
            <v/>
          </cell>
          <cell r="I30" t="str">
            <v/>
          </cell>
          <cell r="J30" t="str">
            <v>Antihypertensive effect of peptide-enriched soy sauce-like seasoning and identification of its angiotensin I-converting enzyme inhibitory substances.;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Isolation and characterization of peptides with antihypertensive activity in foodstuffs.</v>
          </cell>
          <cell r="K30" t="str">
            <v>10.1021/jf903261h; 10.1016/j.talanta.2012.12.041; 10.1016/j.jprot.2013.06.023; 10.1080/10408398.2012.664829</v>
          </cell>
          <cell r="L30" t="str">
            <v>19994857 23598136 23806758 24915368</v>
          </cell>
        </row>
        <row r="31">
          <cell r="F31" t="str">
            <v>AIP</v>
          </cell>
          <cell r="G31" t="str">
            <v/>
          </cell>
          <cell r="H31" t="str">
            <v/>
          </cell>
          <cell r="I31" t="str">
            <v/>
          </cell>
          <cell r="J31" t="str">
            <v>Inhibition of angiotensin-converting enzyme by synthetic peptide fragments of human kappa-casein.; Bioactive peptides in amaranth (Amaranthus hypochondriacus) seed.; What are the ideal properties for functional food peptides with antihypertensive effect? A computational peptidology approach.</v>
          </cell>
          <cell r="K31" t="str">
            <v>10.1021/jf072911z; 10.1016/j.foodchem.2013.05.140</v>
          </cell>
          <cell r="L31" t="str">
            <v>1368540 18211015 23871047</v>
          </cell>
        </row>
        <row r="32">
          <cell r="F32" t="str">
            <v>AIPP</v>
          </cell>
          <cell r="G32" t="str">
            <v/>
          </cell>
          <cell r="H32" t="str">
            <v/>
          </cell>
          <cell r="I32" t="str">
            <v/>
          </cell>
          <cell r="J32" t="str">
            <v>Inhibition of angiotensin-converting enzyme by synthetic peptide fragments of human kappa-casein.; What are the ideal properties for functional food peptides with antihypertensive effect? A computational peptidology approach.</v>
          </cell>
          <cell r="K32" t="str">
            <v>10.1016/j.foodchem.2013.05.140</v>
          </cell>
          <cell r="L32" t="str">
            <v>1368540 23871047</v>
          </cell>
        </row>
        <row r="33">
          <cell r="F33" t="str">
            <v>AITAKL</v>
          </cell>
          <cell r="G33" t="str">
            <v/>
          </cell>
          <cell r="H33" t="str">
            <v/>
          </cell>
          <cell r="I33" t="str">
            <v/>
          </cell>
          <cell r="J33" t="str">
            <v>Isolation and characterization of peptides with antihypertensive activity in foodstuffs.</v>
          </cell>
          <cell r="K33" t="str">
            <v>10.1080/10408398.2012.664829</v>
          </cell>
          <cell r="L33">
            <v>24915368</v>
          </cell>
        </row>
        <row r="34">
          <cell r="F34" t="str">
            <v>AIYK</v>
          </cell>
          <cell r="G34" t="str">
            <v/>
          </cell>
          <cell r="H34" t="str">
            <v/>
          </cell>
          <cell r="I34" t="str">
            <v/>
          </cell>
          <cell r="J34" t="str">
            <v>Identification of an antihypertensive peptide from peptic digest of wakame (Undaria pinnatifida).;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34" t="str">
            <v>10.1016/s0955-2863(00)00110-8; 10.1007/s12010-012-0024-y; 10.1016/j.talanta.2012.12.041; 10.1016/j.foodchem.2013.05.140; 10.1080/10408398.2012.664829</v>
          </cell>
          <cell r="L34" t="str">
            <v>11091100 23271625 23598136 23871047 24915368</v>
          </cell>
        </row>
        <row r="35">
          <cell r="F35" t="str">
            <v>AKC</v>
          </cell>
          <cell r="G35" t="str">
            <v/>
          </cell>
          <cell r="H35" t="str">
            <v/>
          </cell>
          <cell r="I35" t="str">
            <v/>
          </cell>
          <cell r="J35" t="str">
            <v/>
          </cell>
          <cell r="K35" t="str">
            <v/>
          </cell>
          <cell r="L35" t="str">
            <v/>
          </cell>
        </row>
        <row r="36">
          <cell r="F36" t="str">
            <v>AKDQG</v>
          </cell>
          <cell r="G36" t="str">
            <v/>
          </cell>
          <cell r="H36" t="str">
            <v/>
          </cell>
          <cell r="I36" t="str">
            <v/>
          </cell>
          <cell r="J36" t="str">
            <v/>
          </cell>
          <cell r="K36" t="str">
            <v/>
          </cell>
          <cell r="L36" t="str">
            <v/>
          </cell>
        </row>
        <row r="37">
          <cell r="F37" t="str">
            <v>AKK</v>
          </cell>
          <cell r="G37" t="str">
            <v/>
          </cell>
          <cell r="H37" t="str">
            <v/>
          </cell>
          <cell r="I37" t="str">
            <v/>
          </cell>
          <cell r="J37" t="str">
            <v>Angiotensin I-converting enzyme inhibitory peptides in an alkaline protease hydrolyzate derived from sardine muscle.; Structural requirements of Angiotensin I-converting enzyme inhibitory peptides: quantitative structure-activity relationship study of di- and tripeptides.; Inhibition strength of short peptides derived from an ACE inhibitory peptide.; Review on the angiotensin-I-converting enzyme (ACE) inhibitor peptides from marine proteins.; What are the ideal properties for functional food peptides with antihypertensive effect? A computational peptidology approach.</v>
          </cell>
          <cell r="K37" t="str">
            <v>10.1271/bbb.58.2244; 10.1021/jf051263l; 10.1021/jf202902r; 10.1007/s12010-012-0024-y; 10.1016/j.foodchem.2013.05.140</v>
          </cell>
          <cell r="L37" t="str">
            <v>7765718 16448176 21923188 23271625 23871047</v>
          </cell>
        </row>
        <row r="38">
          <cell r="F38" t="str">
            <v>AKLEK</v>
          </cell>
          <cell r="G38" t="str">
            <v/>
          </cell>
          <cell r="H38" t="str">
            <v/>
          </cell>
          <cell r="I38" t="str">
            <v/>
          </cell>
          <cell r="J38" t="str">
            <v>A new QSAR model, for angiotensin I-converting enzyme inhibitory oligopeptides.</v>
          </cell>
          <cell r="K38" t="str">
            <v>10.1016/j.foodchem.2012.09.092</v>
          </cell>
          <cell r="L38">
            <v>23194537</v>
          </cell>
        </row>
        <row r="39">
          <cell r="F39" t="str">
            <v>AKP</v>
          </cell>
          <cell r="G39" t="str">
            <v/>
          </cell>
          <cell r="H39" t="str">
            <v/>
          </cell>
          <cell r="I39" t="str">
            <v/>
          </cell>
          <cell r="J39" t="str">
            <v/>
          </cell>
          <cell r="K39" t="str">
            <v/>
          </cell>
          <cell r="L39" t="str">
            <v/>
          </cell>
        </row>
        <row r="40">
          <cell r="F40" t="str">
            <v>AKPEG</v>
          </cell>
          <cell r="G40" t="str">
            <v/>
          </cell>
          <cell r="H40" t="str">
            <v/>
          </cell>
          <cell r="I40" t="str">
            <v/>
          </cell>
          <cell r="J40" t="str">
            <v/>
          </cell>
          <cell r="K40" t="str">
            <v/>
          </cell>
          <cell r="L40" t="str">
            <v/>
          </cell>
        </row>
        <row r="41">
          <cell r="F41" t="str">
            <v>AKSCQ</v>
          </cell>
          <cell r="G41" t="str">
            <v/>
          </cell>
          <cell r="H41" t="str">
            <v/>
          </cell>
          <cell r="I41" t="str">
            <v/>
          </cell>
          <cell r="J41" t="str">
            <v/>
          </cell>
          <cell r="K41" t="str">
            <v/>
          </cell>
          <cell r="L41" t="str">
            <v/>
          </cell>
        </row>
        <row r="42">
          <cell r="F42" t="str">
            <v>AKYCY</v>
          </cell>
          <cell r="G42" t="str">
            <v/>
          </cell>
          <cell r="H42" t="str">
            <v/>
          </cell>
          <cell r="I42" t="str">
            <v/>
          </cell>
          <cell r="J42" t="str">
            <v>A new QSAR model, for angiotensin I-converting enzyme inhibitory oligopeptides.</v>
          </cell>
          <cell r="K42" t="str">
            <v>10.1016/j.foodchem.2012.09.092</v>
          </cell>
          <cell r="L42">
            <v>23194537</v>
          </cell>
        </row>
        <row r="43">
          <cell r="F43" t="str">
            <v>AKYSY</v>
          </cell>
          <cell r="G43" t="str">
            <v/>
          </cell>
          <cell r="H43" t="str">
            <v/>
          </cell>
          <cell r="I43" t="str">
            <v/>
          </cell>
          <cell r="J43" t="str">
            <v>Antihypertensive peptides from food proteins: a review.; A new QSAR model, for angiotensin I-converting enzyme inhibitory oligopeptides.</v>
          </cell>
          <cell r="K43" t="str">
            <v>10.1039/c2fo10192k; 10.1016/j.foodchem.2012.09.092</v>
          </cell>
          <cell r="L43" t="str">
            <v>22249830 23194537</v>
          </cell>
        </row>
        <row r="44">
          <cell r="F44" t="str">
            <v>AL</v>
          </cell>
          <cell r="G44" t="str">
            <v/>
          </cell>
          <cell r="H44" t="str">
            <v/>
          </cell>
          <cell r="I44" t="str">
            <v/>
          </cell>
          <cell r="J44" t="str">
            <v>Three-dimensional holograph vector of atomic interaction field (3D-HoVAIF): a novel rotation-translation invariant 3D structure descriptor and its applications to peptides.</v>
          </cell>
          <cell r="K44" t="str">
            <v>10.1002/psc.892</v>
          </cell>
          <cell r="L44">
            <v>17654623</v>
          </cell>
        </row>
        <row r="45">
          <cell r="F45" t="str">
            <v>ALAFQ</v>
          </cell>
          <cell r="G45" t="str">
            <v/>
          </cell>
          <cell r="H45" t="str">
            <v/>
          </cell>
          <cell r="I45" t="str">
            <v/>
          </cell>
          <cell r="J45" t="str">
            <v>A new QSAR model, for angiotensin I-converting enzyme inhibitory oligopeptides.</v>
          </cell>
          <cell r="K45" t="str">
            <v>10.1016/j.foodchem.2012.09.092</v>
          </cell>
          <cell r="L45" t="str">
            <v>23194537</v>
          </cell>
        </row>
        <row r="46">
          <cell r="F46" t="str">
            <v>ALEP</v>
          </cell>
          <cell r="G46" t="str">
            <v/>
          </cell>
          <cell r="H46" t="str">
            <v/>
          </cell>
          <cell r="I46" t="str">
            <v/>
          </cell>
          <cell r="J46" t="str">
            <v>ACE inhibitory tetrapeptides from Amaranthus hypochondriacus 11S globulin.; What are the ideal properties for functional food peptides with antihypertensive effect? A computational peptidology approach.</v>
          </cell>
          <cell r="K46" t="str">
            <v>10.1016/j.phytochem.2009.04.006; 10.1016/j.foodchem.2013.05.140</v>
          </cell>
          <cell r="L46" t="str">
            <v>19443002 23871047</v>
          </cell>
        </row>
        <row r="47">
          <cell r="F47" t="str">
            <v>ALKAWSVAR</v>
          </cell>
          <cell r="G47" t="str">
            <v>serum albumin</v>
          </cell>
          <cell r="H47" t="str">
            <v/>
          </cell>
          <cell r="I47" t="str">
            <v/>
          </cell>
          <cell r="J47" t="str">
            <v>Lactokinins: whey protein-derived ACE inhibitory peptides.; Temporal gene expression and probiotic attributes of Lactobacillus acidophilus during growth in milk.; QSAR study on angiotensin-converting enzyme inhibitor oligopeptides based on a novel set of sequence information descriptors.; Bioactive peptides derived from milk proteins and their health beneficial potentials: an update.; A new QSAR model, for angiotensin I-converting enzyme inhibitory oligopeptides.</v>
          </cell>
          <cell r="K47" t="str">
            <v>10.1002/(SICI)1521-3803(19990601)43:3&lt;165::AID-FOOD165&gt;3.0.CO;2-2; 10.3168/jds.2008-1457; 10.1007/s00894-010-0862-x; 10.1039/c0fo00016g; 10.1016/j.foodchem.2012.09.092</v>
          </cell>
          <cell r="L47" t="str">
            <v>10399349 19233780 20941517 21773582 23194537</v>
          </cell>
        </row>
        <row r="48">
          <cell r="F48" t="str">
            <v>ALNEINQFY</v>
          </cell>
          <cell r="G48" t="str">
            <v/>
          </cell>
          <cell r="H48" t="str">
            <v/>
          </cell>
          <cell r="I48" t="str">
            <v/>
          </cell>
          <cell r="J48" t="str">
            <v>Angiotensin converting enzyme inhibitory peptides derived from food proteins: biochemistry, bioactivity and production.; QSAR study on angiotensin-converting enzyme inhibitor oligopeptides based on a novel set of sequence information descriptors.; A new QSAR model, for angiotensin I-converting enzyme inhibitory oligopeptides.</v>
          </cell>
          <cell r="K48" t="str">
            <v>10.2174/138161207780363068; 10.1007/s00894-010-0862-x; 10.1016/j.foodchem.2012.09.092</v>
          </cell>
          <cell r="L48" t="str">
            <v>17430180 20941517 23194537</v>
          </cell>
        </row>
        <row r="49">
          <cell r="F49" t="str">
            <v>ALNEINQFYQK</v>
          </cell>
          <cell r="G49" t="str">
            <v/>
          </cell>
          <cell r="H49" t="str">
            <v/>
          </cell>
          <cell r="I49" t="str">
            <v/>
          </cell>
          <cell r="J49" t="str">
            <v>Angiotensin converting enzyme inhibitory peptides derived from food proteins: biochemistry, bioactivity and production.; A new QSAR model, for angiotensin I-converting enzyme inhibitory oligopeptides.</v>
          </cell>
          <cell r="K49" t="str">
            <v>10.2174/138161207780363068; 10.1016/j.foodchem.2012.09.092</v>
          </cell>
          <cell r="L49" t="str">
            <v>17430180 23194537</v>
          </cell>
        </row>
        <row r="50">
          <cell r="F50" t="str">
            <v>ALP</v>
          </cell>
          <cell r="G50" t="str">
            <v/>
          </cell>
          <cell r="H50" t="str">
            <v/>
          </cell>
          <cell r="I50" t="str">
            <v/>
          </cell>
          <cell r="J50" t="str">
            <v>Structural requirements of Angiotensin I-converting enzyme inhibitory peptides: quantitative structure-activity relationship study of di- and tripeptides.</v>
          </cell>
          <cell r="K50" t="str">
            <v>10.1021/jf051263l</v>
          </cell>
          <cell r="L50">
            <v>16448176</v>
          </cell>
        </row>
        <row r="51">
          <cell r="F51" t="str">
            <v>ALPHA</v>
          </cell>
          <cell r="G51" t="str">
            <v/>
          </cell>
          <cell r="H51" t="str">
            <v/>
          </cell>
          <cell r="I51" t="str">
            <v/>
          </cell>
          <cell r="J51" t="str">
            <v>Peptide inhibitors for angiotensin I-converting enzyme from thermolysin digest of dried bonito.; Isolation and characterization of angiotensin I-converting enzyme inhibitory peptides derived from bonito bowels.; Review on the angiotensin-I-converting enzyme (ACE) inhibitor peptides from marine proteins.</v>
          </cell>
          <cell r="K51" t="str">
            <v>10.1271/bbb.56.1541; 10.1271/bbb.57.1743; 10.1007/s12010-012-0024-y</v>
          </cell>
          <cell r="L51" t="str">
            <v>1369054 7764272 23271625</v>
          </cell>
        </row>
        <row r="52">
          <cell r="F52" t="str">
            <v>ALPM</v>
          </cell>
          <cell r="G52" t="str">
            <v/>
          </cell>
          <cell r="H52" t="str">
            <v/>
          </cell>
          <cell r="I52" t="str">
            <v/>
          </cell>
          <cell r="J52" t="str">
            <v>Structural analysis of a new anti-hypertensive peptide (beta-lactosin B) isolated from a commercial whey product.; Antihypertensive peptides: production, bioavailability and incorporation into foods.; What are the ideal properties for functional food peptides with antihypertensive effect? A computational peptidology approach.; Isolation and characterization of peptides with antihypertensive activity in foodstuffs.</v>
          </cell>
          <cell r="K52" t="str">
            <v>10.3168/jds.S0022-0302(04)70013-2; 10.1016/j.cis.2010.11.001; 10.1016/j.foodchem.2013.05.140; 10.1080/10408398.2012.664829</v>
          </cell>
          <cell r="L52" t="str">
            <v>15328207 21185549 23871047 24915368</v>
          </cell>
        </row>
        <row r="53">
          <cell r="F53" t="str">
            <v>ALPMH</v>
          </cell>
          <cell r="G53" t="str">
            <v/>
          </cell>
          <cell r="H53" t="str">
            <v/>
          </cell>
          <cell r="I53" t="str">
            <v/>
          </cell>
          <cell r="J53" t="str">
            <v>A new QSAR model, for angiotensin I-converting enzyme inhibitory oligopeptides.</v>
          </cell>
          <cell r="K53" t="str">
            <v>10.1016/j.foodchem.2012.09.092</v>
          </cell>
          <cell r="L53">
            <v>23194537</v>
          </cell>
        </row>
        <row r="54">
          <cell r="F54" t="str">
            <v>ALPMHIR</v>
          </cell>
          <cell r="G54" t="str">
            <v/>
          </cell>
          <cell r="H54" t="str">
            <v/>
          </cell>
          <cell r="I54" t="str">
            <v/>
          </cell>
          <cell r="J54" t="str">
            <v>Identification of a novel angiotensin-I-converting enzyme inhibitory peptide corresponding to a tryptic fragment of bovine beta-lactoglobulin.; Milk peptides and blood pressure.; Quality and acceptability of a set-type yogurt made from camel milk.; Bioactive peptides derived from milk proteins and their health beneficial potentials: an update.; The potential role of milk-derived peptides in cardiovascular disease.; A new QSAR model, for angiotensin I-converting enzyme inhibitory oligopeptides.</v>
          </cell>
          <cell r="K54" t="str">
            <v>10.1016/s0014-5793(96)01503-7; 10.1093/jn/137.3.825S; 10.3168/jds.2008-1408; 10.1039/c0fo00016g; 10.1039/c1fo10017c; 10.1016/j.foodchem.2012.09.092</v>
          </cell>
          <cell r="L54" t="str">
            <v>9037174 17311982 19233778 21773582 21779574 23194537</v>
          </cell>
        </row>
        <row r="55">
          <cell r="F55" t="str">
            <v>ALPP</v>
          </cell>
          <cell r="G55" t="str">
            <v/>
          </cell>
          <cell r="H55" t="str">
            <v/>
          </cell>
          <cell r="I55" t="str">
            <v/>
          </cell>
          <cell r="J55" t="str">
            <v>Inhibition of angiotensin-converting enzyme by synthetic peptide fragments of various beta-caseins.; Bioactive peptides in amaranth (Amaranthus hypochondriacus) seed.; What are the ideal properties for functional food peptides with antihypertensive effect? A computational peptidology approach.</v>
          </cell>
          <cell r="K55" t="str">
            <v>10.1021/jf072911z; 10.1016/j.foodchem.2013.05.140</v>
          </cell>
          <cell r="L55" t="str">
            <v>1368548 18211015 23871047</v>
          </cell>
        </row>
        <row r="56">
          <cell r="F56" t="str">
            <v>AMKPW</v>
          </cell>
          <cell r="G56" t="str">
            <v/>
          </cell>
          <cell r="H56" t="str">
            <v/>
          </cell>
          <cell r="I56" t="str">
            <v/>
          </cell>
          <cell r="J56" t="str">
            <v>A new QSAR model, for angiotensin I-converting enzyme inhibitory oligopeptides.</v>
          </cell>
          <cell r="K56" t="str">
            <v>10.1016/j.foodchem.2012.09.092</v>
          </cell>
          <cell r="L56">
            <v>23194537</v>
          </cell>
        </row>
        <row r="57">
          <cell r="F57" t="str">
            <v>AMKPWIQPK</v>
          </cell>
          <cell r="G57" t="str">
            <v/>
          </cell>
          <cell r="H57" t="str">
            <v/>
          </cell>
          <cell r="I57" t="str">
            <v/>
          </cell>
          <cell r="J57" t="str">
            <v>QSAR study on angiotensin-converting enzyme inhibitor oligopeptides based on a novel set of sequence information descriptors.</v>
          </cell>
          <cell r="K57" t="str">
            <v>10.1007/s00894-010-0862-x</v>
          </cell>
          <cell r="L57">
            <v>20941517</v>
          </cell>
        </row>
        <row r="58">
          <cell r="F58" t="str">
            <v>AMPKPW</v>
          </cell>
          <cell r="G58" t="str">
            <v/>
          </cell>
          <cell r="H58" t="str">
            <v/>
          </cell>
          <cell r="I58" t="str">
            <v/>
          </cell>
          <cell r="J58" t="str">
            <v>Antihypertensive peptides: production, bioavailability and incorporation into foods.; Antihypertensive peptides from food proteins: a review.; A new QSAR model, for angiotensin I-converting enzyme inhibitory oligopeptides.</v>
          </cell>
          <cell r="K58" t="str">
            <v>10.1016/j.cis.2010.11.001; 10.1039/c2fo10192k; 10.1016/j.foodchem.2012.09.092</v>
          </cell>
          <cell r="L58" t="str">
            <v>21185549 22249830 23194537</v>
          </cell>
        </row>
        <row r="59">
          <cell r="F59" t="str">
            <v>AMQS</v>
          </cell>
          <cell r="G59" t="str">
            <v/>
          </cell>
          <cell r="H59" t="str">
            <v/>
          </cell>
          <cell r="I59" t="str">
            <v/>
          </cell>
          <cell r="J59" t="str">
            <v>New antihypertensive peptides isolated from rapeseed.</v>
          </cell>
          <cell r="K59" t="str">
            <v>10.1016/s0196-9781(03)00174-8</v>
          </cell>
          <cell r="L59">
            <v>12948830</v>
          </cell>
        </row>
        <row r="60">
          <cell r="F60" t="str">
            <v>ANPAVVRP</v>
          </cell>
          <cell r="G60" t="str">
            <v/>
          </cell>
          <cell r="H60" t="str">
            <v/>
          </cell>
          <cell r="I60" t="str">
            <v/>
          </cell>
          <cell r="J60" t="str">
            <v>Inhibition of angiotensin-converting enzyme by synthetic peptide fragments of human kappa-casein.</v>
          </cell>
          <cell r="K60" t="str">
            <v/>
          </cell>
          <cell r="L60">
            <v>1368540</v>
          </cell>
        </row>
        <row r="61">
          <cell r="F61" t="str">
            <v>ANSSIL</v>
          </cell>
          <cell r="G61" t="str">
            <v/>
          </cell>
          <cell r="H61" t="str">
            <v/>
          </cell>
          <cell r="I61" t="str">
            <v/>
          </cell>
          <cell r="J61" t="str">
            <v>Isolation and characterization of peptides with antihypertensive activity in foodstuffs.</v>
          </cell>
          <cell r="K61" t="str">
            <v>10.1080/10408398.2012.664829</v>
          </cell>
          <cell r="L61">
            <v>24915368</v>
          </cell>
        </row>
        <row r="62">
          <cell r="F62" t="str">
            <v>AP</v>
          </cell>
          <cell r="G62" t="str">
            <v/>
          </cell>
          <cell r="H62" t="str">
            <v/>
          </cell>
          <cell r="I62" t="str">
            <v/>
          </cell>
          <cell r="J62" t="str">
            <v>Binding of peptide substrates and inhibitors of angiotensin-converting enzyme. Importance of the COOH-terminal dipeptide sequence.; Antihypertensive peptides derived from milk proteins.; Angiotensin I-converting enzyme inhibitory activity and insulin secretion stimulative activity of fermented fish sauce.;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Review on the angiotensin-I-converting enzyme (ACE) inhibitor peptides from marine proteins.; What are the ideal properties for functional food peptides with antihypertensive effect? A computational peptidology approach.</v>
          </cell>
          <cell r="K62" t="str">
            <v>10.1002/(SICI)1521-3803(19990601)43:3&lt;159::AID-FOOD159&gt;3.0.CO;2-R; 10.1016/S1389-1723(03)70138-8; 10.1021/jf051263l; 10.1002/psc.892; 10.1007/s12010-012-0024-y; 10.1016/j.foodchem.2013.05.140</v>
          </cell>
          <cell r="L62" t="str">
            <v>6243277 10399348 16233562 16448176 17654623 23271625 23871047</v>
          </cell>
        </row>
        <row r="63">
          <cell r="F63" t="str">
            <v>APGAGVY</v>
          </cell>
          <cell r="G63" t="str">
            <v/>
          </cell>
          <cell r="H63" t="str">
            <v/>
          </cell>
          <cell r="I63" t="str">
            <v/>
          </cell>
          <cell r="J63" t="str">
            <v>A new QSAR model, for angiotensin I-converting enzyme inhibitory oligopeptides.</v>
          </cell>
          <cell r="K63" t="str">
            <v>10.1016/j.foodchem.2012.09.092</v>
          </cell>
          <cell r="L63">
            <v>23194537</v>
          </cell>
        </row>
        <row r="64">
          <cell r="F64" t="str">
            <v>APSAK</v>
          </cell>
          <cell r="G64" t="str">
            <v/>
          </cell>
          <cell r="H64" t="str">
            <v/>
          </cell>
          <cell r="I64" t="str">
            <v/>
          </cell>
          <cell r="J64" t="str">
            <v>Novel angiotensin I-converting enzyme inhibitory peptides derived from edible mushroom Agaricus bisporus (J.E. Lange) Imbach identified by LC-MS/MS.</v>
          </cell>
          <cell r="K64" t="str">
            <v>10.1016/j.foodchem.2013.10.053</v>
          </cell>
          <cell r="L64">
            <v>24262574</v>
          </cell>
        </row>
        <row r="65">
          <cell r="F65" t="str">
            <v>APVPP</v>
          </cell>
          <cell r="G65" t="str">
            <v/>
          </cell>
          <cell r="H65" t="str">
            <v/>
          </cell>
          <cell r="I65" t="str">
            <v/>
          </cell>
          <cell r="J65" t="str">
            <v>A new QSAR model, for angiotensin I-converting enzyme inhibitory oligopeptides.</v>
          </cell>
          <cell r="K65" t="str">
            <v>10.1016/j.foodchem.2012.09.092</v>
          </cell>
          <cell r="L65">
            <v>23194537</v>
          </cell>
        </row>
        <row r="66">
          <cell r="F66" t="str">
            <v>AQK</v>
          </cell>
          <cell r="G66" t="str">
            <v/>
          </cell>
          <cell r="H66" t="str">
            <v/>
          </cell>
          <cell r="I66" t="str">
            <v/>
          </cell>
          <cell r="J66" t="str">
            <v>Structural requirements of Angiotensin I-converting enzyme inhibitory peptides: quantitative structure-activity relationship study of di- and tripeptides.</v>
          </cell>
          <cell r="K66" t="str">
            <v>10.1021/jf051263l</v>
          </cell>
          <cell r="L66">
            <v>16448176</v>
          </cell>
        </row>
        <row r="67">
          <cell r="F67" t="str">
            <v>AQL</v>
          </cell>
          <cell r="G67" t="str">
            <v/>
          </cell>
          <cell r="H67" t="str">
            <v/>
          </cell>
          <cell r="I67" t="str">
            <v/>
          </cell>
          <cell r="J67" t="str">
            <v>Structural requirements of Angiotensin I-converting enzyme inhibitory peptides: quantitative structure-activity relationship study of di- and tripeptides.</v>
          </cell>
          <cell r="K67" t="str">
            <v>10.1021/jf051263l</v>
          </cell>
          <cell r="L67" t="str">
            <v>16448176</v>
          </cell>
        </row>
        <row r="68">
          <cell r="F68" t="str">
            <v>AQTQSL</v>
          </cell>
          <cell r="G68" t="str">
            <v/>
          </cell>
          <cell r="H68" t="str">
            <v/>
          </cell>
          <cell r="I68" t="str">
            <v/>
          </cell>
          <cell r="J68" t="str">
            <v>Enterococcus faecalis strains from food, environmental, and clinical origin produce ACE-inhibitory peptides and other bioactive peptides during growth in bovine skim milk.</v>
          </cell>
          <cell r="K68" t="str">
            <v>10.1016/j.ijfoodmicro.2013.06.019</v>
          </cell>
          <cell r="L68">
            <v>23845432</v>
          </cell>
        </row>
        <row r="69">
          <cell r="F69" t="str">
            <v>AQTQSLVYP</v>
          </cell>
          <cell r="G69" t="str">
            <v/>
          </cell>
          <cell r="H69" t="str">
            <v/>
          </cell>
          <cell r="I69" t="str">
            <v/>
          </cell>
          <cell r="J69" t="str">
            <v>Inhibition of angiotensin-converting enzyme by synthetic peptide fragments of various beta-caseins.; Evaluation of the allergenicity of goat milk, cow milk, and their lactosera in a guinea pig model.</v>
          </cell>
          <cell r="K69" t="str">
            <v>10.3168/jds.2008-1125</v>
          </cell>
          <cell r="L69" t="str">
            <v>1368548 19233776</v>
          </cell>
        </row>
        <row r="70">
          <cell r="F70" t="str">
            <v>AR</v>
          </cell>
          <cell r="G70" t="str">
            <v/>
          </cell>
          <cell r="H70" t="str">
            <v/>
          </cell>
          <cell r="I70" t="str">
            <v/>
          </cell>
          <cell r="J70" t="str">
            <v>What are the ideal properties for functional food peptides with antihypertensive effect? A computational peptidology approach.</v>
          </cell>
          <cell r="K70" t="str">
            <v>10.1016/j.foodchem.2013.05.140</v>
          </cell>
          <cell r="L70">
            <v>23871047</v>
          </cell>
        </row>
        <row r="71">
          <cell r="F71" t="str">
            <v>ARCRG</v>
          </cell>
          <cell r="G71" t="str">
            <v/>
          </cell>
          <cell r="H71" t="str">
            <v/>
          </cell>
          <cell r="I71" t="str">
            <v/>
          </cell>
          <cell r="J71" t="str">
            <v/>
          </cell>
          <cell r="K71" t="str">
            <v/>
          </cell>
          <cell r="L71" t="str">
            <v/>
          </cell>
        </row>
        <row r="72">
          <cell r="F72" t="str">
            <v>ARF</v>
          </cell>
          <cell r="G72" t="str">
            <v/>
          </cell>
          <cell r="H72" t="str">
            <v/>
          </cell>
          <cell r="I72" t="str">
            <v/>
          </cell>
          <cell r="J72" t="str">
            <v/>
          </cell>
          <cell r="K72" t="str">
            <v/>
          </cell>
          <cell r="L72" t="str">
            <v/>
          </cell>
        </row>
        <row r="73">
          <cell r="F73" t="str">
            <v>ARHEI</v>
          </cell>
          <cell r="G73" t="str">
            <v/>
          </cell>
          <cell r="H73" t="str">
            <v/>
          </cell>
          <cell r="I73" t="str">
            <v/>
          </cell>
          <cell r="J73" t="str">
            <v/>
          </cell>
          <cell r="K73" t="str">
            <v/>
          </cell>
          <cell r="L73" t="str">
            <v/>
          </cell>
        </row>
        <row r="74">
          <cell r="F74" t="str">
            <v>ARHPHPHLSF</v>
          </cell>
          <cell r="G74" t="str">
            <v/>
          </cell>
          <cell r="H74" t="str">
            <v/>
          </cell>
          <cell r="I74" t="str">
            <v/>
          </cell>
          <cell r="J74" t="str">
            <v/>
          </cell>
          <cell r="K74" t="str">
            <v/>
          </cell>
          <cell r="L74" t="str">
            <v/>
          </cell>
        </row>
        <row r="75">
          <cell r="F75" t="str">
            <v>ARP</v>
          </cell>
          <cell r="G75" t="str">
            <v/>
          </cell>
          <cell r="H75" t="str">
            <v/>
          </cell>
          <cell r="I75" t="str">
            <v/>
          </cell>
          <cell r="J75" t="str">
            <v/>
          </cell>
          <cell r="K75" t="str">
            <v/>
          </cell>
          <cell r="L75" t="str">
            <v/>
          </cell>
        </row>
        <row r="76">
          <cell r="F76" t="str">
            <v>ARPAK</v>
          </cell>
          <cell r="G76" t="str">
            <v/>
          </cell>
          <cell r="H76" t="str">
            <v/>
          </cell>
          <cell r="I76" t="str">
            <v/>
          </cell>
          <cell r="J76" t="str">
            <v>A new QSAR model, for angiotensin I-converting enzyme inhibitory oligopeptides.</v>
          </cell>
          <cell r="K76" t="str">
            <v>10.1016/j.foodchem.2012.09.092</v>
          </cell>
          <cell r="L76">
            <v>23194537</v>
          </cell>
        </row>
        <row r="77">
          <cell r="F77" t="str">
            <v>ARPSR</v>
          </cell>
          <cell r="G77" t="str">
            <v/>
          </cell>
          <cell r="H77" t="str">
            <v/>
          </cell>
          <cell r="I77" t="str">
            <v/>
          </cell>
          <cell r="J77" t="str">
            <v/>
          </cell>
          <cell r="K77" t="str">
            <v/>
          </cell>
          <cell r="L77" t="str">
            <v/>
          </cell>
        </row>
        <row r="78">
          <cell r="F78" t="str">
            <v>ARY</v>
          </cell>
          <cell r="G78" t="str">
            <v/>
          </cell>
          <cell r="H78" t="str">
            <v/>
          </cell>
          <cell r="I78" t="str">
            <v/>
          </cell>
          <cell r="J78" t="str">
            <v/>
          </cell>
          <cell r="K78" t="str">
            <v/>
          </cell>
          <cell r="L78" t="str">
            <v/>
          </cell>
        </row>
        <row r="79">
          <cell r="F79" t="str">
            <v>ASP</v>
          </cell>
          <cell r="G79" t="str">
            <v/>
          </cell>
          <cell r="H79" t="str">
            <v/>
          </cell>
          <cell r="I79" t="str">
            <v/>
          </cell>
          <cell r="J79" t="str">
            <v>What are the ideal properties for functional food peptides with antihypertensive effect? A computational peptidology approach.</v>
          </cell>
          <cell r="K79" t="str">
            <v>10.1016/j.foodchem.2013.05.140</v>
          </cell>
          <cell r="L79" t="str">
            <v>23871047</v>
          </cell>
        </row>
        <row r="80">
          <cell r="F80" t="str">
            <v>ASVRT</v>
          </cell>
          <cell r="G80" t="str">
            <v/>
          </cell>
          <cell r="H80" t="str">
            <v/>
          </cell>
          <cell r="I80" t="str">
            <v/>
          </cell>
          <cell r="J80" t="str">
            <v/>
          </cell>
          <cell r="K80" t="str">
            <v/>
          </cell>
          <cell r="L80" t="str">
            <v/>
          </cell>
        </row>
        <row r="81">
          <cell r="F81" t="str">
            <v>ASW</v>
          </cell>
          <cell r="G81" t="str">
            <v/>
          </cell>
          <cell r="H81" t="str">
            <v/>
          </cell>
          <cell r="I81" t="str">
            <v/>
          </cell>
          <cell r="J81" t="str">
            <v/>
          </cell>
          <cell r="K81" t="str">
            <v/>
          </cell>
          <cell r="L81" t="str">
            <v/>
          </cell>
        </row>
        <row r="82">
          <cell r="F82" t="str">
            <v>ATF</v>
          </cell>
          <cell r="G82" t="str">
            <v/>
          </cell>
          <cell r="H82" t="str">
            <v/>
          </cell>
          <cell r="I82" t="str">
            <v/>
          </cell>
          <cell r="J82" t="str">
            <v/>
          </cell>
          <cell r="K82" t="str">
            <v/>
          </cell>
          <cell r="L82" t="str">
            <v/>
          </cell>
        </row>
        <row r="83">
          <cell r="F83" t="str">
            <v>AV</v>
          </cell>
          <cell r="G83" t="str">
            <v/>
          </cell>
          <cell r="H83" t="str">
            <v/>
          </cell>
          <cell r="I83" t="str">
            <v/>
          </cell>
          <cell r="J83" t="str">
            <v>Angiotensin I-converting enzyme inhibitory activity and insulin secretion stimulative activity of fermented fish sauce.</v>
          </cell>
          <cell r="K83" t="str">
            <v>10.1016/S1389-1723(03)70138-8</v>
          </cell>
          <cell r="L83">
            <v>16233562</v>
          </cell>
        </row>
        <row r="84">
          <cell r="F84" t="str">
            <v>AVESTVATL</v>
          </cell>
          <cell r="G84" t="str">
            <v/>
          </cell>
          <cell r="H84" t="str">
            <v/>
          </cell>
          <cell r="I84" t="str">
            <v/>
          </cell>
          <cell r="J84" t="str">
            <v/>
          </cell>
          <cell r="K84" t="str">
            <v/>
          </cell>
          <cell r="L84" t="str">
            <v/>
          </cell>
        </row>
        <row r="85">
          <cell r="F85" t="str">
            <v>AVF</v>
          </cell>
          <cell r="G85" t="str">
            <v/>
          </cell>
          <cell r="H85" t="str">
            <v/>
          </cell>
          <cell r="I85" t="str">
            <v/>
          </cell>
          <cell r="J85" t="str">
            <v>Ala-Val-Phe and Val-Phe: ACE inhibitory peptides derived from insect protein with antihypertensive activity in spontaneously hypertensive rats.; Antihypertensive peptides from food proteins: a review.; What are the ideal properties for functional food peptides with antihypertensive effect? A computational peptidology approach.</v>
          </cell>
          <cell r="K85" t="str">
            <v>10.1016/j.peptides.2009.05.029; 10.1039/c2fo10192k; 10.1016/j.foodchem.2013.05.140</v>
          </cell>
          <cell r="L85" t="str">
            <v>19524628 22249830 23871047</v>
          </cell>
        </row>
        <row r="86">
          <cell r="F86" t="str">
            <v>AVL</v>
          </cell>
          <cell r="G86" t="str">
            <v/>
          </cell>
          <cell r="H86" t="str">
            <v/>
          </cell>
          <cell r="I86" t="str">
            <v/>
          </cell>
          <cell r="J86" t="str">
            <v>Structural requirements of Angiotensin I-converting enzyme inhibitory peptides: quantitative structure-activity relationship study of di- and tripeptides.; Isolation and characterization of peptides with antihypertensive activity in foodstuffs.</v>
          </cell>
          <cell r="K86" t="str">
            <v>10.1021/jf051263l; 10.1080/10408398.2012.664829</v>
          </cell>
          <cell r="L86" t="str">
            <v>16448176 24915368</v>
          </cell>
        </row>
        <row r="87">
          <cell r="F87" t="str">
            <v>AVNPIR</v>
          </cell>
          <cell r="G87" t="str">
            <v/>
          </cell>
          <cell r="H87" t="str">
            <v/>
          </cell>
          <cell r="I87" t="str">
            <v/>
          </cell>
          <cell r="J87" t="str">
            <v>A new QSAR model, for angiotensin I-converting enzyme inhibitory oligopeptides.</v>
          </cell>
          <cell r="K87" t="str">
            <v>10.1016/j.foodchem.2012.09.092</v>
          </cell>
          <cell r="L87" t="str">
            <v>23194537</v>
          </cell>
        </row>
        <row r="88">
          <cell r="F88" t="str">
            <v>AVP</v>
          </cell>
          <cell r="G88" t="str">
            <v/>
          </cell>
          <cell r="H88" t="str">
            <v/>
          </cell>
          <cell r="I88" t="str">
            <v/>
          </cell>
          <cell r="J88" t="str">
            <v>Bioactive peptides in amaranth (Amaranthus hypochondriacus) seed.; Evaluation of the allergenicity of goat milk, cow milk, and their lactosera in a guinea pig model.; What are the ideal properties for functional food peptides with antihypertensive effect? A computational peptidology approach.</v>
          </cell>
          <cell r="K88" t="str">
            <v>10.1021/jf072911z; 10.3168/jds.2008-1125; 10.1016/j.foodchem.2013.05.140</v>
          </cell>
          <cell r="L88" t="str">
            <v>18211015 19233776 23871047</v>
          </cell>
        </row>
        <row r="89">
          <cell r="F89" t="str">
            <v>AVPYP</v>
          </cell>
          <cell r="G89" t="str">
            <v/>
          </cell>
          <cell r="H89" t="str">
            <v/>
          </cell>
          <cell r="I89" t="str">
            <v/>
          </cell>
          <cell r="J89" t="str">
            <v>Evaluation of the allergenicity of goat milk, cow milk, and their lactosera in a guinea pig model.; A new QSAR model, for angiotensin I-converting enzyme inhibitory oligopeptides.</v>
          </cell>
          <cell r="K89" t="str">
            <v>10.3168/jds.2008-1125; 10.1016/j.foodchem.2012.09.092</v>
          </cell>
          <cell r="L89" t="str">
            <v>19233776 23194537</v>
          </cell>
        </row>
        <row r="90">
          <cell r="F90" t="str">
            <v>AVPYPQ</v>
          </cell>
          <cell r="G90" t="str">
            <v/>
          </cell>
          <cell r="H90" t="str">
            <v/>
          </cell>
          <cell r="I90" t="str">
            <v/>
          </cell>
          <cell r="J90" t="str">
            <v>Identification of angiotensin-I-converting enzyme inhibitory peptides derived from sodium caseinate hydrolysates produced by Lactobacillus helveticus NCC 2765.</v>
          </cell>
          <cell r="K90" t="str">
            <v>10.1021/jf049510t</v>
          </cell>
          <cell r="L90">
            <v>15537298</v>
          </cell>
        </row>
        <row r="91">
          <cell r="F91" t="str">
            <v>AVPYPQP</v>
          </cell>
          <cell r="G91" t="str">
            <v/>
          </cell>
          <cell r="H91" t="str">
            <v/>
          </cell>
          <cell r="I91" t="str">
            <v/>
          </cell>
          <cell r="J91" t="str">
            <v>A new QSAR model, for angiotensin I-converting enzyme inhibitory oligopeptides.</v>
          </cell>
          <cell r="K91" t="str">
            <v>10.1016/j.foodchem.2012.09.092</v>
          </cell>
          <cell r="L91" t="str">
            <v>23194537</v>
          </cell>
        </row>
        <row r="92">
          <cell r="F92" t="str">
            <v>AVPYPQR</v>
          </cell>
          <cell r="G92" t="str">
            <v/>
          </cell>
          <cell r="H92" t="str">
            <v/>
          </cell>
          <cell r="I92" t="str">
            <v/>
          </cell>
          <cell r="J92" t="str">
            <v>Evaluation of the allergenicity of goat milk, cow milk, and their lactosera in a guinea pig model.; Antihypertensive peptides: production, bioavailability and incorporation into foods.; Bioactive peptides derived from milk proteins and their health beneficial potentials: an update.; Antihypertensive peptides from food proteins: a review.</v>
          </cell>
          <cell r="K92" t="str">
            <v>10.3168/jds.2008-1125; 10.1016/j.cis.2010.11.001; 10.1039/c0fo00016g; 10.1039/c2fo10192k</v>
          </cell>
          <cell r="L92" t="str">
            <v>19233776 21185549 21773582 22249830</v>
          </cell>
        </row>
        <row r="93">
          <cell r="F93" t="str">
            <v>AVV</v>
          </cell>
          <cell r="G93" t="str">
            <v/>
          </cell>
          <cell r="H93" t="str">
            <v/>
          </cell>
          <cell r="I93" t="str">
            <v/>
          </cell>
          <cell r="J93" t="str">
            <v>Analysis of novel angiotensin I-converting enzyme inhibitory peptides from enzymatic hydrolysates of cuttlefish (Sepia officinalis) muscle proteins.; Review on the angiotensin-I-converting enzyme (ACE) inhibitor peptides from marine proteins.; What are the ideal properties for functional food peptides with antihypertensive effect? A computational peptidology approach.</v>
          </cell>
          <cell r="K93" t="str">
            <v>10.1021/jf904300q; 10.1007/s12010-012-0024-y; 10.1016/j.foodchem.2013.05.140</v>
          </cell>
          <cell r="L93" t="str">
            <v>20180574 23271625 23871047</v>
          </cell>
        </row>
        <row r="94">
          <cell r="F94" t="str">
            <v>AVVRP</v>
          </cell>
          <cell r="G94" t="str">
            <v/>
          </cell>
          <cell r="H94" t="str">
            <v/>
          </cell>
          <cell r="I94" t="str">
            <v/>
          </cell>
          <cell r="J94" t="str">
            <v>Inhibition of angiotensin-converting enzyme by synthetic peptide fragments of human kappa-casein.; Angiotensin converting enzyme inhibitory peptides derived from food proteins: biochemistry, bioactivity and production.; A new QSAR model, for angiotensin I-converting enzyme inhibitory oligopeptides.</v>
          </cell>
          <cell r="K94" t="str">
            <v>10.2174/138161207780363068; 10.1016/j.foodchem.2012.09.092</v>
          </cell>
          <cell r="L94" t="str">
            <v>1368540 17430180 23194537</v>
          </cell>
        </row>
        <row r="95">
          <cell r="F95" t="str">
            <v>AW</v>
          </cell>
          <cell r="G95" t="str">
            <v/>
          </cell>
          <cell r="H95" t="str">
            <v/>
          </cell>
          <cell r="I95" t="str">
            <v/>
          </cell>
          <cell r="J95" t="str">
            <v>Angiotensin I-converting enzyme inhibitory peptides derived from wakame (Undaria pinnatifida) and their antihypertensive effect in spontaneously hypertensive rats.;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Antihypertensive effect of peptide-enriched soy sauce-like seasoning and identification of its angiotensin I-converting enzyme inhibitory substances.; QSAR study on angiotensin-converting enzyme inhibitor oligopeptides based on a novel set of sequence information descriptors.; Inhibition strength of short peptides derived from an ACE inhibitory peptide.;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95" t="str">
            <v>10.1021/jf020482t; 10.1021/jf051263l; 10.1002/psc.892; 10.1021/jf903261h; 10.1007/s00894-010-0862-x; 10.1021/jf202902r; 10.1016/j.talanta.2012.12.041; 10.1016/j.foodchem.2013.05.140; 10.1080/10408398.2012.664829</v>
          </cell>
          <cell r="L95" t="str">
            <v>12358510 16448176 17654623 19994857 20941517 21923188 23598136 23871047 24915368</v>
          </cell>
        </row>
        <row r="96">
          <cell r="F96" t="str">
            <v>AWPF</v>
          </cell>
          <cell r="G96" t="str">
            <v/>
          </cell>
          <cell r="H96" t="str">
            <v/>
          </cell>
          <cell r="I96" t="str">
            <v/>
          </cell>
          <cell r="J96" t="str">
            <v>Vegetable foods: a cheap source of proteins and peptides with antihypertensive, antioxidant, and other less occurrence bioactivities.</v>
          </cell>
          <cell r="K96" t="str">
            <v>10.1016/j.talanta.2012.12.041</v>
          </cell>
          <cell r="L96">
            <v>23598136</v>
          </cell>
        </row>
        <row r="97">
          <cell r="F97" t="str">
            <v>AWPQ</v>
          </cell>
          <cell r="G97" t="str">
            <v/>
          </cell>
          <cell r="H97" t="str">
            <v/>
          </cell>
          <cell r="I97" t="str">
            <v/>
          </cell>
          <cell r="J97" t="str">
            <v/>
          </cell>
          <cell r="K97" t="str">
            <v/>
          </cell>
          <cell r="L97" t="str">
            <v/>
          </cell>
        </row>
        <row r="98">
          <cell r="F98" t="str">
            <v>AWW</v>
          </cell>
          <cell r="G98" t="str">
            <v/>
          </cell>
          <cell r="H98" t="str">
            <v/>
          </cell>
          <cell r="I98" t="str">
            <v/>
          </cell>
          <cell r="J98" t="str">
            <v/>
          </cell>
          <cell r="K98" t="str">
            <v/>
          </cell>
          <cell r="L98" t="str">
            <v/>
          </cell>
        </row>
        <row r="99">
          <cell r="F99" t="str">
            <v>AY</v>
          </cell>
          <cell r="G99" t="str">
            <v/>
          </cell>
          <cell r="H99" t="str">
            <v/>
          </cell>
          <cell r="I99" t="str">
            <v/>
          </cell>
          <cell r="J99" t="str">
            <v>Isolation from alpha-zein of thermolysin peptides with angiotensin I-converting enzyme inhibitory activity.;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Peptide with angiotensin I-converting enzyme inhibitory activity from hydrolyzed corn gluten meal.; Bioactive peptides in amaranth (Amaranthus hypochondriacus) seed.; Antihypertensive effect of peptide-enriched soy sauce-like seasoning and identification of its angiotensin I-converting enzyme inhibitory substances.;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ell>
          <cell r="K99" t="str">
            <v>10.1271/bbb.60.661; 10.1021/jf051263l; 10.1002/psc.892; 10.1021/jf0705670; 10.1021/jf072911z; 10.1021/jf903261h; 10.1016/j.talanta.2012.12.041; 10.1016/j.jprot.2013.06.023; 10.1016/j.foodchem.2013.05.140; 10.1080/10408398.2012.664829</v>
          </cell>
          <cell r="L99" t="str">
            <v>8829536 16448176 17654623 17715987 18211015 19994857 23598136 23806758 23871047 24915368</v>
          </cell>
        </row>
        <row r="100">
          <cell r="F100" t="str">
            <v>AYEES</v>
          </cell>
          <cell r="G100" t="str">
            <v/>
          </cell>
          <cell r="H100" t="str">
            <v/>
          </cell>
          <cell r="I100" t="str">
            <v/>
          </cell>
          <cell r="J100" t="str">
            <v/>
          </cell>
          <cell r="K100" t="str">
            <v/>
          </cell>
          <cell r="L100" t="str">
            <v/>
          </cell>
        </row>
        <row r="101">
          <cell r="F101" t="str">
            <v>AYFTPE</v>
          </cell>
          <cell r="G101" t="str">
            <v/>
          </cell>
          <cell r="H101" t="str">
            <v/>
          </cell>
          <cell r="I101" t="str">
            <v/>
          </cell>
          <cell r="J101" t="str">
            <v>A new QSAR model, for angiotensin I-converting enzyme inhibitory oligopeptides.</v>
          </cell>
          <cell r="K101" t="str">
            <v>10.1016/j.foodchem.2012.09.092</v>
          </cell>
          <cell r="L101" t="str">
            <v>23194537</v>
          </cell>
        </row>
        <row r="102">
          <cell r="F102" t="str">
            <v>AYFY</v>
          </cell>
          <cell r="G102" t="str">
            <v/>
          </cell>
          <cell r="H102" t="str">
            <v/>
          </cell>
          <cell r="I102" t="str">
            <v/>
          </cell>
          <cell r="J102" t="str">
            <v/>
          </cell>
          <cell r="K102" t="str">
            <v/>
          </cell>
          <cell r="L102" t="str">
            <v/>
          </cell>
        </row>
        <row r="103">
          <cell r="F103" t="str">
            <v>AYFYP</v>
          </cell>
          <cell r="G103" t="str">
            <v/>
          </cell>
          <cell r="H103" t="str">
            <v/>
          </cell>
          <cell r="I103" t="str">
            <v/>
          </cell>
          <cell r="J103" t="str">
            <v>A new QSAR model, for angiotensin I-converting enzyme inhibitory oligopeptides.</v>
          </cell>
          <cell r="K103" t="str">
            <v>10.1016/j.foodchem.2012.09.092</v>
          </cell>
          <cell r="L103" t="str">
            <v>23194537</v>
          </cell>
        </row>
        <row r="104">
          <cell r="F104" t="str">
            <v>AYFYPE</v>
          </cell>
          <cell r="G104" t="str">
            <v/>
          </cell>
          <cell r="H104" t="str">
            <v/>
          </cell>
          <cell r="I104" t="str">
            <v/>
          </cell>
          <cell r="J104" t="str">
            <v>Antihypertensive effect of the peptides derived from casein by an extracellular proteinase from Lactobacillus helveticus CP790.; A new QSAR model, for angiotensin I-converting enzyme inhibitory oligopeptides.</v>
          </cell>
          <cell r="K104" t="str">
            <v>10.3168/jds.S0022-0302(94)77026-0; 10.1016/j.foodchem.2012.09.092</v>
          </cell>
          <cell r="L104" t="str">
            <v>8201050 23194537</v>
          </cell>
        </row>
        <row r="105">
          <cell r="F105" t="str">
            <v>AYFYPEL</v>
          </cell>
          <cell r="G105" t="str">
            <v/>
          </cell>
          <cell r="H105" t="str">
            <v/>
          </cell>
          <cell r="I105" t="str">
            <v/>
          </cell>
          <cell r="J105" t="str">
            <v>Antihypertensive peptides: production, bioavailability and incorporation into foods.; Antihypertensive peptides from food proteins: a review.; Glycinyl-histidinyl-serine (GHS), a novel rapeseed protein-derived peptide has blood pressure-lowering effect in spontaneously hypertensive rats.; Isolation and characterization of peptides with antihypertensive activity in foodstuffs.</v>
          </cell>
          <cell r="K105" t="str">
            <v>10.1016/j.cis.2010.11.001; 10.1039/c2fo10192k; 10.1021/jf400865m; 10.1080/10408398.2012.664829</v>
          </cell>
          <cell r="L105" t="str">
            <v>21185549 22249830 23919612 24915368</v>
          </cell>
        </row>
        <row r="106">
          <cell r="F106" t="str">
            <v>AYIASKGL</v>
          </cell>
          <cell r="G106" t="str">
            <v/>
          </cell>
          <cell r="H106" t="str">
            <v/>
          </cell>
          <cell r="I106" t="str">
            <v/>
          </cell>
          <cell r="J106" t="str">
            <v>A new QSAR model, for angiotensin I-converting enzyme inhibitory oligopeptides.</v>
          </cell>
          <cell r="K106" t="str">
            <v>10.1016/j.foodchem.2012.09.092</v>
          </cell>
          <cell r="L106" t="str">
            <v>23194537</v>
          </cell>
        </row>
        <row r="107">
          <cell r="F107" t="str">
            <v>AYKRQ</v>
          </cell>
          <cell r="G107" t="str">
            <v/>
          </cell>
          <cell r="H107" t="str">
            <v/>
          </cell>
          <cell r="I107" t="str">
            <v/>
          </cell>
          <cell r="J107" t="str">
            <v/>
          </cell>
          <cell r="K107" t="str">
            <v/>
          </cell>
          <cell r="L107" t="str">
            <v/>
          </cell>
        </row>
        <row r="108">
          <cell r="F108" t="str">
            <v>AYP</v>
          </cell>
          <cell r="G108" t="str">
            <v/>
          </cell>
          <cell r="H108" t="str">
            <v/>
          </cell>
          <cell r="I108" t="str">
            <v/>
          </cell>
          <cell r="J108" t="str">
            <v>Isolation from alpha-zein of thermolysin peptides with angiotensin I-converting enzyme inhibitory activity.</v>
          </cell>
          <cell r="K108" t="str">
            <v>10.1271/bbb.60.661</v>
          </cell>
          <cell r="L108" t="str">
            <v>8829536</v>
          </cell>
        </row>
        <row r="109">
          <cell r="F109" t="str">
            <v>AYPQQ</v>
          </cell>
          <cell r="G109" t="str">
            <v/>
          </cell>
          <cell r="H109" t="str">
            <v/>
          </cell>
          <cell r="I109" t="str">
            <v/>
          </cell>
          <cell r="J109" t="str">
            <v>Isolation from alpha-zein of thermolysin peptides with angiotensin I-converting enzyme inhibitory activity.</v>
          </cell>
          <cell r="K109" t="str">
            <v>10.1271/bbb.60.661</v>
          </cell>
          <cell r="L109" t="str">
            <v>8829536</v>
          </cell>
        </row>
        <row r="110">
          <cell r="F110" t="str">
            <v>AYTGV</v>
          </cell>
          <cell r="G110" t="str">
            <v/>
          </cell>
          <cell r="H110" t="str">
            <v/>
          </cell>
          <cell r="I110" t="str">
            <v/>
          </cell>
          <cell r="J110" t="str">
            <v/>
          </cell>
          <cell r="K110" t="str">
            <v/>
          </cell>
          <cell r="L110" t="str">
            <v/>
          </cell>
        </row>
        <row r="111">
          <cell r="F111" t="str">
            <v>AYTQQ</v>
          </cell>
          <cell r="G111" t="str">
            <v/>
          </cell>
          <cell r="H111" t="str">
            <v/>
          </cell>
          <cell r="I111" t="str">
            <v/>
          </cell>
          <cell r="J111" t="str">
            <v/>
          </cell>
          <cell r="K111" t="str">
            <v/>
          </cell>
          <cell r="L111" t="str">
            <v/>
          </cell>
        </row>
        <row r="112">
          <cell r="F112" t="str">
            <v>AYW</v>
          </cell>
          <cell r="G112" t="str">
            <v/>
          </cell>
          <cell r="H112" t="str">
            <v/>
          </cell>
          <cell r="I112" t="str">
            <v/>
          </cell>
          <cell r="J112" t="str">
            <v/>
          </cell>
          <cell r="K112" t="str">
            <v/>
          </cell>
          <cell r="L112" t="str">
            <v/>
          </cell>
        </row>
        <row r="113">
          <cell r="F113" t="str">
            <v>CF</v>
          </cell>
          <cell r="G113" t="str">
            <v/>
          </cell>
          <cell r="H113" t="str">
            <v/>
          </cell>
          <cell r="I113" t="str">
            <v/>
          </cell>
          <cell r="J113" t="str">
            <v>Review on the angiotensin-I-converting enzyme (ACE) inhibitor peptides from marine proteins.;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113" t="str">
            <v>10.1007/s12010-012-0024-y; 10.1016/j.jprot.2013.06.023; 10.1016/j.foodchem.2013.05.140</v>
          </cell>
          <cell r="L113" t="str">
            <v>23271625 23806758 23871047</v>
          </cell>
        </row>
        <row r="114">
          <cell r="F114" t="str">
            <v>CFCTKPC</v>
          </cell>
          <cell r="G114" t="str">
            <v/>
          </cell>
          <cell r="H114" t="str">
            <v/>
          </cell>
          <cell r="I114" t="str">
            <v/>
          </cell>
          <cell r="J114" t="str">
            <v/>
          </cell>
          <cell r="K114" t="str">
            <v/>
          </cell>
          <cell r="L114" t="str">
            <v/>
          </cell>
        </row>
        <row r="115">
          <cell r="F115" t="str">
            <v>CMENSA</v>
          </cell>
          <cell r="G115" t="str">
            <v/>
          </cell>
          <cell r="H115" t="str">
            <v/>
          </cell>
          <cell r="I115" t="str">
            <v/>
          </cell>
          <cell r="J115" t="str">
            <v>Angiotensin I-converting enzyme inhibitory properties of whey protein digests: concentration and characterization of active peptides.; A new QSAR model, for angiotensin I-converting enzyme inhibitory oligopeptides.</v>
          </cell>
          <cell r="K115" t="str">
            <v>10.1017/s0022029999003982; 10.1016/j.foodchem.2012.09.092</v>
          </cell>
          <cell r="L115" t="str">
            <v>10717843 23194537</v>
          </cell>
        </row>
        <row r="116">
          <cell r="F116" t="str">
            <v>CVTPALR</v>
          </cell>
          <cell r="G116" t="str">
            <v/>
          </cell>
          <cell r="H116" t="str">
            <v/>
          </cell>
          <cell r="I116" t="str">
            <v/>
          </cell>
          <cell r="J116" t="str">
            <v/>
          </cell>
          <cell r="K116" t="str">
            <v/>
          </cell>
          <cell r="L116" t="str">
            <v/>
          </cell>
        </row>
        <row r="117">
          <cell r="F117" t="str">
            <v>CWLPVY</v>
          </cell>
          <cell r="G117" t="str">
            <v/>
          </cell>
          <cell r="H117" t="str">
            <v/>
          </cell>
          <cell r="I117" t="str">
            <v/>
          </cell>
          <cell r="J117" t="str">
            <v>Effects of angiotensin I-converting enzyme inhibitory substances derived from Indonesian dried-salted fish on blood pressure of rats.; Structure and activity of angiotensin I converting enzyme inhibitory peptides derived from Alaskan pollack skin.; A new QSAR model, for angiotensin I-converting enzyme inhibitory oligopeptides.</v>
          </cell>
          <cell r="K117" t="str">
            <v>10.1271/bbb.59.425; 10.5483/bmbrep.2002.35.2.239; 10.1016/j.foodchem.2012.09.092</v>
          </cell>
          <cell r="L117" t="str">
            <v>7766180 12297036 23194537</v>
          </cell>
        </row>
        <row r="118">
          <cell r="F118" t="str">
            <v>DA</v>
          </cell>
          <cell r="G118" t="str">
            <v/>
          </cell>
          <cell r="H118" t="str">
            <v/>
          </cell>
          <cell r="I118" t="str">
            <v/>
          </cell>
          <cell r="J118" t="str">
            <v>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118" t="str">
            <v>10.1002/psc.892; 10.1007/s00894-010-0862-x; 10.1016/j.jprot.2013.06.023; 10.1016/j.foodchem.2013.05.140</v>
          </cell>
          <cell r="L118" t="str">
            <v>17654623 20941517 23806758 23871047</v>
          </cell>
        </row>
        <row r="119">
          <cell r="F119" t="str">
            <v>DAQSAPLRVY</v>
          </cell>
          <cell r="G119" t="str">
            <v/>
          </cell>
          <cell r="H119" t="str">
            <v/>
          </cell>
          <cell r="I119" t="str">
            <v/>
          </cell>
          <cell r="J119" t="str">
            <v>A new QSAR model, for angiotensin I-converting enzyme inhibitory oligopeptides.</v>
          </cell>
          <cell r="K119" t="str">
            <v>10.1016/j.foodchem.2012.09.092</v>
          </cell>
          <cell r="L119" t="str">
            <v>23194537</v>
          </cell>
        </row>
        <row r="120">
          <cell r="F120" t="str">
            <v>DAYPSGA</v>
          </cell>
          <cell r="G120" t="str">
            <v/>
          </cell>
          <cell r="H120" t="str">
            <v/>
          </cell>
          <cell r="I120" t="str">
            <v/>
          </cell>
          <cell r="J120" t="str">
            <v/>
          </cell>
          <cell r="K120" t="str">
            <v/>
          </cell>
          <cell r="L120" t="str">
            <v/>
          </cell>
        </row>
        <row r="121">
          <cell r="F121" t="str">
            <v>DAYPSGAW</v>
          </cell>
          <cell r="G121" t="str">
            <v/>
          </cell>
          <cell r="H121" t="str">
            <v/>
          </cell>
          <cell r="I121" t="str">
            <v/>
          </cell>
          <cell r="J121" t="str">
            <v>A new QSAR model, for angiotensin I-converting enzyme inhibitory oligopeptides.</v>
          </cell>
          <cell r="K121" t="str">
            <v>10.1016/j.foodchem.2012.09.092</v>
          </cell>
          <cell r="L121" t="str">
            <v>23194537</v>
          </cell>
        </row>
        <row r="122">
          <cell r="F122" t="str">
            <v>DDTGHDFEDTGEAM</v>
          </cell>
          <cell r="G122" t="str">
            <v/>
          </cell>
          <cell r="H122" t="str">
            <v/>
          </cell>
          <cell r="I122" t="str">
            <v/>
          </cell>
          <cell r="J122" t="str">
            <v>Purification and characterization of angiotensin I converting enzyme inhibitory peptides from the rotifer, Brachionus rotundiformis.</v>
          </cell>
          <cell r="K122" t="str">
            <v>10.1016/j.biortech.2009.05.057</v>
          </cell>
          <cell r="L122" t="str">
            <v>19540110</v>
          </cell>
        </row>
        <row r="123">
          <cell r="F123" t="str">
            <v>DELQDKIHPFAQTQSLVYPFPGPIPNS</v>
          </cell>
          <cell r="G123" t="str">
            <v/>
          </cell>
          <cell r="H123" t="str">
            <v/>
          </cell>
          <cell r="I123" t="str">
            <v/>
          </cell>
          <cell r="J123" t="str">
            <v>Antihypertensive effect of the peptides derived from casein by an extracellular proteinase from Lactobacillus helveticus CP790.</v>
          </cell>
          <cell r="K123" t="str">
            <v>10.3168/jds.S0022-0302(94)77026-0</v>
          </cell>
          <cell r="L123" t="str">
            <v>8201050</v>
          </cell>
        </row>
        <row r="124">
          <cell r="F124" t="str">
            <v>DERF</v>
          </cell>
          <cell r="G124" t="str">
            <v/>
          </cell>
          <cell r="H124" t="str">
            <v/>
          </cell>
          <cell r="I124" t="str">
            <v/>
          </cell>
          <cell r="J124" t="str">
            <v>Antihypertensive peptides from food proteins: a review.</v>
          </cell>
          <cell r="K124" t="str">
            <v>10.1039/c2fo10192k</v>
          </cell>
          <cell r="L124" t="str">
            <v>22249830</v>
          </cell>
        </row>
        <row r="125">
          <cell r="F125" t="str">
            <v>DF</v>
          </cell>
          <cell r="G125" t="str">
            <v/>
          </cell>
          <cell r="H125" t="str">
            <v/>
          </cell>
          <cell r="I125" t="str">
            <v/>
          </cell>
          <cell r="J125" t="str">
            <v>Angiotensin I-converting enzyme inhibitory activity and insulin secretion stimulative activity of fermented fish sauce.; Structural requirements of Angiotensin I-converting enzyme inhibitory peptides: quantitative structure-activity relationship study of di- and tripeptides.; What are the ideal properties for functional food peptides with antihypertensive effect? A computational peptidology approach.</v>
          </cell>
          <cell r="K125" t="str">
            <v>10.1016/S1389-1723(03)70138-8; 10.1021/jf051263l; 10.1016/j.foodchem.2013.05.140</v>
          </cell>
          <cell r="L125" t="str">
            <v>16233562 16448176 23871047</v>
          </cell>
        </row>
        <row r="126">
          <cell r="F126" t="str">
            <v>DFG</v>
          </cell>
          <cell r="G126" t="str">
            <v/>
          </cell>
          <cell r="H126" t="str">
            <v/>
          </cell>
          <cell r="I126" t="str">
            <v/>
          </cell>
          <cell r="J126" t="str">
            <v>Review on the angiotensin-I-converting enzyme (ACE) inhibitor peptides from marine proteins.; What are the ideal properties for functional food peptides with antihypertensive effect? A computational peptidology approach.</v>
          </cell>
          <cell r="K126" t="str">
            <v>10.1007/s12010-012-0024-y; 10.1016/j.foodchem.2013.05.140</v>
          </cell>
          <cell r="L126" t="str">
            <v>23271625 23871047</v>
          </cell>
        </row>
        <row r="127">
          <cell r="F127" t="str">
            <v>DFHINQ</v>
          </cell>
          <cell r="G127" t="str">
            <v/>
          </cell>
          <cell r="H127" t="str">
            <v/>
          </cell>
          <cell r="I127" t="str">
            <v/>
          </cell>
          <cell r="J127" t="str">
            <v>Antihypertensive peptides: production, bioavailability and incorporation into foods.</v>
          </cell>
          <cell r="K127" t="str">
            <v>10.1016/j.cis.2010.11.001</v>
          </cell>
          <cell r="L127" t="str">
            <v>21185549</v>
          </cell>
        </row>
        <row r="128">
          <cell r="F128" t="str">
            <v>DFK</v>
          </cell>
          <cell r="G128" t="str">
            <v/>
          </cell>
          <cell r="H128" t="str">
            <v/>
          </cell>
          <cell r="I128" t="str">
            <v/>
          </cell>
          <cell r="J128" t="str">
            <v/>
          </cell>
          <cell r="K128" t="str">
            <v/>
          </cell>
          <cell r="L128" t="str">
            <v/>
          </cell>
        </row>
        <row r="129">
          <cell r="F129" t="str">
            <v>DG</v>
          </cell>
          <cell r="G129" t="str">
            <v>pea albumin|soybean protein</v>
          </cell>
          <cell r="H129" t="str">
            <v/>
          </cell>
          <cell r="I129" t="str">
            <v/>
          </cell>
          <cell r="J129" t="str">
            <v>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Assessing the dependence of (51)V A(z) value on the aromatic ring orientation of V(IV)O(2+) pyridine complexes.; A molecular keypad lock based on the thiacalix[4]arene of 1,3-alternate conformation.; QSAR study on angiotensin-converting enzyme inhibitor oligopeptides based on a novel set of sequence information descriptors.;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129" t="str">
            <v>10.1021/jf051263l; 10.1002/psc.892; 10.1021/ic9001779; 10.1021/ol900845g; 10.1007/s00894-010-0862-x; 10.1016/j.talanta.2012.12.041; 10.1016/j.jprot.2013.06.023; 10.1016/j.foodchem.2013.05.140</v>
          </cell>
          <cell r="L129" t="str">
            <v>16448176 17654623 19449891 19449894 20941517 23598136 23806758 23871047</v>
          </cell>
        </row>
        <row r="130">
          <cell r="F130" t="str">
            <v>DGL</v>
          </cell>
          <cell r="G130" t="str">
            <v/>
          </cell>
          <cell r="H130" t="str">
            <v/>
          </cell>
          <cell r="I130" t="str">
            <v/>
          </cell>
          <cell r="J130" t="str">
            <v>Structural requirements of Angiotensin I-converting enzyme inhibitory peptides: quantitative structure-activity relationship study of di- and tripeptides.; Isolation and characterization of peptides with antihypertensive activity in foodstuffs.</v>
          </cell>
          <cell r="K130" t="str">
            <v>10.1021/jf051263l; 10.1080/10408398.2012.664829</v>
          </cell>
          <cell r="L130" t="str">
            <v>16448176 24915368</v>
          </cell>
        </row>
        <row r="131">
          <cell r="F131" t="str">
            <v>DHPFL</v>
          </cell>
          <cell r="G131" t="str">
            <v/>
          </cell>
          <cell r="H131" t="str">
            <v/>
          </cell>
          <cell r="I131" t="str">
            <v/>
          </cell>
          <cell r="J131" t="str">
            <v>A new QSAR model, for angiotensin I-converting enzyme inhibitory oligopeptides.</v>
          </cell>
          <cell r="K131" t="str">
            <v>10.1016/j.foodchem.2012.09.092</v>
          </cell>
          <cell r="L131" t="str">
            <v>23194537</v>
          </cell>
        </row>
        <row r="132">
          <cell r="F132" t="str">
            <v>DHPFLF</v>
          </cell>
          <cell r="G132" t="str">
            <v/>
          </cell>
          <cell r="H132" t="str">
            <v/>
          </cell>
          <cell r="I132" t="str">
            <v/>
          </cell>
          <cell r="J132" t="str">
            <v/>
          </cell>
          <cell r="K132" t="str">
            <v/>
          </cell>
          <cell r="L132" t="str">
            <v/>
          </cell>
        </row>
        <row r="133">
          <cell r="F133" t="str">
            <v>DIGYY</v>
          </cell>
          <cell r="G133" t="str">
            <v/>
          </cell>
          <cell r="H133" t="str">
            <v/>
          </cell>
          <cell r="I133" t="str">
            <v/>
          </cell>
          <cell r="J133" t="str">
            <v>A new QSAR model, for angiotensin I-converting enzyme inhibitory oligopeptides.</v>
          </cell>
          <cell r="K133" t="str">
            <v>10.1016/j.foodchem.2012.09.092</v>
          </cell>
          <cell r="L133" t="str">
            <v>23194537</v>
          </cell>
        </row>
        <row r="134">
          <cell r="F134" t="str">
            <v>DIKQME</v>
          </cell>
          <cell r="G134" t="str">
            <v/>
          </cell>
          <cell r="H134" t="str">
            <v/>
          </cell>
          <cell r="I134" t="str">
            <v/>
          </cell>
          <cell r="J134" t="str">
            <v/>
          </cell>
          <cell r="K134" t="str">
            <v/>
          </cell>
          <cell r="L134" t="str">
            <v/>
          </cell>
        </row>
        <row r="135">
          <cell r="F135" t="str">
            <v>DK</v>
          </cell>
          <cell r="G135" t="str">
            <v/>
          </cell>
          <cell r="H135" t="str">
            <v/>
          </cell>
          <cell r="I135" t="str">
            <v/>
          </cell>
          <cell r="J135" t="str">
            <v/>
          </cell>
          <cell r="K135" t="str">
            <v/>
          </cell>
          <cell r="L135" t="str">
            <v/>
          </cell>
        </row>
        <row r="136">
          <cell r="F136" t="str">
            <v>DKIHP</v>
          </cell>
          <cell r="G136" t="str">
            <v/>
          </cell>
          <cell r="H136" t="str">
            <v/>
          </cell>
          <cell r="I136" t="str">
            <v/>
          </cell>
          <cell r="J136" t="str">
            <v>The potential role of milk-derived peptides in cardiovascular disease.; A new QSAR model, for angiotensin I-converting enzyme inhibitory oligopeptides.</v>
          </cell>
          <cell r="K136" t="str">
            <v>10.1039/c1fo10017c; 10.1016/j.foodchem.2012.09.092</v>
          </cell>
          <cell r="L136" t="str">
            <v>21779574 23194537</v>
          </cell>
        </row>
        <row r="137">
          <cell r="F137" t="str">
            <v>DKIHPF</v>
          </cell>
          <cell r="G137" t="str">
            <v/>
          </cell>
          <cell r="H137" t="str">
            <v/>
          </cell>
          <cell r="I137" t="str">
            <v/>
          </cell>
          <cell r="J137" t="str">
            <v>Angiotensin-converting enzyme inhibitory activity of peptides derived from caprine kefir.; A new QSAR model, for angiotensin I-converting enzyme inhibitory oligopeptides.</v>
          </cell>
          <cell r="K137" t="str">
            <v>10.3168/jds.S0022-0302(05)73032-0; 10.1016/j.foodchem.2012.09.092</v>
          </cell>
          <cell r="L137" t="str">
            <v>16162521 23194537</v>
          </cell>
        </row>
        <row r="138">
          <cell r="F138" t="str">
            <v>DKIYPSFQPQPLIYP</v>
          </cell>
          <cell r="G138" t="str">
            <v/>
          </cell>
          <cell r="H138" t="str">
            <v/>
          </cell>
          <cell r="I138" t="str">
            <v/>
          </cell>
          <cell r="J138" t="str">
            <v>Inhibition of angiotensin-converting enzyme by synthetic peptide fragments of various beta-caseins.</v>
          </cell>
          <cell r="K138" t="str">
            <v/>
          </cell>
          <cell r="L138" t="str">
            <v>1368548</v>
          </cell>
        </row>
        <row r="139">
          <cell r="F139" t="str">
            <v>DKVGINY</v>
          </cell>
          <cell r="G139" t="str">
            <v/>
          </cell>
          <cell r="H139" t="str">
            <v/>
          </cell>
          <cell r="I139" t="str">
            <v/>
          </cell>
          <cell r="J139" t="str">
            <v>A new QSAR model, for angiotensin I-converting enzyme inhibitory oligopeptides.</v>
          </cell>
          <cell r="K139" t="str">
            <v>10.1016/j.foodchem.2012.09.092</v>
          </cell>
          <cell r="L139" t="str">
            <v>23194537</v>
          </cell>
        </row>
        <row r="140">
          <cell r="F140" t="str">
            <v>DKVGINYW</v>
          </cell>
          <cell r="G140" t="str">
            <v/>
          </cell>
          <cell r="H140" t="str">
            <v/>
          </cell>
          <cell r="I140" t="str">
            <v/>
          </cell>
          <cell r="J140" t="str">
            <v>A new QSAR model, for angiotensin I-converting enzyme inhibitory oligopeptides.</v>
          </cell>
          <cell r="K140" t="str">
            <v>10.1016/j.foodchem.2012.09.092</v>
          </cell>
          <cell r="L140" t="str">
            <v>23194537</v>
          </cell>
        </row>
        <row r="141">
          <cell r="F141" t="str">
            <v>DL</v>
          </cell>
          <cell r="G141" t="str">
            <v/>
          </cell>
          <cell r="H141" t="str">
            <v/>
          </cell>
          <cell r="I141" t="str">
            <v/>
          </cell>
          <cell r="J141" t="str">
            <v>Angiotensin I-converting enzyme inhibitory activity and insulin secretion stimulative activity of fermented fish sauce.; Structural requirements of Angiotensin I-converting enzyme inhibitory peptides: quantitative structure-activity relationship study of di- and tripeptides.</v>
          </cell>
          <cell r="K141" t="str">
            <v>10.1016/S1389-1723(03)70138-8; 10.1021/jf051263l</v>
          </cell>
          <cell r="L141" t="str">
            <v>16233562 16448176</v>
          </cell>
        </row>
        <row r="142">
          <cell r="F142" t="str">
            <v>DLP</v>
          </cell>
          <cell r="G142" t="str">
            <v>soybean protein</v>
          </cell>
          <cell r="H142" t="str">
            <v/>
          </cell>
          <cell r="I142" t="str">
            <v/>
          </cell>
          <cell r="J142" t="str">
            <v>Structural requirements of Angiotensin I-converting enzyme inhibitory peptides: quantitative structure-activity relationship study of di- and tripeptides.; A molecular keypad lock based on the thiacalix[4]arene of 1,3-alternate conformation.; Vegetable foods: a cheap source of proteins and peptides with antihypertensive, antioxidant, and other less occurrence bioactivities.</v>
          </cell>
          <cell r="K142" t="str">
            <v>10.1021/jf051263l; 10.1021/ol900845g; 10.1016/j.talanta.2012.12.041</v>
          </cell>
          <cell r="L142" t="str">
            <v>16448176 19449894 23598136</v>
          </cell>
        </row>
        <row r="143">
          <cell r="F143" t="str">
            <v>DLQGK</v>
          </cell>
          <cell r="G143" t="str">
            <v/>
          </cell>
          <cell r="H143" t="str">
            <v/>
          </cell>
          <cell r="I143" t="str">
            <v/>
          </cell>
          <cell r="J143" t="str">
            <v/>
          </cell>
          <cell r="K143" t="str">
            <v/>
          </cell>
          <cell r="L143" t="str">
            <v/>
          </cell>
        </row>
        <row r="144">
          <cell r="F144" t="str">
            <v>DLRPDNAKA</v>
          </cell>
          <cell r="G144" t="str">
            <v/>
          </cell>
          <cell r="H144" t="str">
            <v/>
          </cell>
          <cell r="I144" t="str">
            <v/>
          </cell>
          <cell r="J144" t="str">
            <v>High throughput screening of bradykinin-potentiating peptides in Bothrops moojeni snake venom using precursor ion mass spectrometry.</v>
          </cell>
          <cell r="K144" t="str">
            <v>10.1016/j.toxicon.2008.02.019</v>
          </cell>
          <cell r="L144" t="str">
            <v>18471845</v>
          </cell>
        </row>
        <row r="145">
          <cell r="F145" t="str">
            <v>DLTDY</v>
          </cell>
          <cell r="G145" t="str">
            <v/>
          </cell>
          <cell r="H145" t="str">
            <v/>
          </cell>
          <cell r="I145" t="str">
            <v/>
          </cell>
          <cell r="J145" t="str">
            <v>Antihypertensive peptides from food proteins: a review.</v>
          </cell>
          <cell r="K145" t="str">
            <v>10.1039/c2fo10192k</v>
          </cell>
          <cell r="L145" t="str">
            <v>22249830</v>
          </cell>
        </row>
        <row r="146">
          <cell r="F146" t="str">
            <v>DM</v>
          </cell>
          <cell r="G146" t="str">
            <v/>
          </cell>
          <cell r="H146" t="str">
            <v/>
          </cell>
          <cell r="I146" t="str">
            <v/>
          </cell>
          <cell r="J146" t="str">
            <v>What are the ideal properties for functional food peptides with antihypertensive effect? A computational peptidology approach.</v>
          </cell>
          <cell r="K146" t="str">
            <v>10.1016/j.foodchem.2013.05.140</v>
          </cell>
          <cell r="L146" t="str">
            <v>23871047</v>
          </cell>
        </row>
        <row r="147">
          <cell r="F147" t="str">
            <v>DMIPAQK</v>
          </cell>
          <cell r="G147" t="str">
            <v/>
          </cell>
          <cell r="H147" t="str">
            <v/>
          </cell>
          <cell r="I147" t="str">
            <v/>
          </cell>
          <cell r="J147" t="str">
            <v>Peptide inhibitors for angiotensin I-converting enzyme from thermolysin digest of dried bonito.</v>
          </cell>
          <cell r="K147" t="str">
            <v>10.1271/bbb.56.1541</v>
          </cell>
          <cell r="L147" t="str">
            <v>1369054</v>
          </cell>
        </row>
        <row r="148">
          <cell r="F148" t="str">
            <v>DMSVF</v>
          </cell>
          <cell r="G148" t="str">
            <v/>
          </cell>
          <cell r="H148" t="str">
            <v/>
          </cell>
          <cell r="I148" t="str">
            <v/>
          </cell>
          <cell r="J148" t="str">
            <v>Isolation and characterization of peptides with antihypertensive activity in foodstuffs.</v>
          </cell>
          <cell r="K148" t="str">
            <v>10.1080/10408398.2012.664829</v>
          </cell>
          <cell r="L148" t="str">
            <v>24915368</v>
          </cell>
        </row>
        <row r="149">
          <cell r="F149" t="str">
            <v>DP</v>
          </cell>
          <cell r="G149" t="str">
            <v/>
          </cell>
          <cell r="H149" t="str">
            <v/>
          </cell>
          <cell r="I149" t="str">
            <v/>
          </cell>
          <cell r="J149" t="str">
            <v>Isolation and characterization of peptides with antihypertensive activity in foodstuffs.</v>
          </cell>
          <cell r="K149" t="str">
            <v>10.1080/10408398.2012.664829</v>
          </cell>
          <cell r="L149" t="str">
            <v>24915368</v>
          </cell>
        </row>
        <row r="150">
          <cell r="F150" t="str">
            <v>DQVFPMNPPK</v>
          </cell>
          <cell r="G150" t="str">
            <v/>
          </cell>
          <cell r="H150" t="str">
            <v/>
          </cell>
          <cell r="I150" t="str">
            <v/>
          </cell>
          <cell r="J150" t="str">
            <v>Angiotensin I-converting enzyme inhibitory peptides generated from in vitro gastrointestinal digestion of pork meat.</v>
          </cell>
          <cell r="K150" t="str">
            <v>10.1021/jf904204n</v>
          </cell>
          <cell r="L150" t="str">
            <v>20151679</v>
          </cell>
        </row>
        <row r="151">
          <cell r="F151" t="str">
            <v>DRVYIHPFHL</v>
          </cell>
          <cell r="G151" t="str">
            <v/>
          </cell>
          <cell r="H151" t="str">
            <v/>
          </cell>
          <cell r="I151" t="str">
            <v/>
          </cell>
          <cell r="J151" t="str">
            <v>A new QSAR model, for angiotensin I-converting enzyme inhibitory oligopeptides.; VPPIPP and IPPVPP: two hexapeptides innovated to exert antihypertensive activity.</v>
          </cell>
          <cell r="K151" t="str">
            <v>10.1016/j.foodchem.2012.09.092; 10.1371/journal.pone.0062384</v>
          </cell>
          <cell r="L151" t="str">
            <v>23194537 23638059</v>
          </cell>
        </row>
        <row r="152">
          <cell r="F152" t="str">
            <v>DV</v>
          </cell>
          <cell r="G152" t="str">
            <v/>
          </cell>
          <cell r="H152" t="str">
            <v/>
          </cell>
          <cell r="I152" t="str">
            <v/>
          </cell>
          <cell r="J152" t="str">
            <v>Quantitative structure-activity relationship study of bitter di- and tri-peptides including relationship with angiotensin I-converting enzyme inhibitory activity.</v>
          </cell>
          <cell r="K152" t="str">
            <v>10.1002/psc.800</v>
          </cell>
          <cell r="L152" t="str">
            <v>17117396</v>
          </cell>
        </row>
        <row r="153">
          <cell r="F153" t="str">
            <v>DVENLHLPLPLLQSW</v>
          </cell>
          <cell r="G153" t="str">
            <v/>
          </cell>
          <cell r="H153" t="str">
            <v/>
          </cell>
          <cell r="I153" t="str">
            <v/>
          </cell>
          <cell r="J153" t="str">
            <v>Identification of angiotensin-I-converting enzyme inhibitory peptides derived from sodium caseinate hydrolysates produced by Lactobacillus helveticus NCC 2765.</v>
          </cell>
          <cell r="K153" t="str">
            <v>10.1021/jf049510t</v>
          </cell>
          <cell r="L153" t="str">
            <v>15537298</v>
          </cell>
        </row>
        <row r="154">
          <cell r="F154" t="str">
            <v>DVPSERY</v>
          </cell>
          <cell r="G154" t="str">
            <v/>
          </cell>
          <cell r="H154" t="str">
            <v/>
          </cell>
          <cell r="I154" t="str">
            <v/>
          </cell>
          <cell r="J154" t="str">
            <v/>
          </cell>
          <cell r="K154" t="str">
            <v/>
          </cell>
          <cell r="L154" t="str">
            <v/>
          </cell>
        </row>
        <row r="155">
          <cell r="F155" t="str">
            <v>DVPSERYLG</v>
          </cell>
          <cell r="G155" t="str">
            <v/>
          </cell>
          <cell r="H155" t="str">
            <v/>
          </cell>
          <cell r="I155" t="str">
            <v/>
          </cell>
          <cell r="J155" t="str">
            <v/>
          </cell>
          <cell r="K155" t="str">
            <v/>
          </cell>
          <cell r="L155" t="str">
            <v/>
          </cell>
        </row>
        <row r="156">
          <cell r="F156" t="str">
            <v>DW</v>
          </cell>
          <cell r="G156" t="str">
            <v/>
          </cell>
          <cell r="H156" t="str">
            <v/>
          </cell>
          <cell r="I156" t="str">
            <v/>
          </cell>
          <cell r="J156" t="str">
            <v>Inhibition strength of short peptides derived from an ACE inhibitory peptide.</v>
          </cell>
          <cell r="K156" t="str">
            <v>10.1021/jf202902r</v>
          </cell>
          <cell r="L156" t="str">
            <v>21923188</v>
          </cell>
        </row>
        <row r="157">
          <cell r="F157" t="str">
            <v>DWGP</v>
          </cell>
          <cell r="G157" t="str">
            <v/>
          </cell>
          <cell r="H157" t="str">
            <v/>
          </cell>
          <cell r="I157" t="str">
            <v/>
          </cell>
          <cell r="J157" t="str">
            <v>Antihypertensive peptides: production, bioavailability and incorporation into foods.</v>
          </cell>
          <cell r="K157" t="str">
            <v>10.1016/j.cis.2010.11.001</v>
          </cell>
          <cell r="L157" t="str">
            <v>21185549</v>
          </cell>
        </row>
        <row r="158">
          <cell r="F158" t="str">
            <v>DY</v>
          </cell>
          <cell r="G158" t="str">
            <v/>
          </cell>
          <cell r="H158" t="str">
            <v/>
          </cell>
          <cell r="I158" t="str">
            <v/>
          </cell>
          <cell r="J158" t="str">
            <v>Structural requirements of Angiotensin I-converting enzyme inhibitory peptides: quantitative structure-activity relationship study of di- and tripeptides.; Antihypertensive peptides from food proteins: a review.</v>
          </cell>
          <cell r="K158" t="str">
            <v>10.1021/jf051263l; 10.1039/c2fo10192k</v>
          </cell>
          <cell r="L158" t="str">
            <v>16448176 22249830</v>
          </cell>
        </row>
        <row r="159">
          <cell r="F159" t="str">
            <v>DYG</v>
          </cell>
          <cell r="G159" t="str">
            <v/>
          </cell>
          <cell r="H159" t="str">
            <v/>
          </cell>
          <cell r="I159" t="str">
            <v/>
          </cell>
          <cell r="J159" t="str">
            <v>Structural requirements of Angiotensin I-converting enzyme inhibitory peptides: quantitative structure-activity relationship study of di- and tripeptides.</v>
          </cell>
          <cell r="K159" t="str">
            <v>10.1021/jf051263l</v>
          </cell>
          <cell r="L159" t="str">
            <v>16448176</v>
          </cell>
        </row>
        <row r="160">
          <cell r="F160" t="str">
            <v>DYGLYP</v>
          </cell>
          <cell r="G160" t="str">
            <v/>
          </cell>
          <cell r="H160" t="str">
            <v/>
          </cell>
          <cell r="I160" t="str">
            <v/>
          </cell>
          <cell r="J160" t="str">
            <v>Peptide inhibitors for angiotensin I-converting enzyme from thermolysin digest of dried bonito.; Review on the angiotensin-I-converting enzyme (ACE) inhibitor peptides from marine proteins.</v>
          </cell>
          <cell r="K160" t="str">
            <v>10.1271/bbb.56.1541; 10.1007/s12010-012-0024-y</v>
          </cell>
          <cell r="L160" t="str">
            <v>1369054 23271625</v>
          </cell>
        </row>
        <row r="161">
          <cell r="F161" t="str">
            <v>DYLRSC</v>
          </cell>
          <cell r="G161" t="str">
            <v/>
          </cell>
          <cell r="H161" t="str">
            <v/>
          </cell>
          <cell r="I161" t="str">
            <v/>
          </cell>
          <cell r="J161" t="str">
            <v/>
          </cell>
          <cell r="K161" t="str">
            <v/>
          </cell>
          <cell r="L161" t="str">
            <v/>
          </cell>
        </row>
        <row r="162">
          <cell r="F162" t="str">
            <v>DYVGN</v>
          </cell>
          <cell r="G162" t="str">
            <v/>
          </cell>
          <cell r="H162" t="str">
            <v/>
          </cell>
          <cell r="I162" t="str">
            <v/>
          </cell>
          <cell r="J162" t="str">
            <v>Inhibition strength of short peptides derived from an ACE inhibitory peptide.; A new QSAR model, for angiotensin I-converting enzyme inhibitory oligopeptides.</v>
          </cell>
          <cell r="K162" t="str">
            <v>10.1021/jf202902r; 10.1016/j.foodchem.2012.09.092</v>
          </cell>
          <cell r="L162" t="str">
            <v>21923188 23194537</v>
          </cell>
        </row>
        <row r="163">
          <cell r="F163" t="str">
            <v>EA</v>
          </cell>
          <cell r="G163" t="str">
            <v/>
          </cell>
          <cell r="H163" t="str">
            <v/>
          </cell>
          <cell r="I163" t="str">
            <v/>
          </cell>
          <cell r="J163" t="str">
            <v>Binding of peptide substrates and inhibitors of angiotensin-converting enzyme. Importance of the COOH-terminal dipeptide sequence.;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163" t="str">
            <v>10.1002/psc.892; 10.1007/s00894-010-0862-x; 10.1016/j.jprot.2013.06.023; 10.1016/j.foodchem.2013.05.140</v>
          </cell>
          <cell r="L163" t="str">
            <v>6243277 17654623 20941517 23806758 23871047</v>
          </cell>
        </row>
        <row r="164">
          <cell r="F164" t="str">
            <v>EAP</v>
          </cell>
          <cell r="G164" t="str">
            <v/>
          </cell>
          <cell r="H164" t="str">
            <v/>
          </cell>
          <cell r="I164" t="str">
            <v/>
          </cell>
          <cell r="J164" t="str">
            <v>Structural requirements of Angiotensin I-converting enzyme inhibitory peptides: quantitative structure-activity relationship study of di- and tripeptides.</v>
          </cell>
          <cell r="K164" t="str">
            <v>10.1021/jf051263l</v>
          </cell>
          <cell r="L164" t="str">
            <v>16448176</v>
          </cell>
        </row>
        <row r="165">
          <cell r="F165" t="str">
            <v>EDENNPFYLR</v>
          </cell>
          <cell r="G165" t="str">
            <v/>
          </cell>
          <cell r="H165" t="str">
            <v/>
          </cell>
          <cell r="I165" t="str">
            <v/>
          </cell>
          <cell r="J165" t="str">
            <v/>
          </cell>
          <cell r="K165" t="str">
            <v/>
          </cell>
          <cell r="L165" t="str">
            <v/>
          </cell>
        </row>
        <row r="166">
          <cell r="F166" t="str">
            <v>EEAGG</v>
          </cell>
          <cell r="G166" t="str">
            <v/>
          </cell>
          <cell r="H166" t="str">
            <v/>
          </cell>
          <cell r="I166" t="str">
            <v/>
          </cell>
          <cell r="J166" t="str">
            <v/>
          </cell>
          <cell r="K166" t="str">
            <v/>
          </cell>
          <cell r="L166" t="str">
            <v/>
          </cell>
        </row>
        <row r="167">
          <cell r="F167" t="str">
            <v>EG</v>
          </cell>
          <cell r="G167" t="str">
            <v/>
          </cell>
          <cell r="H167" t="str">
            <v/>
          </cell>
          <cell r="I167" t="str">
            <v/>
          </cell>
          <cell r="J167"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167" t="str">
            <v>10.1021/jf051263l; 10.1002/psc.892; 10.1007/s00894-010-0862-x; 10.1016/j.jprot.2013.06.023; 10.1016/j.foodchem.2013.05.140</v>
          </cell>
          <cell r="L167" t="str">
            <v>6243277 16448176 17654623 20941517 23806758 23871047</v>
          </cell>
        </row>
        <row r="168">
          <cell r="F168" t="str">
            <v>EGEPR</v>
          </cell>
          <cell r="G168" t="str">
            <v/>
          </cell>
          <cell r="H168" t="str">
            <v/>
          </cell>
          <cell r="I168" t="str">
            <v/>
          </cell>
          <cell r="J168" t="str">
            <v>Novel angiotensin I-converting enzyme inhibitory peptides derived from edible mushroom Agaricus bisporus (J.E. Lange) Imbach identified by LC-MS/MS.</v>
          </cell>
          <cell r="K168" t="str">
            <v>10.1016/j.foodchem.2013.10.053</v>
          </cell>
          <cell r="L168" t="str">
            <v>24262574</v>
          </cell>
        </row>
        <row r="169">
          <cell r="F169" t="str">
            <v>EGGPKP</v>
          </cell>
          <cell r="G169" t="str">
            <v/>
          </cell>
          <cell r="H169" t="str">
            <v/>
          </cell>
          <cell r="I169" t="str">
            <v/>
          </cell>
          <cell r="J169" t="str">
            <v>Isolation and characterization of peptides with antihypertensive activity in foodstuffs.</v>
          </cell>
          <cell r="K169" t="str">
            <v>10.1080/10408398.2012.664829</v>
          </cell>
          <cell r="L169" t="str">
            <v>24915368</v>
          </cell>
        </row>
        <row r="170">
          <cell r="F170" t="str">
            <v>EGPKLVAS</v>
          </cell>
          <cell r="G170" t="str">
            <v/>
          </cell>
          <cell r="H170" t="str">
            <v/>
          </cell>
          <cell r="I170" t="str">
            <v/>
          </cell>
          <cell r="J170" t="str">
            <v/>
          </cell>
          <cell r="K170" t="str">
            <v/>
          </cell>
          <cell r="L170" t="str">
            <v/>
          </cell>
        </row>
        <row r="171">
          <cell r="F171" t="str">
            <v>EI</v>
          </cell>
          <cell r="G171" t="str">
            <v/>
          </cell>
          <cell r="H171" t="str">
            <v/>
          </cell>
          <cell r="I171" t="str">
            <v/>
          </cell>
          <cell r="J171" t="str">
            <v/>
          </cell>
          <cell r="K171" t="str">
            <v/>
          </cell>
          <cell r="L171" t="str">
            <v/>
          </cell>
        </row>
        <row r="172">
          <cell r="F172" t="str">
            <v>EIAKLM</v>
          </cell>
          <cell r="G172" t="str">
            <v/>
          </cell>
          <cell r="H172" t="str">
            <v/>
          </cell>
          <cell r="I172" t="str">
            <v/>
          </cell>
          <cell r="J172" t="str">
            <v>Isolation and characterization of peptides with antihypertensive activity in foodstuffs.</v>
          </cell>
          <cell r="K172" t="str">
            <v>10.1080/10408398.2012.664829</v>
          </cell>
          <cell r="L172" t="str">
            <v>24915368</v>
          </cell>
        </row>
        <row r="173">
          <cell r="F173" t="str">
            <v>EK</v>
          </cell>
          <cell r="G173" t="str">
            <v/>
          </cell>
          <cell r="H173" t="str">
            <v/>
          </cell>
          <cell r="I173" t="str">
            <v/>
          </cell>
          <cell r="J173" t="str">
            <v>Application of at-line two-dimensional liquid chromatography-mass spectrometry for identification of small hydrophilic angiotensin I-inhibiting peptides in milk hydrolysates.</v>
          </cell>
          <cell r="K173" t="str">
            <v>10.1007/s00216-008-1990-3</v>
          </cell>
          <cell r="L173" t="str">
            <v>18392815</v>
          </cell>
        </row>
        <row r="174">
          <cell r="F174" t="str">
            <v>EKDERF</v>
          </cell>
          <cell r="G174" t="str">
            <v/>
          </cell>
          <cell r="H174" t="str">
            <v/>
          </cell>
          <cell r="I174" t="str">
            <v/>
          </cell>
          <cell r="J174" t="str">
            <v>Identification of novel angiotensin-converting enzyme-inhibitory peptides from ovine milk proteins by CE-MS and chromatographic techniques.; Isolation and characterization of peptides with antihypertensive activity in foodstuffs.</v>
          </cell>
          <cell r="K174" t="str">
            <v>10.1002/elps.200700324; 10.1080/10408398.2012.664829</v>
          </cell>
          <cell r="L174" t="str">
            <v>17948260 24915368</v>
          </cell>
        </row>
        <row r="175">
          <cell r="F175" t="str">
            <v>EKERERQ</v>
          </cell>
          <cell r="G175" t="str">
            <v/>
          </cell>
          <cell r="H175" t="str">
            <v/>
          </cell>
          <cell r="I175" t="str">
            <v/>
          </cell>
          <cell r="J175" t="str">
            <v>Porcine skeletal muscle troponin is a good source of peptides with Angiotensin-I converting enzyme inhibitory activity and antihypertensive effects in spontaneously hypertensive rats.; Isolation and characterization of peptides with antihypertensive activity in foodstuffs.</v>
          </cell>
          <cell r="K175" t="str">
            <v>10.1021/jf071408j; 10.1080/10408398.2012.664829</v>
          </cell>
          <cell r="L175" t="str">
            <v>18163567 24915368</v>
          </cell>
        </row>
        <row r="176">
          <cell r="F176" t="str">
            <v>EKV</v>
          </cell>
          <cell r="G176" t="str">
            <v/>
          </cell>
          <cell r="H176" t="str">
            <v/>
          </cell>
          <cell r="I176" t="str">
            <v/>
          </cell>
          <cell r="J176" t="str">
            <v>Hot topic: Changes in angiotensin-converting enzyme inhibition and concentrations of the tripeptides Val-Pro-Pro and Ile-Pro-Pro during ripening of different Swiss cheese varieties.</v>
          </cell>
          <cell r="K176" t="str">
            <v>10.3168/jds.2008-1531</v>
          </cell>
          <cell r="L176" t="str">
            <v>19233775</v>
          </cell>
        </row>
        <row r="177">
          <cell r="F177" t="str">
            <v>ELEELNVPGE</v>
          </cell>
          <cell r="G177" t="str">
            <v/>
          </cell>
          <cell r="H177" t="str">
            <v/>
          </cell>
          <cell r="I177" t="str">
            <v/>
          </cell>
          <cell r="J177" t="str">
            <v>Casein fermentate of Lactobacillus animalis DPC6134 contains a range of novel propeptide angiotensin-converting enzyme inhibitors.</v>
          </cell>
          <cell r="K177" t="str">
            <v>10.1128/AEM.00096-07</v>
          </cell>
          <cell r="L177" t="str">
            <v>17483275</v>
          </cell>
        </row>
        <row r="178">
          <cell r="F178" t="str">
            <v>EMPFPK</v>
          </cell>
          <cell r="G178" t="str">
            <v/>
          </cell>
          <cell r="H178" t="str">
            <v/>
          </cell>
          <cell r="I178" t="str">
            <v/>
          </cell>
          <cell r="J178" t="str">
            <v>Evaluation of the allergenicity of goat milk, cow milk, and their lactosera in a guinea pig model.; A new QSAR model, for angiotensin I-converting enzyme inhibitory oligopeptides.</v>
          </cell>
          <cell r="K178" t="str">
            <v>10.3168/jds.2008-1125; 10.1016/j.foodchem.2012.09.092</v>
          </cell>
          <cell r="L178" t="str">
            <v>19233776 23194537</v>
          </cell>
        </row>
        <row r="179">
          <cell r="F179" t="str">
            <v>EMPFPKYPVEP</v>
          </cell>
          <cell r="G179" t="str">
            <v/>
          </cell>
          <cell r="H179" t="str">
            <v/>
          </cell>
          <cell r="I179" t="str">
            <v/>
          </cell>
          <cell r="J179" t="str">
            <v>Casein fermentate of Lactobacillus animalis DPC6134 contains a range of novel propeptide angiotensin-converting enzyme inhibitors.</v>
          </cell>
          <cell r="K179" t="str">
            <v>10.1128/AEM.00096-07</v>
          </cell>
          <cell r="L179" t="str">
            <v>17483275</v>
          </cell>
        </row>
        <row r="180">
          <cell r="F180" t="str">
            <v>ENLHLP</v>
          </cell>
          <cell r="G180" t="str">
            <v/>
          </cell>
          <cell r="H180" t="str">
            <v/>
          </cell>
          <cell r="I180" t="str">
            <v/>
          </cell>
          <cell r="J180" t="str">
            <v>Inhibition of angiotensin-converting enzyme by synthetic peptide fragments of various beta-caseins.</v>
          </cell>
          <cell r="K180" t="str">
            <v/>
          </cell>
          <cell r="L180" t="str">
            <v>1368548</v>
          </cell>
        </row>
        <row r="181">
          <cell r="F181" t="str">
            <v>ENLHLPLP</v>
          </cell>
          <cell r="G181" t="str">
            <v/>
          </cell>
          <cell r="H181" t="str">
            <v/>
          </cell>
          <cell r="I181" t="str">
            <v/>
          </cell>
          <cell r="J181" t="str">
            <v/>
          </cell>
          <cell r="K181" t="str">
            <v/>
          </cell>
          <cell r="L181" t="str">
            <v/>
          </cell>
        </row>
        <row r="182">
          <cell r="F182" t="str">
            <v>ENLHLPLPLL</v>
          </cell>
          <cell r="G182" t="str">
            <v/>
          </cell>
          <cell r="H182" t="str">
            <v/>
          </cell>
          <cell r="I182" t="str">
            <v/>
          </cell>
          <cell r="J182" t="str">
            <v>Identification of angiotensin-I-converting enzyme inhibitory peptides derived from sodium caseinate hydrolysates produced by Lactobacillus helveticus NCC 2765.</v>
          </cell>
          <cell r="K182" t="str">
            <v>10.1021/jf049510t</v>
          </cell>
          <cell r="L182" t="str">
            <v>15537298</v>
          </cell>
        </row>
        <row r="183">
          <cell r="F183" t="str">
            <v>ENLLRF</v>
          </cell>
          <cell r="G183" t="str">
            <v/>
          </cell>
          <cell r="H183" t="str">
            <v/>
          </cell>
          <cell r="I183" t="str">
            <v/>
          </cell>
          <cell r="J183" t="str">
            <v>Angiotensin-converting enzyme inhibitory activity of peptides derived from caprine kefir.</v>
          </cell>
          <cell r="K183" t="str">
            <v>10.3168/jds.S0022-0302(05)73032-0</v>
          </cell>
          <cell r="L183" t="str">
            <v>16162521</v>
          </cell>
        </row>
        <row r="184">
          <cell r="F184" t="str">
            <v>ENLLRFFVAPFPEVFG</v>
          </cell>
          <cell r="G184" t="str">
            <v/>
          </cell>
          <cell r="H184" t="str">
            <v/>
          </cell>
          <cell r="I184" t="str">
            <v/>
          </cell>
          <cell r="J184" t="str">
            <v>Identification of angiotensin-I-converting enzyme inhibitory peptides derived from sodium caseinate hydrolysates produced by Lactobacillus helveticus NCC 2765.</v>
          </cell>
          <cell r="K184" t="str">
            <v>10.1021/jf049510t</v>
          </cell>
          <cell r="L184" t="str">
            <v>15537298</v>
          </cell>
        </row>
        <row r="185">
          <cell r="F185" t="str">
            <v>EP</v>
          </cell>
          <cell r="G185" t="str">
            <v/>
          </cell>
          <cell r="H185" t="str">
            <v/>
          </cell>
          <cell r="I185" t="str">
            <v/>
          </cell>
          <cell r="J185" t="str">
            <v>Angiotensin I-converting enzyme inhibitory activity and insulin secretion stimulative activity of fermented fish sauce.; ACE inhibitory tetrapeptides from Amaranthus hypochondriacus 11S globulin.; What are the ideal properties for functional food peptides with antihypertensive effect? A computational peptidology approach.</v>
          </cell>
          <cell r="K185" t="str">
            <v>10.1016/S1389-1723(03)70138-8; 10.1016/j.phytochem.2009.04.006; 10.1016/j.foodchem.2013.05.140</v>
          </cell>
          <cell r="L185" t="str">
            <v>16233562 19443002 23871047</v>
          </cell>
        </row>
        <row r="186">
          <cell r="F186" t="str">
            <v>EPIPYGFLP</v>
          </cell>
          <cell r="G186" t="str">
            <v/>
          </cell>
          <cell r="H186" t="str">
            <v/>
          </cell>
          <cell r="I186" t="str">
            <v/>
          </cell>
          <cell r="J186" t="str">
            <v>Inhibition of angiotensin-converting enzyme by synthetic peptide fragments of various beta-caseins.</v>
          </cell>
          <cell r="K186" t="str">
            <v/>
          </cell>
          <cell r="L186" t="str">
            <v>1368548</v>
          </cell>
        </row>
        <row r="187">
          <cell r="F187" t="str">
            <v>EPR</v>
          </cell>
          <cell r="G187" t="str">
            <v/>
          </cell>
          <cell r="H187" t="str">
            <v/>
          </cell>
          <cell r="I187" t="str">
            <v/>
          </cell>
          <cell r="J187" t="str">
            <v>Angiotensin I-converting enzyme inhibitory peptides generated from in vitro gastrointestinal digestion of pork meat.; Isolation and characterization of peptides with antihypertensive activity in foodstuffs.</v>
          </cell>
          <cell r="K187" t="str">
            <v>10.1021/jf904204n; 10.1080/10408398.2012.664829</v>
          </cell>
          <cell r="L187" t="str">
            <v>20151679 24915368</v>
          </cell>
        </row>
        <row r="188">
          <cell r="F188" t="str">
            <v>EPVLGPVRGPFP</v>
          </cell>
          <cell r="G188" t="str">
            <v/>
          </cell>
          <cell r="H188" t="str">
            <v/>
          </cell>
          <cell r="I188" t="str">
            <v/>
          </cell>
          <cell r="J188" t="str">
            <v>Casein fermentate of Lactobacillus animalis DPC6134 contains a range of novel propeptide angiotensin-converting enzyme inhibitors.</v>
          </cell>
          <cell r="K188" t="str">
            <v>10.1128/AEM.00096-07</v>
          </cell>
          <cell r="L188" t="str">
            <v>17483275</v>
          </cell>
        </row>
        <row r="189">
          <cell r="F189" t="str">
            <v>ER</v>
          </cell>
          <cell r="G189" t="str">
            <v/>
          </cell>
          <cell r="H189" t="str">
            <v/>
          </cell>
          <cell r="I189" t="str">
            <v/>
          </cell>
          <cell r="J189" t="str">
            <v>Angiotensin I-converting enzyme inhibitory peptides generated from in vitro gastrointestinal digestion of pork meat.; What are the ideal properties for functional food peptides with antihypertensive effect? A computational peptidology approach.; Isolation and characterization of peptides with antihypertensive activity in foodstuffs.</v>
          </cell>
          <cell r="K189" t="str">
            <v>10.1021/jf904204n; 10.1016/j.foodchem.2013.05.140; 10.1080/10408398.2012.664829</v>
          </cell>
          <cell r="L189" t="str">
            <v>20151679 23871047 24915368</v>
          </cell>
        </row>
        <row r="190">
          <cell r="F190" t="str">
            <v>ERF</v>
          </cell>
          <cell r="G190" t="str">
            <v/>
          </cell>
          <cell r="H190" t="str">
            <v/>
          </cell>
          <cell r="I190" t="str">
            <v/>
          </cell>
          <cell r="J190" t="str">
            <v/>
          </cell>
          <cell r="K190" t="str">
            <v/>
          </cell>
          <cell r="L190" t="str">
            <v/>
          </cell>
        </row>
        <row r="191">
          <cell r="F191" t="str">
            <v>ERGDT</v>
          </cell>
          <cell r="G191" t="str">
            <v/>
          </cell>
          <cell r="H191" t="str">
            <v/>
          </cell>
          <cell r="I191" t="str">
            <v/>
          </cell>
          <cell r="J191" t="str">
            <v/>
          </cell>
          <cell r="K191" t="str">
            <v/>
          </cell>
          <cell r="L191" t="str">
            <v/>
          </cell>
        </row>
        <row r="192">
          <cell r="F192" t="str">
            <v>ERKIKVYL</v>
          </cell>
          <cell r="G192" t="str">
            <v>ovalbumin</v>
          </cell>
          <cell r="H192" t="str">
            <v/>
          </cell>
          <cell r="I192" t="str">
            <v/>
          </cell>
          <cell r="J192" t="str">
            <v>Angiotensin I converting enzyme inhibitory peptides from simulated in vitro gastrointestinal digestion of cooked eggs.; A new QSAR model, for angiotensin I-converting enzyme inhibitory oligopeptides.; Isolation and characterization of peptides with antihypertensive activity in foodstuffs.</v>
          </cell>
          <cell r="K192" t="str">
            <v>10.1021/jf8028557; 10.1016/j.foodchem.2012.09.092; 10.1080/10408398.2012.664829</v>
          </cell>
          <cell r="L192" t="str">
            <v>19154160 23194537 24915368</v>
          </cell>
        </row>
        <row r="193">
          <cell r="F193" t="str">
            <v>ERVL</v>
          </cell>
          <cell r="G193" t="str">
            <v/>
          </cell>
          <cell r="H193" t="str">
            <v/>
          </cell>
          <cell r="I193" t="str">
            <v/>
          </cell>
          <cell r="J193" t="str">
            <v/>
          </cell>
          <cell r="K193" t="str">
            <v/>
          </cell>
          <cell r="L193" t="str">
            <v/>
          </cell>
        </row>
        <row r="194">
          <cell r="F194" t="str">
            <v>ERY</v>
          </cell>
          <cell r="G194" t="str">
            <v/>
          </cell>
          <cell r="H194" t="str">
            <v/>
          </cell>
          <cell r="I194" t="str">
            <v/>
          </cell>
          <cell r="J194" t="str">
            <v/>
          </cell>
          <cell r="K194" t="str">
            <v/>
          </cell>
          <cell r="L194" t="str">
            <v/>
          </cell>
        </row>
        <row r="195">
          <cell r="F195" t="str">
            <v>ERYPI</v>
          </cell>
          <cell r="G195" t="str">
            <v/>
          </cell>
          <cell r="H195" t="str">
            <v/>
          </cell>
          <cell r="I195" t="str">
            <v/>
          </cell>
          <cell r="J195" t="str">
            <v>Isolation and characterization of peptides with antihypertensive activity in foodstuffs.</v>
          </cell>
          <cell r="K195" t="str">
            <v>10.1080/10408398.2012.664829</v>
          </cell>
          <cell r="L195" t="str">
            <v>24915368</v>
          </cell>
        </row>
        <row r="196">
          <cell r="F196" t="str">
            <v>ESIIAF</v>
          </cell>
          <cell r="G196" t="str">
            <v/>
          </cell>
          <cell r="H196" t="str">
            <v/>
          </cell>
          <cell r="I196" t="str">
            <v/>
          </cell>
          <cell r="J196" t="str">
            <v/>
          </cell>
          <cell r="K196" t="str">
            <v/>
          </cell>
          <cell r="L196" t="str">
            <v/>
          </cell>
        </row>
        <row r="197">
          <cell r="F197" t="str">
            <v>ESIINF</v>
          </cell>
          <cell r="G197" t="str">
            <v/>
          </cell>
          <cell r="H197" t="str">
            <v/>
          </cell>
          <cell r="I197" t="str">
            <v/>
          </cell>
          <cell r="J197" t="str">
            <v>Antihypertensive peptides from food proteins: a review.</v>
          </cell>
          <cell r="K197" t="str">
            <v>10.1039/c2fo10192k</v>
          </cell>
          <cell r="L197" t="str">
            <v>22249830</v>
          </cell>
        </row>
        <row r="198">
          <cell r="F198" t="str">
            <v>ETNGQ</v>
          </cell>
          <cell r="G198" t="str">
            <v/>
          </cell>
          <cell r="H198" t="str">
            <v/>
          </cell>
          <cell r="I198" t="str">
            <v/>
          </cell>
          <cell r="J198" t="str">
            <v/>
          </cell>
          <cell r="K198" t="str">
            <v/>
          </cell>
          <cell r="L198" t="str">
            <v/>
          </cell>
        </row>
        <row r="199">
          <cell r="F199" t="str">
            <v>EV</v>
          </cell>
          <cell r="G199" t="str">
            <v/>
          </cell>
          <cell r="H199" t="str">
            <v/>
          </cell>
          <cell r="I199" t="str">
            <v/>
          </cell>
          <cell r="J199" t="str">
            <v>Quantitative structure-activity relationship study of bitter di- and tri-peptides including relationship with angiotensin I-converting enzyme inhibitory activity.; 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ell>
          <cell r="K199" t="str">
            <v>10.1002/psc.800; 10.1007/s00216-008-1990-3; 10.1016/j.jprot.2013.06.023</v>
          </cell>
          <cell r="L199" t="str">
            <v>17117396 18392815 23806758</v>
          </cell>
        </row>
        <row r="200">
          <cell r="F200" t="str">
            <v>EVLNENLLRF</v>
          </cell>
          <cell r="G200" t="str">
            <v/>
          </cell>
          <cell r="H200" t="str">
            <v/>
          </cell>
          <cell r="I200" t="str">
            <v/>
          </cell>
          <cell r="J200" t="str">
            <v/>
          </cell>
          <cell r="K200" t="str">
            <v/>
          </cell>
          <cell r="L200" t="str">
            <v/>
          </cell>
        </row>
        <row r="201">
          <cell r="F201" t="str">
            <v>EVLP</v>
          </cell>
          <cell r="G201" t="str">
            <v/>
          </cell>
          <cell r="H201" t="str">
            <v/>
          </cell>
          <cell r="I201" t="str">
            <v/>
          </cell>
          <cell r="J201" t="str">
            <v>Inhibition of angiotensin-converting enzyme by synthetic peptide fragments of various beta-caseins.</v>
          </cell>
          <cell r="K201" t="str">
            <v/>
          </cell>
          <cell r="L201" t="str">
            <v>1368548</v>
          </cell>
        </row>
        <row r="202">
          <cell r="F202" t="str">
            <v>EVMAGNLYPG</v>
          </cell>
          <cell r="G202" t="str">
            <v/>
          </cell>
          <cell r="H202" t="str">
            <v/>
          </cell>
          <cell r="I202" t="str">
            <v/>
          </cell>
          <cell r="J202" t="str">
            <v>Angiotensin I converting enzyme (ACE) inhibitory peptide derived from the sauce of fermented blue mussel, Mytilus edulis.; Review on the angiotensin-I-converting enzyme (ACE) inhibitor peptides from marine proteins.; Isolation and characterization of peptides with antihypertensive activity in foodstuffs.</v>
          </cell>
          <cell r="K202" t="str">
            <v>10.1016/j.biortech.2005.01.001; 10.1007/s12010-012-0024-y; 10.1080/10408398.2012.664829</v>
          </cell>
          <cell r="L202" t="str">
            <v>15978996 23271625 24915368</v>
          </cell>
        </row>
        <row r="203">
          <cell r="F203" t="str">
            <v>EVMAGNYLPG</v>
          </cell>
          <cell r="G203" t="str">
            <v/>
          </cell>
          <cell r="H203" t="str">
            <v/>
          </cell>
          <cell r="I203" t="str">
            <v/>
          </cell>
          <cell r="J203" t="str">
            <v>Angiotensin converting enzyme inhibitory peptides derived from food proteins: biochemistry, bioactivity and production.; A new QSAR model, for angiotensin I-converting enzyme inhibitory oligopeptides.</v>
          </cell>
          <cell r="K203" t="str">
            <v>10.2174/138161207780363068; 10.1016/j.foodchem.2012.09.092</v>
          </cell>
          <cell r="L203" t="str">
            <v>17430180 23194537</v>
          </cell>
        </row>
        <row r="204">
          <cell r="F204" t="str">
            <v>EVPK</v>
          </cell>
          <cell r="G204" t="str">
            <v/>
          </cell>
          <cell r="H204" t="str">
            <v/>
          </cell>
          <cell r="I204" t="str">
            <v/>
          </cell>
          <cell r="J204" t="str">
            <v/>
          </cell>
          <cell r="K204" t="str">
            <v/>
          </cell>
          <cell r="L204" t="str">
            <v/>
          </cell>
        </row>
        <row r="205">
          <cell r="F205" t="str">
            <v>EW</v>
          </cell>
          <cell r="G205" t="str">
            <v/>
          </cell>
          <cell r="H205" t="str">
            <v/>
          </cell>
          <cell r="I205" t="str">
            <v/>
          </cell>
          <cell r="J205" t="str">
            <v>Application of at-line two-dimensional liquid chromatography-mass spectrometry for identification of small hydrophilic angiotensin I-inhibiting peptides in milk hydrolysates.</v>
          </cell>
          <cell r="K205" t="str">
            <v>10.1007/s00216-008-1990-3</v>
          </cell>
          <cell r="L205" t="str">
            <v>18392815</v>
          </cell>
        </row>
        <row r="206">
          <cell r="F206" t="str">
            <v>EWPRPQIPP</v>
          </cell>
          <cell r="G206" t="str">
            <v/>
          </cell>
          <cell r="H206" t="str">
            <v/>
          </cell>
          <cell r="I206" t="str">
            <v/>
          </cell>
          <cell r="J206" t="str">
            <v>QSAR study on angiotensin-converting enzyme inhibitor oligopeptides based on a novel set of sequence information descriptors.</v>
          </cell>
          <cell r="K206" t="str">
            <v>10.1007/s00894-010-0862-x</v>
          </cell>
          <cell r="L206" t="str">
            <v>20941517</v>
          </cell>
        </row>
        <row r="207">
          <cell r="F207" t="str">
            <v>EY</v>
          </cell>
          <cell r="G207" t="str">
            <v/>
          </cell>
          <cell r="H207" t="str">
            <v/>
          </cell>
          <cell r="I207" t="str">
            <v/>
          </cell>
          <cell r="J207" t="str">
            <v>Review on the angiotensin-I-converting enzyme (ACE) inhibitor peptides from marine proteins.; What are the ideal properties for functional food peptides with antihypertensive effect? A computational peptidology approach.</v>
          </cell>
          <cell r="K207" t="str">
            <v>10.1007/s12010-012-0024-y; 10.1016/j.foodchem.2013.05.140</v>
          </cell>
          <cell r="L207" t="str">
            <v>23271625 23871047</v>
          </cell>
        </row>
        <row r="208">
          <cell r="F208" t="str">
            <v>FAL</v>
          </cell>
          <cell r="G208" t="str">
            <v/>
          </cell>
          <cell r="H208" t="str">
            <v/>
          </cell>
          <cell r="I208" t="str">
            <v/>
          </cell>
          <cell r="J208" t="str">
            <v>Structural requirements of Angiotensin I-converting enzyme inhibitory peptides: quantitative structure-activity relationship study of di- and tripeptides.; Angiotensin converting enzyme inhibitory peptides derived from food proteins: biochemistry, bioactivity and production.; Review on the angiotensin-I-converting enzyme (ACE) inhibitor peptides from marine proteins.; Vegetable foods: a cheap source of proteins and peptides with antihypertensive, antioxidant, and other less occurrence bioactivities.</v>
          </cell>
          <cell r="K208" t="str">
            <v>10.1021/jf051263l; 10.2174/138161207780363068; 10.1007/s12010-012-0024-y; 10.1016/j.talanta.2012.12.041</v>
          </cell>
          <cell r="L208" t="str">
            <v>16448176 17430180 23271625 23598136</v>
          </cell>
        </row>
        <row r="209">
          <cell r="F209" t="str">
            <v>FALPC</v>
          </cell>
          <cell r="G209" t="str">
            <v/>
          </cell>
          <cell r="H209" t="str">
            <v/>
          </cell>
          <cell r="I209" t="str">
            <v/>
          </cell>
          <cell r="J209" t="str">
            <v>Novel angiotensin I-converting enzyme inhibitory peptides derived from edible mushroom Agaricus bisporus (J.E. Lange) Imbach identified by LC-MS/MS.</v>
          </cell>
          <cell r="K209" t="str">
            <v>10.1016/j.foodchem.2013.10.053</v>
          </cell>
          <cell r="L209" t="str">
            <v>24262574</v>
          </cell>
        </row>
        <row r="210">
          <cell r="F210" t="str">
            <v>FALPQY</v>
          </cell>
          <cell r="G210" t="str">
            <v/>
          </cell>
          <cell r="H210" t="str">
            <v/>
          </cell>
          <cell r="I210" t="str">
            <v/>
          </cell>
          <cell r="J210" t="str">
            <v>Randomized controlled trial of sour milk on blood pressure in borderline hypertensive men.; A new QSAR model, for angiotensin I-converting enzyme inhibitory oligopeptides.</v>
          </cell>
          <cell r="K210" t="str">
            <v>10.1016/j.amjhyper.2004.03.674; 10.1016/j.foodchem.2012.09.092</v>
          </cell>
          <cell r="L210" t="str">
            <v>15288885 23194537</v>
          </cell>
        </row>
        <row r="211">
          <cell r="F211" t="str">
            <v>FALPQYLK</v>
          </cell>
          <cell r="G211" t="str">
            <v/>
          </cell>
          <cell r="H211" t="str">
            <v/>
          </cell>
          <cell r="I211" t="str">
            <v/>
          </cell>
          <cell r="J211" t="str">
            <v>A new QSAR model, for angiotensin I-converting enzyme inhibitory oligopeptides.</v>
          </cell>
          <cell r="K211" t="str">
            <v>10.1016/j.foodchem.2012.09.092</v>
          </cell>
          <cell r="L211" t="str">
            <v>23194537</v>
          </cell>
        </row>
        <row r="212">
          <cell r="F212" t="str">
            <v>FAP</v>
          </cell>
          <cell r="G212" t="str">
            <v/>
          </cell>
          <cell r="H212" t="str">
            <v/>
          </cell>
          <cell r="I212" t="str">
            <v/>
          </cell>
          <cell r="J212" t="str">
            <v>Structural requirements of Angiotensin I-converting enzyme inhibitory peptides: quantitative structure-activity relationship study of di- and tripeptides.; What are the ideal properties for functional food peptides with antihypertensive effect? A computational peptidology approach.</v>
          </cell>
          <cell r="K212" t="str">
            <v>10.1021/jf051263l; 10.1016/j.foodchem.2013.05.140</v>
          </cell>
          <cell r="L212" t="str">
            <v>16448176 23871047</v>
          </cell>
        </row>
        <row r="213">
          <cell r="F213" t="str">
            <v>FAQTQS</v>
          </cell>
          <cell r="G213" t="str">
            <v/>
          </cell>
          <cell r="H213" t="str">
            <v/>
          </cell>
          <cell r="I213" t="str">
            <v/>
          </cell>
          <cell r="J213" t="str">
            <v>Enterococcus faecalis strains from food, environmental, and clinical origin produce ACE-inhibitory peptides and other bioactive peptides during growth in bovine skim milk.</v>
          </cell>
          <cell r="K213" t="str">
            <v>10.1016/j.ijfoodmicro.2013.06.019</v>
          </cell>
          <cell r="L213" t="str">
            <v>23845432</v>
          </cell>
        </row>
        <row r="214">
          <cell r="F214" t="str">
            <v>FAQTQSLVYP</v>
          </cell>
          <cell r="G214" t="str">
            <v/>
          </cell>
          <cell r="H214" t="str">
            <v/>
          </cell>
          <cell r="I214" t="str">
            <v/>
          </cell>
          <cell r="J214" t="str">
            <v>Inhibition of angiotensin-converting enzyme by synthetic peptide fragments of various beta-caseins.; Evaluation of the allergenicity of goat milk, cow milk, and their lactosera in a guinea pig model.</v>
          </cell>
          <cell r="K214" t="str">
            <v>10.3168/jds.2008-1125</v>
          </cell>
          <cell r="L214" t="str">
            <v>1368548 19233776</v>
          </cell>
        </row>
        <row r="215">
          <cell r="F215" t="str">
            <v>FAVP</v>
          </cell>
          <cell r="G215" t="str">
            <v/>
          </cell>
          <cell r="H215" t="str">
            <v/>
          </cell>
          <cell r="I215" t="str">
            <v/>
          </cell>
          <cell r="J215" t="str">
            <v>What are the ideal properties for functional food peptides with antihypertensive effect? A computational peptidology approach.</v>
          </cell>
          <cell r="K215" t="str">
            <v>10.1016/j.foodchem.2013.05.140</v>
          </cell>
          <cell r="L215" t="str">
            <v>23871047</v>
          </cell>
        </row>
        <row r="216">
          <cell r="F216" t="str">
            <v>FCF</v>
          </cell>
          <cell r="G216" t="str">
            <v>ovalbumin</v>
          </cell>
          <cell r="H216" t="str">
            <v/>
          </cell>
          <cell r="I216" t="str">
            <v/>
          </cell>
          <cell r="J216" t="str">
            <v>Angiotensin I converting enzyme inhibitory peptides from simulated in vitro gastrointestinal digestion of cooked eggs.; Isolation and characterization of peptides with antihypertensive activity in foodstuffs.</v>
          </cell>
          <cell r="K216" t="str">
            <v>10.1021/jf8028557; 10.1080/10408398.2012.664829</v>
          </cell>
          <cell r="L216" t="str">
            <v>19154160 24915368</v>
          </cell>
        </row>
        <row r="217">
          <cell r="F217" t="str">
            <v>FCVLRP</v>
          </cell>
          <cell r="G217" t="str">
            <v/>
          </cell>
          <cell r="H217" t="str">
            <v/>
          </cell>
          <cell r="I217" t="str">
            <v/>
          </cell>
          <cell r="J217" t="str">
            <v>Analysis of novel angiotensin-I-converting enzyme inhibitory peptides from protease-hydrolyzed marine shrimp Acetes chinensis.; Review on the angiotensin-I-converting enzyme (ACE) inhibitor peptides from marine proteins.</v>
          </cell>
          <cell r="K217" t="str">
            <v>10.1002/psc.789; 10.1007/s12010-012-0024-y</v>
          </cell>
          <cell r="L217" t="str">
            <v>16981241 23271625</v>
          </cell>
        </row>
        <row r="218">
          <cell r="F218" t="str">
            <v>FDK</v>
          </cell>
          <cell r="G218" t="str">
            <v/>
          </cell>
          <cell r="H218" t="str">
            <v/>
          </cell>
          <cell r="I218" t="str">
            <v/>
          </cell>
          <cell r="J218" t="str">
            <v>Structural requirements of Angiotensin I-converting enzyme inhibitory peptides: quantitative structure-activity relationship study of di- and tripeptides.</v>
          </cell>
          <cell r="K218" t="str">
            <v>10.1021/jf051263l</v>
          </cell>
          <cell r="L218" t="str">
            <v>16448176</v>
          </cell>
        </row>
        <row r="219">
          <cell r="F219" t="str">
            <v>FDKA</v>
          </cell>
          <cell r="G219" t="str">
            <v/>
          </cell>
          <cell r="H219" t="str">
            <v/>
          </cell>
          <cell r="I219" t="str">
            <v/>
          </cell>
          <cell r="J219" t="str">
            <v/>
          </cell>
          <cell r="K219" t="str">
            <v/>
          </cell>
          <cell r="L219" t="str">
            <v/>
          </cell>
        </row>
        <row r="220">
          <cell r="F220" t="str">
            <v>FDKPVSPL</v>
          </cell>
          <cell r="G220" t="str">
            <v/>
          </cell>
          <cell r="H220" t="str">
            <v/>
          </cell>
          <cell r="I220" t="str">
            <v/>
          </cell>
          <cell r="J220" t="str">
            <v>Angiotensin I-converting enzyme inhibitory peptides generated from in vitro gastrointestinal digestion of pork meat.</v>
          </cell>
          <cell r="K220" t="str">
            <v>10.1021/jf904204n</v>
          </cell>
          <cell r="L220" t="str">
            <v>20151679</v>
          </cell>
        </row>
        <row r="221">
          <cell r="F221" t="str">
            <v>FE</v>
          </cell>
          <cell r="G221" t="str">
            <v/>
          </cell>
          <cell r="H221" t="str">
            <v/>
          </cell>
          <cell r="I221" t="str">
            <v/>
          </cell>
          <cell r="J221" t="str">
            <v>Review on the angiotensin-I-converting enzyme (ACE) inhibitor peptides from marine proteins.; What are the ideal properties for functional food peptides with antihypertensive effect? A computational peptidology approach.</v>
          </cell>
          <cell r="K221" t="str">
            <v>10.1007/s12010-012-0024-y; 10.1016/j.foodchem.2013.05.140</v>
          </cell>
          <cell r="L221" t="str">
            <v>23271625 23871047</v>
          </cell>
        </row>
        <row r="222">
          <cell r="F222" t="str">
            <v>FEDYVPLSCF</v>
          </cell>
          <cell r="G222" t="str">
            <v/>
          </cell>
          <cell r="H222" t="str">
            <v/>
          </cell>
          <cell r="I222" t="str">
            <v/>
          </cell>
          <cell r="J222" t="str">
            <v/>
          </cell>
          <cell r="K222" t="str">
            <v/>
          </cell>
          <cell r="L222" t="str">
            <v/>
          </cell>
        </row>
        <row r="223">
          <cell r="F223" t="str">
            <v>FEP</v>
          </cell>
          <cell r="G223" t="str">
            <v/>
          </cell>
          <cell r="H223" t="str">
            <v/>
          </cell>
          <cell r="I223" t="str">
            <v/>
          </cell>
          <cell r="J223" t="str">
            <v>Structural requirements of Angiotensin I-converting enzyme inhibitory peptides: quantitative structure-activity relationship study of di- and tripeptides.</v>
          </cell>
          <cell r="K223" t="str">
            <v>10.1021/jf051263l</v>
          </cell>
          <cell r="L223" t="str">
            <v>16448176</v>
          </cell>
        </row>
        <row r="224">
          <cell r="F224" t="str">
            <v>FF</v>
          </cell>
          <cell r="G224" t="str">
            <v/>
          </cell>
          <cell r="H224" t="str">
            <v/>
          </cell>
          <cell r="I224" t="str">
            <v/>
          </cell>
          <cell r="J224" t="str">
            <v>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v>
          </cell>
          <cell r="K224" t="str">
            <v>10.1002/psc.800; 10.1002/psc.892</v>
          </cell>
          <cell r="L224" t="str">
            <v>17117396 17654623</v>
          </cell>
        </row>
        <row r="225">
          <cell r="F225" t="str">
            <v>FFF</v>
          </cell>
          <cell r="G225" t="str">
            <v/>
          </cell>
          <cell r="H225" t="str">
            <v/>
          </cell>
          <cell r="I225" t="str">
            <v/>
          </cell>
          <cell r="J225"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225" t="str">
            <v>10.1002/psc.800; 10.1007/s00894-010-0862-x; 10.1016/j.foodchem.2013.05.140</v>
          </cell>
          <cell r="L225" t="str">
            <v>17117396 20941517 23871047</v>
          </cell>
        </row>
        <row r="226">
          <cell r="F226" t="str">
            <v>FFG</v>
          </cell>
          <cell r="G226" t="str">
            <v/>
          </cell>
          <cell r="H226" t="str">
            <v/>
          </cell>
          <cell r="I226" t="str">
            <v/>
          </cell>
          <cell r="J226"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226" t="str">
            <v>10.1002/psc.800; 10.1007/s00894-010-0862-x; 10.1016/j.foodchem.2013.05.140</v>
          </cell>
          <cell r="L226" t="str">
            <v>17117396 20941517 23871047</v>
          </cell>
        </row>
        <row r="227">
          <cell r="F227" t="str">
            <v>FFGRCVSP</v>
          </cell>
          <cell r="G227" t="str">
            <v/>
          </cell>
          <cell r="H227" t="str">
            <v/>
          </cell>
          <cell r="I227" t="str">
            <v/>
          </cell>
          <cell r="J227" t="str">
            <v>A new QSAR model, for angiotensin I-converting enzyme inhibitory oligopeptides.; Isolation and characterization of peptides with antihypertensive activity in foodstuffs.</v>
          </cell>
          <cell r="K227" t="str">
            <v>10.1016/j.foodchem.2012.09.092; 10.1080/10408398.2012.664829</v>
          </cell>
          <cell r="L227" t="str">
            <v>23194537 24915368</v>
          </cell>
        </row>
        <row r="228">
          <cell r="F228" t="str">
            <v>FFGVRCVSP</v>
          </cell>
          <cell r="G228" t="str">
            <v/>
          </cell>
          <cell r="H228" t="str">
            <v/>
          </cell>
          <cell r="I228" t="str">
            <v/>
          </cell>
          <cell r="J228" t="str">
            <v/>
          </cell>
          <cell r="K228" t="str">
            <v/>
          </cell>
          <cell r="L228" t="str">
            <v/>
          </cell>
        </row>
        <row r="229">
          <cell r="F229" t="str">
            <v>FFL</v>
          </cell>
          <cell r="G229" t="str">
            <v/>
          </cell>
          <cell r="H229" t="str">
            <v/>
          </cell>
          <cell r="I229" t="str">
            <v/>
          </cell>
          <cell r="J229" t="str">
            <v>Structural requirements of Angiotensin I-converting enzyme inhibitory peptides: quantitative structure-activity relationship study of di- and tripeptides.; Vegetable foods: a cheap source of proteins and peptides with antihypertensive, antioxidant, and other less occurrence bioactivities.; Isolation and characterization of peptides with antihypertensive activity in foodstuffs.</v>
          </cell>
          <cell r="K229" t="str">
            <v>10.1021/jf051263l; 10.1016/j.talanta.2012.12.041; 10.1080/10408398.2012.664829</v>
          </cell>
          <cell r="L229" t="str">
            <v>16448176 23598136 24915368</v>
          </cell>
        </row>
        <row r="230">
          <cell r="F230" t="str">
            <v>FFVAP</v>
          </cell>
          <cell r="G230" t="str">
            <v/>
          </cell>
          <cell r="H230" t="str">
            <v/>
          </cell>
          <cell r="I230" t="str">
            <v/>
          </cell>
          <cell r="J230" t="str">
            <v>Randomized controlled trial of sour milk on blood pressure in borderline hypertensive men.; Bioactive peptides derived from milk proteins and their health beneficial potentials: an update.; The potential role of milk-derived peptides in cardiovascular disease.; A new QSAR model, for angiotensin I-converting enzyme inhibitory oligopeptides.</v>
          </cell>
          <cell r="K230" t="str">
            <v>10.1016/j.amjhyper.2004.03.674; 10.1039/c0fo00016g; 10.1039/c1fo10017c; 10.1016/j.foodchem.2012.09.092</v>
          </cell>
          <cell r="L230" t="str">
            <v>15288885 21773582 21779574 23194537</v>
          </cell>
        </row>
        <row r="231">
          <cell r="F231" t="str">
            <v>FFVAPFEVFGK</v>
          </cell>
          <cell r="G231" t="str">
            <v/>
          </cell>
          <cell r="H231" t="str">
            <v/>
          </cell>
          <cell r="I231" t="str">
            <v/>
          </cell>
          <cell r="J231" t="str">
            <v>The potential role of milk-derived peptides in cardiovascular disease.</v>
          </cell>
          <cell r="K231" t="str">
            <v>10.1039/c1fo10017c</v>
          </cell>
          <cell r="L231" t="str">
            <v>21779574</v>
          </cell>
        </row>
        <row r="232">
          <cell r="F232" t="str">
            <v>FFVAPFPEVFGK</v>
          </cell>
          <cell r="G232" t="str">
            <v/>
          </cell>
          <cell r="H232" t="str">
            <v/>
          </cell>
          <cell r="I232" t="str">
            <v/>
          </cell>
          <cell r="J232" t="str">
            <v>Angiotensin-I-converting enzyme inhibitory peptides from tryptic hydrolysate of bovine alphaS2-casein.; The potential role of milk-derived peptides in cardiovascular disease.; The impact of milk proteins and peptides on blood pressure and vascular function: a review of evidence from human intervention studies.</v>
          </cell>
          <cell r="K232" t="str">
            <v>10.1016/s0014-5793(02)03576-7; 10.1039/c1fo10017c; 10.1017/S0954422413000139</v>
          </cell>
          <cell r="L232" t="str">
            <v>12417344 21779574 24135454</v>
          </cell>
        </row>
        <row r="233">
          <cell r="F233" t="str">
            <v>FFVAPFPFEVFGK</v>
          </cell>
          <cell r="G233" t="str">
            <v/>
          </cell>
          <cell r="H233" t="str">
            <v/>
          </cell>
          <cell r="I233" t="str">
            <v/>
          </cell>
          <cell r="J233" t="str">
            <v/>
          </cell>
          <cell r="K233" t="str">
            <v/>
          </cell>
          <cell r="L233" t="str">
            <v/>
          </cell>
        </row>
        <row r="234">
          <cell r="F234" t="str">
            <v>FFVAPFPGVFGK</v>
          </cell>
          <cell r="G234" t="str">
            <v/>
          </cell>
          <cell r="H234" t="str">
            <v/>
          </cell>
          <cell r="I234" t="str">
            <v/>
          </cell>
          <cell r="J234" t="str">
            <v>Antihypertensive peptides: production, bioavailability and incorporation into foods.; Antihypertensive peptides from food proteins: a review.</v>
          </cell>
          <cell r="K234" t="str">
            <v>10.1016/j.cis.2010.11.001; 10.1039/c2fo10192k</v>
          </cell>
          <cell r="L234" t="str">
            <v>21185549 22249830</v>
          </cell>
        </row>
        <row r="235">
          <cell r="F235" t="str">
            <v>FFVAPFPQVFGF</v>
          </cell>
          <cell r="G235" t="str">
            <v/>
          </cell>
          <cell r="H235" t="str">
            <v/>
          </cell>
          <cell r="I235" t="str">
            <v/>
          </cell>
          <cell r="J235" t="str">
            <v/>
          </cell>
          <cell r="K235" t="str">
            <v/>
          </cell>
          <cell r="L235" t="str">
            <v/>
          </cell>
        </row>
        <row r="236">
          <cell r="F236" t="str">
            <v>FFYY</v>
          </cell>
          <cell r="G236" t="str">
            <v/>
          </cell>
          <cell r="H236" t="str">
            <v/>
          </cell>
          <cell r="I236" t="str">
            <v/>
          </cell>
          <cell r="J236" t="str">
            <v>What are the ideal properties for functional food peptides with antihypertensive effect? A computational peptidology approach.</v>
          </cell>
          <cell r="K236" t="str">
            <v>10.1016/j.foodchem.2013.05.140</v>
          </cell>
          <cell r="L236" t="str">
            <v>23871047</v>
          </cell>
        </row>
        <row r="237">
          <cell r="F237" t="str">
            <v>FG</v>
          </cell>
          <cell r="G237" t="str">
            <v>pea vicilin</v>
          </cell>
          <cell r="H237" t="str">
            <v/>
          </cell>
          <cell r="I237" t="str">
            <v/>
          </cell>
          <cell r="J237"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Model of the exofacial substrate-binding site and helical folding of the human Glut1 glucose transporter based on scanning mutagenesis.;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237" t="str">
            <v>10.1021/jf051263l; 10.1002/psc.800; 10.1002/psc.892; 10.1021/bi900521n; 10.1007/s00894-010-0862-x; 10.1016/j.jprot.2013.06.023; 10.1016/j.foodchem.2013.05.140</v>
          </cell>
          <cell r="L237" t="str">
            <v>6243277 16448176 17117396 17654623 19449892 20941517 23806758 23871047</v>
          </cell>
        </row>
        <row r="238">
          <cell r="F238" t="str">
            <v>FGASTRGA</v>
          </cell>
          <cell r="G238" t="str">
            <v/>
          </cell>
          <cell r="H238" t="str">
            <v/>
          </cell>
          <cell r="I238" t="str">
            <v/>
          </cell>
          <cell r="J238" t="str">
            <v>A novel angiotensin I converting enzyme inhibitory peptide from Alaska pollack (Theragra chalcogramma) frame protein hydrolysate.; A new QSAR model, for angiotensin I-converting enzyme inhibitory oligopeptides.</v>
          </cell>
          <cell r="K238" t="str">
            <v>10.1021/jf0494027; 10.1016/j.foodchem.2012.09.092</v>
          </cell>
          <cell r="L238" t="str">
            <v>15612765 23194537</v>
          </cell>
        </row>
        <row r="239">
          <cell r="F239" t="str">
            <v>FGF</v>
          </cell>
          <cell r="G239" t="str">
            <v/>
          </cell>
          <cell r="H239" t="str">
            <v/>
          </cell>
          <cell r="I239" t="str">
            <v/>
          </cell>
          <cell r="J239"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239" t="str">
            <v>10.1002/psc.800; 10.1007/s00894-010-0862-x; 10.1016/j.foodchem.2013.05.140</v>
          </cell>
          <cell r="L239" t="str">
            <v>17117396 20941517 23871047</v>
          </cell>
        </row>
        <row r="240">
          <cell r="F240" t="str">
            <v>FGG</v>
          </cell>
          <cell r="G240" t="str">
            <v/>
          </cell>
          <cell r="H240" t="str">
            <v/>
          </cell>
          <cell r="I240" t="str">
            <v/>
          </cell>
          <cell r="J240" t="str">
            <v>Quantitative structure-activity relationship study of bitter di- and tri-peptides including relationship with angiotensin I-converting enzyme inhibitory activity.; Analysis of novel angiotensin I-converting enzyme inhibitory peptides from enzymatic hydrolysates of cuttlefish (Sepia officinalis) muscle proteins.; QSAR study on angiotensin-converting enzyme inhibitor oligopeptides based on a novel set of sequence information descriptors.; Review on the angiotensin-I-converting enzyme (ACE) inhibitor peptides from marine proteins.; What are the ideal properties for functional food peptides with antihypertensive effect? A computational peptidology approach.</v>
          </cell>
          <cell r="K240" t="str">
            <v>10.1002/psc.800; 10.1021/jf904300q; 10.1007/s00894-010-0862-x; 10.1007/s12010-012-0024-y; 10.1016/j.foodchem.2013.05.140</v>
          </cell>
          <cell r="L240" t="str">
            <v>17117396 20180574 20941517 23271625 23871047</v>
          </cell>
        </row>
        <row r="241">
          <cell r="F241" t="str">
            <v>FGGIDDINQIGQSD</v>
          </cell>
          <cell r="G241" t="str">
            <v/>
          </cell>
          <cell r="H241" t="str">
            <v/>
          </cell>
          <cell r="I241" t="str">
            <v/>
          </cell>
          <cell r="J241" t="str">
            <v/>
          </cell>
          <cell r="K241" t="str">
            <v/>
          </cell>
          <cell r="L241" t="str">
            <v/>
          </cell>
        </row>
        <row r="242">
          <cell r="F242" t="str">
            <v>FGK</v>
          </cell>
          <cell r="G242" t="str">
            <v/>
          </cell>
          <cell r="H242" t="str">
            <v/>
          </cell>
          <cell r="I242" t="str">
            <v/>
          </cell>
          <cell r="J242" t="str">
            <v>What are the ideal properties for functional food peptides with antihypertensive effect? A computational peptidology approach.</v>
          </cell>
          <cell r="K242" t="str">
            <v>10.1016/j.foodchem.2013.05.140</v>
          </cell>
          <cell r="L242" t="str">
            <v>23871047</v>
          </cell>
        </row>
        <row r="243">
          <cell r="F243" t="str">
            <v>FGRCVSP</v>
          </cell>
          <cell r="G243" t="str">
            <v/>
          </cell>
          <cell r="H243" t="str">
            <v/>
          </cell>
          <cell r="I243" t="str">
            <v/>
          </cell>
          <cell r="J243" t="str">
            <v>A new QSAR model, for angiotensin I-converting enzyme inhibitory oligopeptides.; Isolation and characterization of peptides with antihypertensive activity in foodstuffs.</v>
          </cell>
          <cell r="K243" t="str">
            <v>10.1016/j.foodchem.2012.09.092; 10.1080/10408398.2012.664829</v>
          </cell>
          <cell r="L243" t="str">
            <v>23194537 24915368</v>
          </cell>
        </row>
        <row r="244">
          <cell r="F244" t="str">
            <v>FHERDPTHIKWGD</v>
          </cell>
          <cell r="G244" t="str">
            <v/>
          </cell>
          <cell r="H244" t="str">
            <v/>
          </cell>
          <cell r="I244" t="str">
            <v/>
          </cell>
          <cell r="J244" t="str">
            <v/>
          </cell>
          <cell r="K244" t="str">
            <v/>
          </cell>
          <cell r="L244" t="str">
            <v/>
          </cell>
        </row>
        <row r="245">
          <cell r="F245" t="str">
            <v>FHG</v>
          </cell>
          <cell r="G245" t="str">
            <v/>
          </cell>
          <cell r="H245" t="str">
            <v/>
          </cell>
          <cell r="I245" t="str">
            <v/>
          </cell>
          <cell r="J245" t="str">
            <v>Antihypertensive peptides: production, bioavailability and incorporation into foods.</v>
          </cell>
          <cell r="K245" t="str">
            <v>10.1016/j.cis.2010.11.001</v>
          </cell>
          <cell r="L245" t="str">
            <v>21185549</v>
          </cell>
        </row>
        <row r="246">
          <cell r="F246" t="str">
            <v>FI</v>
          </cell>
          <cell r="G246" t="str">
            <v/>
          </cell>
          <cell r="H246" t="str">
            <v/>
          </cell>
          <cell r="I246" t="str">
            <v/>
          </cell>
          <cell r="J246" t="str">
            <v>Quantitative structure-activity relationship study of bitter di- and tri-peptides including relationship with angiotensin I-converting enzyme inhibitory activity.; Isolation and characterization of peptides with antihypertensive activity in foodstuffs.</v>
          </cell>
          <cell r="K246" t="str">
            <v>10.1002/psc.800; 10.1080/10408398.2012.664829</v>
          </cell>
          <cell r="L246" t="str">
            <v>17117396 24915368</v>
          </cell>
        </row>
        <row r="247">
          <cell r="F247" t="str">
            <v>FIV</v>
          </cell>
          <cell r="G247" t="str">
            <v/>
          </cell>
          <cell r="H247" t="str">
            <v/>
          </cell>
          <cell r="I247" t="str">
            <v/>
          </cell>
          <cell r="J247"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247" t="str">
            <v>10.1002/psc.800; 10.1007/s00894-010-0862-x; 10.1016/j.foodchem.2013.05.140</v>
          </cell>
          <cell r="L247" t="str">
            <v>17117396 20941517 23871047</v>
          </cell>
        </row>
        <row r="248">
          <cell r="F248" t="str">
            <v>FK</v>
          </cell>
          <cell r="G248" t="str">
            <v/>
          </cell>
          <cell r="H248" t="str">
            <v/>
          </cell>
          <cell r="I248" t="str">
            <v/>
          </cell>
          <cell r="J248" t="str">
            <v/>
          </cell>
          <cell r="K248" t="str">
            <v/>
          </cell>
          <cell r="L248" t="str">
            <v/>
          </cell>
        </row>
        <row r="249">
          <cell r="F249" t="str">
            <v>FKC</v>
          </cell>
          <cell r="G249" t="str">
            <v/>
          </cell>
          <cell r="H249" t="str">
            <v/>
          </cell>
          <cell r="I249" t="str">
            <v/>
          </cell>
          <cell r="J249" t="str">
            <v/>
          </cell>
          <cell r="K249" t="str">
            <v/>
          </cell>
          <cell r="L249" t="str">
            <v/>
          </cell>
        </row>
        <row r="250">
          <cell r="F250" t="str">
            <v>FKGRYYP</v>
          </cell>
          <cell r="G250" t="str">
            <v>chicken muscle</v>
          </cell>
          <cell r="H250" t="str">
            <v/>
          </cell>
          <cell r="I250" t="str">
            <v/>
          </cell>
          <cell r="J250" t="str">
            <v>Temporal gene expression and probiotic attributes of Lactobacillus acidophilus during growth in milk.; Ala-Val-Phe and Val-Phe: ACE inhibitory peptides derived from insect protein with antihypertensive activity in spontaneously hypertensive rats.; A new QSAR model, for angiotensin I-converting enzyme inhibitory oligopeptides.; Isolation and characterization of peptides with antihypertensive activity in foodstuffs.</v>
          </cell>
          <cell r="K250" t="str">
            <v>10.3168/jds.2008-1457; 10.1016/j.peptides.2009.05.029; 10.1016/j.foodchem.2012.09.092; 10.1080/10408398.2012.664829</v>
          </cell>
          <cell r="L250" t="str">
            <v>19233780 19524628 23194537 24915368</v>
          </cell>
        </row>
        <row r="251">
          <cell r="F251" t="str">
            <v>FKP</v>
          </cell>
          <cell r="G251" t="str">
            <v/>
          </cell>
          <cell r="H251" t="str">
            <v/>
          </cell>
          <cell r="I251" t="str">
            <v/>
          </cell>
          <cell r="J251" t="str">
            <v/>
          </cell>
          <cell r="K251" t="str">
            <v/>
          </cell>
          <cell r="L251" t="str">
            <v/>
          </cell>
        </row>
        <row r="252">
          <cell r="F252" t="str">
            <v>FL</v>
          </cell>
          <cell r="G252" t="str">
            <v/>
          </cell>
          <cell r="H252" t="str">
            <v/>
          </cell>
          <cell r="I252" t="str">
            <v/>
          </cell>
          <cell r="J252" t="str">
            <v>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v>
          </cell>
          <cell r="K252" t="str">
            <v>10.1021/jf051263l; 10.1002/psc.800; 10.1002/psc.892</v>
          </cell>
          <cell r="L252" t="str">
            <v>16448176 17117396 17654623</v>
          </cell>
        </row>
        <row r="253">
          <cell r="F253" t="str">
            <v>FLP</v>
          </cell>
          <cell r="G253" t="str">
            <v/>
          </cell>
          <cell r="H253" t="str">
            <v/>
          </cell>
          <cell r="I253" t="str">
            <v/>
          </cell>
          <cell r="J253" t="str">
            <v>Isolation from alpha-zein of thermolysin peptides with angiotensin I-converting enzyme inhibitory activity.</v>
          </cell>
          <cell r="K253" t="str">
            <v>10.1271/bbb.60.661</v>
          </cell>
          <cell r="L253">
            <v>8829536</v>
          </cell>
        </row>
        <row r="254">
          <cell r="F254" t="str">
            <v>FLPP</v>
          </cell>
          <cell r="G254" t="str">
            <v/>
          </cell>
          <cell r="H254" t="str">
            <v/>
          </cell>
          <cell r="I254" t="str">
            <v/>
          </cell>
          <cell r="J254" t="str">
            <v>Isolation from alpha-zein of thermolysin peptides with angiotensin I-converting enzyme inhibitory activity.</v>
          </cell>
          <cell r="K254" t="str">
            <v>10.1271/bbb.60.661</v>
          </cell>
          <cell r="L254" t="str">
            <v>8829536</v>
          </cell>
        </row>
        <row r="255">
          <cell r="F255" t="str">
            <v>FLPYPYY</v>
          </cell>
          <cell r="G255" t="str">
            <v/>
          </cell>
          <cell r="H255" t="str">
            <v/>
          </cell>
          <cell r="I255" t="str">
            <v/>
          </cell>
          <cell r="J255" t="str">
            <v>Isolation and characterization of peptides with antihypertensive activity in foodstuffs.</v>
          </cell>
          <cell r="K255" t="str">
            <v>10.1080/10408398.2012.664829</v>
          </cell>
          <cell r="L255">
            <v>24915368</v>
          </cell>
        </row>
        <row r="256">
          <cell r="F256" t="str">
            <v>FLVPP</v>
          </cell>
          <cell r="G256" t="str">
            <v/>
          </cell>
          <cell r="H256" t="str">
            <v/>
          </cell>
          <cell r="I256" t="str">
            <v/>
          </cell>
          <cell r="J256" t="str">
            <v>A new QSAR model, for angiotensin I-converting enzyme inhibitory oligopeptides.</v>
          </cell>
          <cell r="K256" t="str">
            <v>10.1016/j.foodchem.2012.09.092</v>
          </cell>
          <cell r="L256">
            <v>23194537</v>
          </cell>
        </row>
        <row r="257">
          <cell r="F257" t="str">
            <v>FNE</v>
          </cell>
          <cell r="G257" t="str">
            <v/>
          </cell>
          <cell r="H257" t="str">
            <v/>
          </cell>
          <cell r="I257" t="str">
            <v/>
          </cell>
          <cell r="J257" t="str">
            <v>Structural requirements of Angiotensin I-converting enzyme inhibitory peptides: quantitative structure-activity relationship study of di- and tripeptides.</v>
          </cell>
          <cell r="K257" t="str">
            <v>10.1021/jf051263l</v>
          </cell>
          <cell r="L257" t="str">
            <v>16448176</v>
          </cell>
        </row>
        <row r="258">
          <cell r="F258" t="str">
            <v>FNF</v>
          </cell>
          <cell r="G258" t="str">
            <v/>
          </cell>
          <cell r="H258" t="str">
            <v/>
          </cell>
          <cell r="I258" t="str">
            <v/>
          </cell>
          <cell r="J258" t="str">
            <v>Structural requirements of Angiotensin I-converting enzyme inhibitory peptides: quantitative structure-activity relationship study of di- and tripeptides.; Isolation and characterization of peptides with antihypertensive activity in foodstuffs.</v>
          </cell>
          <cell r="K258" t="str">
            <v>10.1021/jf051263l; 10.1080/10408398.2012.664829</v>
          </cell>
          <cell r="L258" t="str">
            <v>16448176 24915368</v>
          </cell>
        </row>
        <row r="259">
          <cell r="F259" t="str">
            <v>FNQ</v>
          </cell>
          <cell r="G259" t="str">
            <v/>
          </cell>
          <cell r="H259" t="str">
            <v/>
          </cell>
          <cell r="I259" t="str">
            <v/>
          </cell>
          <cell r="J259" t="str">
            <v>Isolation from alpha-zein of thermolysin peptides with angiotensin I-converting enzyme inhibitory activity.; Bioactive peptides in amaranth (Amaranthus hypochondriacus) seed.; What are the ideal properties for functional food peptides with antihypertensive effect? A computational peptidology approach.</v>
          </cell>
          <cell r="K259" t="str">
            <v>10.1271/bbb.60.661; 10.1021/jf072911z; 10.1016/j.foodchem.2013.05.140</v>
          </cell>
          <cell r="L259" t="str">
            <v>8829536 18211015 23871047</v>
          </cell>
        </row>
        <row r="260">
          <cell r="F260" t="str">
            <v>FNVPLYE</v>
          </cell>
          <cell r="G260" t="str">
            <v/>
          </cell>
          <cell r="H260" t="str">
            <v/>
          </cell>
          <cell r="I260" t="str">
            <v/>
          </cell>
          <cell r="J260" t="str">
            <v/>
          </cell>
          <cell r="K260" t="str">
            <v/>
          </cell>
          <cell r="L260" t="str">
            <v/>
          </cell>
        </row>
        <row r="261">
          <cell r="F261" t="str">
            <v>FNVPLYEFSY</v>
          </cell>
          <cell r="G261" t="str">
            <v/>
          </cell>
          <cell r="H261" t="str">
            <v/>
          </cell>
          <cell r="I261" t="str">
            <v/>
          </cell>
          <cell r="J261" t="str">
            <v/>
          </cell>
          <cell r="K261" t="str">
            <v/>
          </cell>
          <cell r="L261" t="str">
            <v/>
          </cell>
        </row>
        <row r="262">
          <cell r="F262" t="str">
            <v>FNW</v>
          </cell>
          <cell r="G262" t="str">
            <v/>
          </cell>
          <cell r="H262" t="str">
            <v/>
          </cell>
          <cell r="I262" t="str">
            <v/>
          </cell>
          <cell r="J262" t="str">
            <v/>
          </cell>
          <cell r="K262" t="str">
            <v/>
          </cell>
          <cell r="L262" t="str">
            <v/>
          </cell>
        </row>
        <row r="263">
          <cell r="F263" t="str">
            <v>FP</v>
          </cell>
          <cell r="G263" t="str">
            <v/>
          </cell>
          <cell r="H263" t="str">
            <v/>
          </cell>
          <cell r="I263" t="str">
            <v/>
          </cell>
          <cell r="J263" t="str">
            <v>Structural analysis of new antihypertensive peptides derived from cheese whey protein by proteinase K digestion.;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Bioactive peptides in amaranth (Amaranthus hypochondriacus) seed.; Antihypertensive peptides from food proteins: a review.; What are the ideal properties for functional food peptides with antihypertensive effect? A computational peptidology approach.; Isolation and characterization of peptides with antihypertensive activity in foodstuffs.</v>
          </cell>
          <cell r="K263" t="str">
            <v>10.3168/jds.S0022-0302(98)75878-3; 10.1021/jf051263l; 10.1002/psc.800; 10.1002/psc.892; 10.1021/jf072911z; 10.1039/c2fo10192k; 10.1016/j.foodchem.2013.05.140; 10.1080/10408398.2012.664829</v>
          </cell>
          <cell r="L263" t="str">
            <v>9891260 16448176 17117396 17654623 18211015 22249830 23871047 24915368</v>
          </cell>
        </row>
        <row r="264">
          <cell r="F264" t="str">
            <v>FPE</v>
          </cell>
          <cell r="G264" t="str">
            <v/>
          </cell>
          <cell r="H264" t="str">
            <v/>
          </cell>
          <cell r="I264" t="str">
            <v/>
          </cell>
          <cell r="J264" t="str">
            <v/>
          </cell>
          <cell r="K264" t="str">
            <v/>
          </cell>
          <cell r="L264" t="str">
            <v/>
          </cell>
        </row>
        <row r="265">
          <cell r="F265" t="str">
            <v>FPEVFGK</v>
          </cell>
          <cell r="G265" t="str">
            <v/>
          </cell>
          <cell r="H265" t="str">
            <v/>
          </cell>
          <cell r="I265" t="str">
            <v/>
          </cell>
          <cell r="J265" t="str">
            <v>Enterococcus faecalis strains from food, environmental, and clinical origin produce ACE-inhibitory peptides and other bioactive peptides during growth in bovine skim milk.</v>
          </cell>
          <cell r="K265" t="str">
            <v>10.1016/j.ijfoodmicro.2013.06.019</v>
          </cell>
          <cell r="L265">
            <v>23845432</v>
          </cell>
        </row>
        <row r="266">
          <cell r="F266" t="str">
            <v>FPF</v>
          </cell>
          <cell r="G266" t="str">
            <v/>
          </cell>
          <cell r="H266" t="str">
            <v/>
          </cell>
          <cell r="I266" t="str">
            <v/>
          </cell>
          <cell r="J266"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266" t="str">
            <v>10.1002/psc.800; 10.1007/s00894-010-0862-x; 10.1016/j.foodchem.2013.05.140</v>
          </cell>
          <cell r="L266" t="str">
            <v>17117396 20941517 23871047</v>
          </cell>
        </row>
        <row r="267">
          <cell r="F267" t="str">
            <v>FPK</v>
          </cell>
          <cell r="G267" t="str">
            <v/>
          </cell>
          <cell r="H267" t="str">
            <v/>
          </cell>
          <cell r="I267" t="str">
            <v/>
          </cell>
          <cell r="J267"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267" t="str">
            <v>10.1002/psc.800; 10.1007/s00894-010-0862-x; 10.1016/j.foodchem.2013.05.140</v>
          </cell>
          <cell r="L267" t="str">
            <v>17117396 20941517 23871047</v>
          </cell>
        </row>
        <row r="268">
          <cell r="F268" t="str">
            <v>FPMNP</v>
          </cell>
          <cell r="G268" t="str">
            <v>porcine myosin</v>
          </cell>
          <cell r="H268" t="str">
            <v/>
          </cell>
          <cell r="I268" t="str">
            <v/>
          </cell>
          <cell r="J268" t="str">
            <v/>
          </cell>
          <cell r="K268" t="str">
            <v/>
          </cell>
          <cell r="L268" t="str">
            <v>[Ref. Article]</v>
          </cell>
        </row>
        <row r="269">
          <cell r="F269" t="str">
            <v>FPMNPPK</v>
          </cell>
          <cell r="G269" t="str">
            <v>porcine myosin</v>
          </cell>
          <cell r="H269" t="str">
            <v/>
          </cell>
          <cell r="I269" t="str">
            <v/>
          </cell>
          <cell r="J269" t="str">
            <v/>
          </cell>
          <cell r="K269" t="str">
            <v/>
          </cell>
          <cell r="L269" t="str">
            <v>[Ref. Article]</v>
          </cell>
        </row>
        <row r="270">
          <cell r="F270" t="str">
            <v>FPP</v>
          </cell>
          <cell r="G270" t="str">
            <v/>
          </cell>
          <cell r="H270" t="str">
            <v/>
          </cell>
          <cell r="I270" t="str">
            <v/>
          </cell>
          <cell r="J270"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270" t="str">
            <v>10.1002/psc.800; 10.1007/s00894-010-0862-x; 10.1016/j.foodchem.2013.05.140</v>
          </cell>
          <cell r="L270" t="str">
            <v>17117396 20941517 23871047</v>
          </cell>
        </row>
        <row r="271">
          <cell r="F271" t="str">
            <v>FPPQSVL</v>
          </cell>
          <cell r="G271" t="str">
            <v/>
          </cell>
          <cell r="H271" t="str">
            <v/>
          </cell>
          <cell r="I271" t="str">
            <v/>
          </cell>
          <cell r="J271" t="str">
            <v/>
          </cell>
          <cell r="K271" t="str">
            <v/>
          </cell>
          <cell r="L271" t="str">
            <v/>
          </cell>
        </row>
        <row r="272">
          <cell r="F272" t="str">
            <v>FPQYLQY</v>
          </cell>
          <cell r="G272" t="str">
            <v/>
          </cell>
          <cell r="H272" t="str">
            <v/>
          </cell>
          <cell r="I272" t="str">
            <v/>
          </cell>
          <cell r="J272" t="str">
            <v>A new QSAR model, for angiotensin I-converting enzyme inhibitory oligopeptides.</v>
          </cell>
          <cell r="K272" t="str">
            <v>10.1016/j.foodchem.2012.09.092</v>
          </cell>
          <cell r="L272">
            <v>23194537</v>
          </cell>
        </row>
        <row r="273">
          <cell r="F273" t="str">
            <v>FQ</v>
          </cell>
          <cell r="G273" t="str">
            <v/>
          </cell>
          <cell r="H273" t="str">
            <v/>
          </cell>
          <cell r="I273" t="str">
            <v/>
          </cell>
          <cell r="J273" t="str">
            <v>Structural requirements of Angiotensin I-converting enzyme inhibitory peptides: quantitative structure-activity relationship study of di- and tripeptides.</v>
          </cell>
          <cell r="K273" t="str">
            <v>10.1021/jf051263l</v>
          </cell>
          <cell r="L273">
            <v>16448176</v>
          </cell>
        </row>
        <row r="274">
          <cell r="F274" t="str">
            <v>FQKPKR</v>
          </cell>
          <cell r="G274" t="str">
            <v>chicken muscle</v>
          </cell>
          <cell r="H274" t="str">
            <v/>
          </cell>
          <cell r="I274" t="str">
            <v/>
          </cell>
          <cell r="J274" t="str">
            <v>Angiotensin I-converting enzyme-inhibitory peptides obtained from chicken collagen hydrolysate.; Temporal gene expression and probiotic attributes of Lactobacillus acidophilus during growth in milk.; A new QSAR model, for angiotensin I-converting enzyme inhibitory oligopeptides.; Isolation and characterization of peptides with antihypertensive activity in foodstuffs.</v>
          </cell>
          <cell r="K274" t="str">
            <v>10.1021/jf072669w; 10.3168/jds.2008-1457; 10.1016/j.foodchem.2012.09.092; 10.1080/10408398.2012.664829</v>
          </cell>
          <cell r="L274" t="str">
            <v>18808143 19233780 23194537 24915368</v>
          </cell>
        </row>
        <row r="275">
          <cell r="F275" t="str">
            <v>FQKVVA</v>
          </cell>
          <cell r="G275" t="str">
            <v/>
          </cell>
          <cell r="H275" t="str">
            <v/>
          </cell>
          <cell r="I275" t="str">
            <v/>
          </cell>
          <cell r="J275" t="str">
            <v>A new QSAR model, for angiotensin I-converting enzyme inhibitory oligopeptides.</v>
          </cell>
          <cell r="K275" t="str">
            <v>10.1016/j.foodchem.2012.09.092</v>
          </cell>
          <cell r="L275" t="str">
            <v>23194537</v>
          </cell>
        </row>
        <row r="276">
          <cell r="F276" t="str">
            <v>FQKVVA(K)</v>
          </cell>
          <cell r="G276" t="str">
            <v>porcine hemoglobin</v>
          </cell>
          <cell r="H276" t="str">
            <v/>
          </cell>
          <cell r="I276" t="str">
            <v/>
          </cell>
          <cell r="J276" t="str">
            <v/>
          </cell>
          <cell r="K276" t="str">
            <v/>
          </cell>
          <cell r="L276" t="str">
            <v>[Ref. Article]</v>
          </cell>
        </row>
        <row r="277">
          <cell r="F277" t="str">
            <v>FQKVVAG</v>
          </cell>
          <cell r="G277" t="str">
            <v>porcine hemoglobin</v>
          </cell>
          <cell r="H277" t="str">
            <v/>
          </cell>
          <cell r="I277" t="str">
            <v/>
          </cell>
          <cell r="J277" t="str">
            <v>Antihypertensive effect of angiotensin I-converting enzyme inhibitory peptides derived from hemoglobin.; A new QSAR model, for angiotensin I-converting enzyme inhibitory oligopeptides.</v>
          </cell>
          <cell r="K277" t="str">
            <v>10.1016/0014-2999(96)00146-x; 10.1016/j.foodchem.2012.09.092</v>
          </cell>
          <cell r="L277" t="str">
            <v>8813589 23194537</v>
          </cell>
        </row>
        <row r="278">
          <cell r="F278" t="str">
            <v>FQKVVAK</v>
          </cell>
          <cell r="G278" t="str">
            <v/>
          </cell>
          <cell r="H278" t="str">
            <v/>
          </cell>
          <cell r="I278" t="str">
            <v/>
          </cell>
          <cell r="J278" t="str">
            <v>Antihypertensive effect of angiotensin I-converting enzyme inhibitory peptides derived from hemoglobin.; A new QSAR model, for angiotensin I-converting enzyme inhibitory oligopeptides.</v>
          </cell>
          <cell r="K278" t="str">
            <v>10.1016/0014-2999(96)00146-x; 10.1016/j.foodchem.2012.09.092</v>
          </cell>
          <cell r="L278" t="str">
            <v>8813589 23194537</v>
          </cell>
        </row>
        <row r="279">
          <cell r="F279" t="str">
            <v>FQP</v>
          </cell>
          <cell r="G279" t="str">
            <v/>
          </cell>
          <cell r="H279" t="str">
            <v/>
          </cell>
          <cell r="I279" t="str">
            <v/>
          </cell>
          <cell r="J279" t="str">
            <v>Peptide inhibitors for angiotensin I-converting enzyme from thermolysin digest of dried bonito.; Bioactive peptides in amaranth (Amaranthus hypochondriacus) seed.; Rational design of angiotensin-I-converting enzyme inhibitory peptides by integrating in silico modeling and an in vitro assay.; What are the ideal properties for functional food peptides with antihypertensive effect? A computational peptidology approach.</v>
          </cell>
          <cell r="K279" t="str">
            <v>10.1271/bbb.56.1541; 10.1021/jf072911z; 10.1002/cmdc.201300132; 10.1016/j.foodchem.2013.05.140</v>
          </cell>
          <cell r="L279" t="str">
            <v>1369054 18211015 23740817 23871047</v>
          </cell>
        </row>
        <row r="280">
          <cell r="F280" t="str">
            <v>FQPQPLIYP</v>
          </cell>
          <cell r="G280" t="str">
            <v/>
          </cell>
          <cell r="H280" t="str">
            <v/>
          </cell>
          <cell r="I280" t="str">
            <v/>
          </cell>
          <cell r="J280" t="str">
            <v>Inhibition of angiotensin-converting enzyme by synthetic peptide fragments of various beta-caseins.</v>
          </cell>
          <cell r="K280" t="str">
            <v/>
          </cell>
          <cell r="L280">
            <v>1368548</v>
          </cell>
        </row>
        <row r="281">
          <cell r="F281" t="str">
            <v>FR</v>
          </cell>
          <cell r="G281" t="str">
            <v/>
          </cell>
          <cell r="H281" t="str">
            <v/>
          </cell>
          <cell r="I281" t="str">
            <v/>
          </cell>
          <cell r="J281" t="str">
            <v>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What are the ideal properties for functional food peptides with antihypertensive effect? A computational peptidology approach.</v>
          </cell>
          <cell r="K281" t="str">
            <v>10.1002/psc.892; 10.1007/s00894-010-0862-x; 10.1016/j.foodchem.2013.05.140</v>
          </cell>
          <cell r="L281" t="str">
            <v>17654623 20941517 23871047</v>
          </cell>
        </row>
        <row r="282">
          <cell r="F282" t="str">
            <v>FRADHPFL</v>
          </cell>
          <cell r="G282" t="str">
            <v/>
          </cell>
          <cell r="H282" t="str">
            <v/>
          </cell>
          <cell r="I282" t="str">
            <v/>
          </cell>
          <cell r="J282" t="str">
            <v>Antihypertensive peptides: production, bioavailability and incorporation into foods.; Antihypertensive peptides from food proteins: a review.; A new QSAR model, for angiotensin I-converting enzyme inhibitory oligopeptides.</v>
          </cell>
          <cell r="K282" t="str">
            <v>10.1016/j.cis.2010.11.001; 10.1039/c2fo10192k; 10.1016/j.foodchem.2012.09.092</v>
          </cell>
          <cell r="L282" t="str">
            <v>21185549 22249830 23194537</v>
          </cell>
        </row>
        <row r="283">
          <cell r="F283" t="str">
            <v>FRADHPPL</v>
          </cell>
          <cell r="G283" t="str">
            <v>Ovalbumin</v>
          </cell>
          <cell r="H283" t="str">
            <v/>
          </cell>
          <cell r="I283" t="str">
            <v/>
          </cell>
          <cell r="J283" t="str">
            <v>Antihypertensive peptides derived from egg proteins.</v>
          </cell>
          <cell r="K283" t="str">
            <v>10.1093/jn/136.6.1457</v>
          </cell>
          <cell r="L283">
            <v>16702303</v>
          </cell>
        </row>
        <row r="284">
          <cell r="F284" t="str">
            <v>FRADPFL</v>
          </cell>
          <cell r="G284" t="str">
            <v/>
          </cell>
          <cell r="H284" t="str">
            <v/>
          </cell>
          <cell r="I284" t="str">
            <v/>
          </cell>
          <cell r="J284" t="str">
            <v/>
          </cell>
          <cell r="K284" t="str">
            <v/>
          </cell>
          <cell r="L284" t="str">
            <v/>
          </cell>
        </row>
        <row r="285">
          <cell r="F285" t="str">
            <v>FRAHPFL</v>
          </cell>
          <cell r="G285" t="str">
            <v/>
          </cell>
          <cell r="H285" t="str">
            <v/>
          </cell>
          <cell r="I285" t="str">
            <v/>
          </cell>
          <cell r="J285" t="str">
            <v/>
          </cell>
          <cell r="K285" t="str">
            <v/>
          </cell>
          <cell r="L285" t="str">
            <v/>
          </cell>
        </row>
        <row r="286">
          <cell r="F286" t="str">
            <v>FRC</v>
          </cell>
          <cell r="G286" t="str">
            <v/>
          </cell>
          <cell r="H286" t="str">
            <v/>
          </cell>
          <cell r="I286" t="str">
            <v/>
          </cell>
          <cell r="J286" t="str">
            <v/>
          </cell>
          <cell r="K286" t="str">
            <v/>
          </cell>
          <cell r="L286" t="str">
            <v/>
          </cell>
        </row>
        <row r="287">
          <cell r="F287" t="str">
            <v>FREGD</v>
          </cell>
          <cell r="G287" t="str">
            <v/>
          </cell>
          <cell r="H287" t="str">
            <v/>
          </cell>
          <cell r="I287" t="str">
            <v/>
          </cell>
          <cell r="J287" t="str">
            <v/>
          </cell>
          <cell r="K287" t="str">
            <v/>
          </cell>
          <cell r="L287" t="str">
            <v/>
          </cell>
        </row>
        <row r="288">
          <cell r="F288" t="str">
            <v>FRGLMHY</v>
          </cell>
          <cell r="G288" t="str">
            <v/>
          </cell>
          <cell r="H288" t="str">
            <v/>
          </cell>
          <cell r="I288" t="str">
            <v/>
          </cell>
          <cell r="J288" t="str">
            <v/>
          </cell>
          <cell r="K288" t="str">
            <v/>
          </cell>
          <cell r="L288" t="str">
            <v/>
          </cell>
        </row>
        <row r="289">
          <cell r="F289" t="str">
            <v>FRHEA</v>
          </cell>
          <cell r="G289" t="str">
            <v/>
          </cell>
          <cell r="H289" t="str">
            <v/>
          </cell>
          <cell r="I289" t="str">
            <v/>
          </cell>
          <cell r="J289" t="str">
            <v/>
          </cell>
          <cell r="K289" t="str">
            <v/>
          </cell>
          <cell r="L289" t="str">
            <v/>
          </cell>
        </row>
        <row r="290">
          <cell r="F290" t="str">
            <v>FRQF</v>
          </cell>
          <cell r="G290" t="str">
            <v/>
          </cell>
          <cell r="H290" t="str">
            <v/>
          </cell>
          <cell r="I290" t="str">
            <v/>
          </cell>
          <cell r="J290" t="str">
            <v>Enterococcus faecalis strains from food, environmental, and clinical origin produce ACE-inhibitory peptides and other bioactive peptides during growth in bovine skim milk.</v>
          </cell>
          <cell r="K290" t="str">
            <v>10.1016/j.ijfoodmicro.2013.06.019</v>
          </cell>
          <cell r="L290">
            <v>23845432</v>
          </cell>
        </row>
        <row r="291">
          <cell r="F291" t="str">
            <v>FRQFYQL</v>
          </cell>
          <cell r="G291" t="str">
            <v/>
          </cell>
          <cell r="H291" t="str">
            <v/>
          </cell>
          <cell r="I291" t="str">
            <v/>
          </cell>
          <cell r="J291" t="str">
            <v/>
          </cell>
          <cell r="K291" t="str">
            <v/>
          </cell>
          <cell r="L291" t="str">
            <v/>
          </cell>
        </row>
        <row r="292">
          <cell r="F292" t="str">
            <v>FRVPTPN</v>
          </cell>
          <cell r="G292" t="str">
            <v/>
          </cell>
          <cell r="H292" t="str">
            <v/>
          </cell>
          <cell r="I292" t="str">
            <v/>
          </cell>
          <cell r="J292" t="str">
            <v>A new QSAR model, for angiotensin I-converting enzyme inhibitory oligopeptides.</v>
          </cell>
          <cell r="K292" t="str">
            <v>10.1016/j.foodchem.2012.09.092</v>
          </cell>
          <cell r="L292">
            <v>23194537</v>
          </cell>
        </row>
        <row r="293">
          <cell r="F293" t="str">
            <v>FSDKIAKYIPIQ</v>
          </cell>
          <cell r="G293" t="str">
            <v/>
          </cell>
          <cell r="H293" t="str">
            <v/>
          </cell>
          <cell r="I293" t="str">
            <v/>
          </cell>
          <cell r="J293" t="str">
            <v/>
          </cell>
          <cell r="K293" t="str">
            <v/>
          </cell>
          <cell r="L293" t="str">
            <v/>
          </cell>
        </row>
        <row r="294">
          <cell r="F294" t="str">
            <v>FSQ</v>
          </cell>
          <cell r="G294" t="str">
            <v/>
          </cell>
          <cell r="H294" t="str">
            <v/>
          </cell>
          <cell r="I294" t="str">
            <v/>
          </cell>
          <cell r="J294" t="str">
            <v>Isolation from alpha-zein of thermolysin peptides with angiotensin I-converting enzyme inhibitory activity.</v>
          </cell>
          <cell r="K294" t="str">
            <v>10.1271/bbb.60.661</v>
          </cell>
          <cell r="L294">
            <v>8829536</v>
          </cell>
        </row>
        <row r="295">
          <cell r="F295" t="str">
            <v>FSY</v>
          </cell>
          <cell r="G295" t="str">
            <v/>
          </cell>
          <cell r="H295" t="str">
            <v/>
          </cell>
          <cell r="I295" t="str">
            <v/>
          </cell>
          <cell r="J295" t="str">
            <v/>
          </cell>
          <cell r="K295" t="str">
            <v/>
          </cell>
          <cell r="L295" t="str">
            <v/>
          </cell>
        </row>
        <row r="296">
          <cell r="F296" t="str">
            <v>FTDVDFIK</v>
          </cell>
          <cell r="G296" t="str">
            <v/>
          </cell>
          <cell r="H296" t="str">
            <v/>
          </cell>
          <cell r="I296" t="str">
            <v/>
          </cell>
          <cell r="J296" t="str">
            <v/>
          </cell>
          <cell r="K296" t="str">
            <v/>
          </cell>
          <cell r="L296" t="str">
            <v/>
          </cell>
        </row>
        <row r="297">
          <cell r="F297" t="str">
            <v>FTESQS</v>
          </cell>
          <cell r="G297" t="str">
            <v/>
          </cell>
          <cell r="H297" t="str">
            <v/>
          </cell>
          <cell r="I297" t="str">
            <v/>
          </cell>
          <cell r="J297" t="str">
            <v>Enterococcus faecalis strains from food, environmental, and clinical origin produce ACE-inhibitory peptides and other bioactive peptides during growth in bovine skim milk.</v>
          </cell>
          <cell r="K297" t="str">
            <v>10.1016/j.ijfoodmicro.2013.06.019</v>
          </cell>
          <cell r="L297">
            <v>23845432</v>
          </cell>
        </row>
        <row r="298">
          <cell r="F298" t="str">
            <v>FTY</v>
          </cell>
          <cell r="G298" t="str">
            <v/>
          </cell>
          <cell r="H298" t="str">
            <v/>
          </cell>
          <cell r="I298" t="str">
            <v/>
          </cell>
          <cell r="J298" t="str">
            <v/>
          </cell>
          <cell r="K298" t="str">
            <v/>
          </cell>
          <cell r="L298" t="str">
            <v/>
          </cell>
        </row>
        <row r="299">
          <cell r="F299" t="str">
            <v>FV</v>
          </cell>
          <cell r="G299" t="str">
            <v/>
          </cell>
          <cell r="H299" t="str">
            <v/>
          </cell>
          <cell r="I299" t="str">
            <v/>
          </cell>
          <cell r="J299" t="str">
            <v>Quantitative structure-activity relationship study of bitter di- and tri-peptides including relationship with angiotensin I-converting enzyme inhibitory activity.</v>
          </cell>
          <cell r="K299" t="str">
            <v>10.1002/psc.800</v>
          </cell>
          <cell r="L299">
            <v>17117396</v>
          </cell>
        </row>
        <row r="300">
          <cell r="F300" t="str">
            <v>FVAP</v>
          </cell>
          <cell r="G300" t="str">
            <v/>
          </cell>
          <cell r="H300" t="str">
            <v/>
          </cell>
          <cell r="I300" t="str">
            <v/>
          </cell>
          <cell r="J300" t="str">
            <v>What are the ideal properties for functional food peptides with antihypertensive effect? A computational peptidology approach.</v>
          </cell>
          <cell r="K300" t="str">
            <v>10.1016/j.foodchem.2013.05.140</v>
          </cell>
          <cell r="L300" t="str">
            <v>23871047</v>
          </cell>
        </row>
        <row r="301">
          <cell r="F301" t="str">
            <v>FVAPFP</v>
          </cell>
          <cell r="G301" t="str">
            <v/>
          </cell>
          <cell r="H301" t="str">
            <v/>
          </cell>
          <cell r="I301" t="str">
            <v/>
          </cell>
          <cell r="J301" t="str">
            <v>Enterococcus faecalis strains from food, environmental, and clinical origin produce ACE-inhibitory peptides and other bioactive peptides during growth in bovine skim milk.</v>
          </cell>
          <cell r="K301" t="str">
            <v>10.1016/j.ijfoodmicro.2013.06.019</v>
          </cell>
          <cell r="L301" t="str">
            <v>23845432</v>
          </cell>
        </row>
        <row r="302">
          <cell r="F302" t="str">
            <v>FVAPFPEV</v>
          </cell>
          <cell r="G302" t="str">
            <v/>
          </cell>
          <cell r="H302" t="str">
            <v/>
          </cell>
          <cell r="I302" t="str">
            <v/>
          </cell>
          <cell r="J302" t="str">
            <v>A new QSAR model, for angiotensin I-converting enzyme inhibitory oligopeptides.</v>
          </cell>
          <cell r="K302" t="str">
            <v>10.1016/j.foodchem.2012.09.092</v>
          </cell>
          <cell r="L302" t="str">
            <v>23194537</v>
          </cell>
        </row>
        <row r="303">
          <cell r="F303" t="str">
            <v>FVAPFPEVF</v>
          </cell>
          <cell r="G303" t="str">
            <v/>
          </cell>
          <cell r="H303" t="str">
            <v/>
          </cell>
          <cell r="I303" t="str">
            <v/>
          </cell>
          <cell r="J303" t="str">
            <v/>
          </cell>
          <cell r="K303" t="str">
            <v/>
          </cell>
          <cell r="L303" t="str">
            <v/>
          </cell>
        </row>
        <row r="304">
          <cell r="F304" t="str">
            <v>FVAPFPEVFG</v>
          </cell>
          <cell r="G304" t="str">
            <v/>
          </cell>
          <cell r="H304" t="str">
            <v/>
          </cell>
          <cell r="I304" t="str">
            <v/>
          </cell>
          <cell r="J304" t="str">
            <v/>
          </cell>
          <cell r="K304" t="str">
            <v/>
          </cell>
          <cell r="L304" t="str">
            <v/>
          </cell>
        </row>
        <row r="305">
          <cell r="F305" t="str">
            <v>FVAPFPEVFGK</v>
          </cell>
          <cell r="G305" t="str">
            <v/>
          </cell>
          <cell r="H305" t="str">
            <v/>
          </cell>
          <cell r="I305" t="str">
            <v/>
          </cell>
          <cell r="J305" t="str">
            <v/>
          </cell>
          <cell r="K305" t="str">
            <v/>
          </cell>
          <cell r="L305" t="str">
            <v/>
          </cell>
        </row>
        <row r="306">
          <cell r="F306" t="str">
            <v>FVAPFPEVFGKEKVNE</v>
          </cell>
          <cell r="G306" t="str">
            <v/>
          </cell>
          <cell r="H306" t="str">
            <v/>
          </cell>
          <cell r="I306" t="str">
            <v/>
          </cell>
          <cell r="J306" t="str">
            <v/>
          </cell>
          <cell r="K306" t="str">
            <v/>
          </cell>
          <cell r="L306" t="str">
            <v/>
          </cell>
        </row>
        <row r="307">
          <cell r="F307" t="str">
            <v>FVAPFPEVFGKEKVNELSKDIGS</v>
          </cell>
          <cell r="G307" t="str">
            <v/>
          </cell>
          <cell r="H307" t="str">
            <v/>
          </cell>
          <cell r="I307" t="str">
            <v/>
          </cell>
          <cell r="J307" t="str">
            <v>Identification of angiotensin-I-converting enzyme inhibitory peptides derived from sodium caseinate hydrolysates produced by Lactobacillus helveticus NCC 2765.</v>
          </cell>
          <cell r="K307" t="str">
            <v>10.1021/jf049510t</v>
          </cell>
          <cell r="L307">
            <v>15537298</v>
          </cell>
        </row>
        <row r="308">
          <cell r="F308" t="str">
            <v>FVAPFPEVFGKEKVNELSKDIGSE</v>
          </cell>
          <cell r="G308" t="str">
            <v/>
          </cell>
          <cell r="H308" t="str">
            <v/>
          </cell>
          <cell r="I308" t="str">
            <v/>
          </cell>
          <cell r="J308" t="str">
            <v>Angiotensin I-converting-enzyme-inhibitory and antibacterial peptides from Lactobacillus helveticus PR4 proteinase-hydrolyzed caseins of milk from six species.</v>
          </cell>
          <cell r="K308" t="str">
            <v>10.1128/AEM.69.9.5297-5305.2003</v>
          </cell>
          <cell r="L308">
            <v>12957917</v>
          </cell>
        </row>
        <row r="309">
          <cell r="F309" t="str">
            <v>FVEPIP</v>
          </cell>
          <cell r="G309" t="str">
            <v/>
          </cell>
          <cell r="H309" t="str">
            <v/>
          </cell>
          <cell r="I309" t="str">
            <v/>
          </cell>
          <cell r="J309" t="str">
            <v>Inhibition of angiotensin-converting enzyme by synthetic peptide fragments of various beta-caseins.</v>
          </cell>
          <cell r="K309" t="str">
            <v/>
          </cell>
          <cell r="L309">
            <v>1368548</v>
          </cell>
        </row>
        <row r="310">
          <cell r="F310" t="str">
            <v>FVNPQAGS</v>
          </cell>
          <cell r="G310" t="str">
            <v/>
          </cell>
          <cell r="H310" t="str">
            <v/>
          </cell>
          <cell r="I310" t="str">
            <v/>
          </cell>
          <cell r="J310" t="str">
            <v>Purification of an ACE inhibitory peptide after hydrolysis of sunflower (Helianthus annuus L.) protein isolates.; Vegetable foods: a cheap source of proteins and peptides with antihypertensive, antioxidant, and other less occurrence bioactivities.</v>
          </cell>
          <cell r="K310" t="str">
            <v>10.1021/jf034707r; 10.1016/j.talanta.2012.12.041</v>
          </cell>
          <cell r="L310" t="str">
            <v>15053531 23598136</v>
          </cell>
        </row>
        <row r="311">
          <cell r="F311" t="str">
            <v>FVVAPFPEVF</v>
          </cell>
          <cell r="G311" t="str">
            <v/>
          </cell>
          <cell r="H311" t="str">
            <v/>
          </cell>
          <cell r="I311" t="str">
            <v/>
          </cell>
          <cell r="J311" t="str">
            <v/>
          </cell>
          <cell r="K311" t="str">
            <v/>
          </cell>
          <cell r="L311" t="str">
            <v/>
          </cell>
        </row>
        <row r="312">
          <cell r="F312" t="str">
            <v>FW</v>
          </cell>
          <cell r="G312" t="str">
            <v/>
          </cell>
          <cell r="H312" t="str">
            <v/>
          </cell>
          <cell r="I312" t="str">
            <v/>
          </cell>
          <cell r="J312" t="str">
            <v/>
          </cell>
          <cell r="K312" t="str">
            <v/>
          </cell>
          <cell r="L312" t="str">
            <v/>
          </cell>
        </row>
        <row r="313">
          <cell r="F313" t="str">
            <v>FWN</v>
          </cell>
          <cell r="G313" t="str">
            <v/>
          </cell>
          <cell r="H313" t="str">
            <v/>
          </cell>
          <cell r="I313" t="str">
            <v/>
          </cell>
          <cell r="J313" t="str">
            <v>Structure and activity of angiotensin I converting enzyme inhibitory peptides from sake and sake lees.; Vegetable foods: a cheap source of proteins and peptides with antihypertensive, antioxidant, and other less occurrence bioactivities.; What are the ideal properties for functional food peptides with antihypertensive effect? A computational peptidology approach.</v>
          </cell>
          <cell r="K313" t="str">
            <v>10.1271/bbb.58.1767; 10.1016/j.talanta.2012.12.041; 10.1016/j.foodchem.2013.05.140</v>
          </cell>
          <cell r="L313" t="str">
            <v>7765503 23598136 23871047</v>
          </cell>
        </row>
        <row r="314">
          <cell r="F314" t="str">
            <v>FY</v>
          </cell>
          <cell r="G314" t="str">
            <v>garlic|</v>
          </cell>
          <cell r="H314" t="str">
            <v/>
          </cell>
          <cell r="I314" t="str">
            <v/>
          </cell>
          <cell r="J314" t="str">
            <v>Structures and activity of angiotensin-converting enzyme inhibitors in an alpha-zein hydrolysate.; Isolation from alpha-zein of thermolysin peptides with angiotensin I-converting enzyme inhibitory activity.; Antihypertensive effects of Undaria pinnatifida (wakame) peptide on blood pressure in spontaneously hypertensive rats.;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Max-E47, a designed minimalist protein that targets the E-box DNA site in vivo and in vitro.; Cellular membrane disruption by amyloid fibrils involved intermolecular disulfide cross-linking.; Antihypertensive peptides from food proteins: a review.;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314" t="str">
            <v>10.1271/bbb.60.661; 10.1016/j.jnutbio.2003.11.004; 10.1021/jf051263l; 10.1002/psc.892; 10.1021/ja901306q; 10.1021/bi900219c; 10.1039/c2fo10192k; 10.1016/j.talanta.2012.12.041; 10.1016/j.foodchem.2013.05.140; 10.1080/10408398.2012.664829</v>
          </cell>
          <cell r="L314" t="str">
            <v>1368684 8829536 15135150 16448176 17654623 19449889 19449893 22249830 23598136 23871047 24915368</v>
          </cell>
        </row>
        <row r="315">
          <cell r="F315" t="str">
            <v>FYN</v>
          </cell>
          <cell r="G315" t="str">
            <v/>
          </cell>
          <cell r="H315" t="str">
            <v/>
          </cell>
          <cell r="I315" t="str">
            <v/>
          </cell>
          <cell r="J315" t="str">
            <v>Structural requirements of Angiotensin I-converting enzyme inhibitory peptides: quantitative structure-activity relationship study of di- and tripeptides.</v>
          </cell>
          <cell r="K315" t="str">
            <v>10.1021/jf051263l</v>
          </cell>
          <cell r="L315">
            <v>16448176</v>
          </cell>
        </row>
        <row r="316">
          <cell r="F316" t="str">
            <v>FYPEL</v>
          </cell>
          <cell r="G316" t="str">
            <v/>
          </cell>
          <cell r="H316" t="str">
            <v/>
          </cell>
          <cell r="I316" t="str">
            <v/>
          </cell>
          <cell r="J316" t="str">
            <v/>
          </cell>
          <cell r="K316" t="str">
            <v/>
          </cell>
          <cell r="L316" t="str">
            <v/>
          </cell>
        </row>
        <row r="317">
          <cell r="F317" t="str">
            <v>FYQLDA</v>
          </cell>
          <cell r="G317" t="str">
            <v/>
          </cell>
          <cell r="H317" t="str">
            <v/>
          </cell>
          <cell r="I317" t="str">
            <v/>
          </cell>
          <cell r="J317" t="str">
            <v>Hot topic: Changes in angiotensin-converting enzyme inhibition and concentrations of the tripeptides Val-Pro-Pro and Ile-Pro-Pro during ripening of different Swiss cheese varieties.</v>
          </cell>
          <cell r="K317" t="str">
            <v>10.3168/jds.2008-1531</v>
          </cell>
          <cell r="L317">
            <v>19233775</v>
          </cell>
        </row>
        <row r="318">
          <cell r="F318" t="str">
            <v>FYQQ</v>
          </cell>
          <cell r="G318" t="str">
            <v/>
          </cell>
          <cell r="H318" t="str">
            <v/>
          </cell>
          <cell r="I318" t="str">
            <v/>
          </cell>
          <cell r="J318" t="str">
            <v>Isolation from alpha-zein of thermolysin peptides with angiotensin I-converting enzyme inhibitory activity.; What are the ideal properties for functional food peptides with antihypertensive effect? A computational peptidology approach.</v>
          </cell>
          <cell r="K318" t="str">
            <v>10.1271/bbb.60.661; 10.1016/j.foodchem.2013.05.140</v>
          </cell>
          <cell r="L318" t="str">
            <v>8829536 23871047</v>
          </cell>
        </row>
        <row r="319">
          <cell r="F319" t="str">
            <v>FYTGG</v>
          </cell>
          <cell r="G319" t="str">
            <v/>
          </cell>
          <cell r="H319" t="str">
            <v/>
          </cell>
          <cell r="I319" t="str">
            <v/>
          </cell>
          <cell r="J319" t="str">
            <v/>
          </cell>
          <cell r="K319" t="str">
            <v/>
          </cell>
          <cell r="L319" t="str">
            <v/>
          </cell>
        </row>
        <row r="320">
          <cell r="F320" t="str">
            <v>GA</v>
          </cell>
          <cell r="G320" t="str">
            <v/>
          </cell>
          <cell r="H320" t="str">
            <v/>
          </cell>
          <cell r="I320" t="str">
            <v/>
          </cell>
          <cell r="J320" t="str">
            <v>Binding of peptide substrates and inhibitors of angiotensin-converting enzyme. Importance of the COOH-terminal dipeptide sequence.;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320" t="str">
            <v>10.1002/psc.892; 10.1007/s00894-010-0862-x; 10.1016/j.jprot.2013.06.023; 10.1016/j.foodchem.2013.05.140</v>
          </cell>
          <cell r="L320" t="str">
            <v>6243277 17654623 20941517 23806758 23871047</v>
          </cell>
        </row>
        <row r="321">
          <cell r="F321" t="str">
            <v>GAAELPCSADWW</v>
          </cell>
          <cell r="G321" t="str">
            <v/>
          </cell>
          <cell r="H321" t="str">
            <v/>
          </cell>
          <cell r="I321" t="str">
            <v/>
          </cell>
          <cell r="J321" t="str">
            <v>Antihypertensive peptides from food proteins: a review.; A new QSAR model, for angiotensin I-converting enzyme inhibitory oligopeptides.; Isolation and characterization of peptides with antihypertensive activity in foodstuffs.</v>
          </cell>
          <cell r="K321" t="str">
            <v>10.1039/c2fo10192k; 10.1016/j.foodchem.2012.09.092; 10.1080/10408398.2012.664829</v>
          </cell>
          <cell r="L321" t="str">
            <v>22249830 23194537 24915368</v>
          </cell>
        </row>
        <row r="322">
          <cell r="F322" t="str">
            <v>GAP</v>
          </cell>
          <cell r="G322" t="str">
            <v/>
          </cell>
          <cell r="H322" t="str">
            <v/>
          </cell>
          <cell r="I322" t="str">
            <v/>
          </cell>
          <cell r="J322" t="str">
            <v>Rational design of angiotensin-I-converting enzyme inhibitory peptides by integrating in silico modeling and an in vitro assay.</v>
          </cell>
          <cell r="K322" t="str">
            <v>10.1002/cmdc.201300132</v>
          </cell>
          <cell r="L322">
            <v>23740817</v>
          </cell>
        </row>
        <row r="323">
          <cell r="F323" t="str">
            <v>GAPGLPGP</v>
          </cell>
          <cell r="G323" t="str">
            <v/>
          </cell>
          <cell r="H323" t="str">
            <v/>
          </cell>
          <cell r="I323" t="str">
            <v/>
          </cell>
          <cell r="J323" t="str">
            <v>Angiotensin I-converting enzyme-inhibitory peptides obtained from chicken collagen hydrolysate.</v>
          </cell>
          <cell r="K323" t="str">
            <v>10.1021/jf072669w</v>
          </cell>
          <cell r="L323">
            <v>18808143</v>
          </cell>
        </row>
        <row r="324">
          <cell r="F324" t="str">
            <v>GAPGPAGPGGIPGERG</v>
          </cell>
          <cell r="G324" t="str">
            <v/>
          </cell>
          <cell r="H324" t="str">
            <v/>
          </cell>
          <cell r="I324" t="str">
            <v/>
          </cell>
          <cell r="J324" t="str">
            <v>Angiotensin I-converting enzyme-inhibitory peptides obtained from chicken collagen hydrolysate.</v>
          </cell>
          <cell r="K324" t="str">
            <v>10.1021/jf072669w</v>
          </cell>
          <cell r="L324" t="str">
            <v>18808143</v>
          </cell>
        </row>
        <row r="325">
          <cell r="F325" t="str">
            <v>GAVGPSG</v>
          </cell>
          <cell r="G325" t="str">
            <v/>
          </cell>
          <cell r="H325" t="str">
            <v/>
          </cell>
          <cell r="I325" t="str">
            <v/>
          </cell>
          <cell r="J325" t="str">
            <v>Isolation and characterization of peptides with antihypertensive activity in foodstuffs.</v>
          </cell>
          <cell r="K325" t="str">
            <v>10.1080/10408398.2012.664829</v>
          </cell>
          <cell r="L325">
            <v>24915368</v>
          </cell>
        </row>
        <row r="326">
          <cell r="F326" t="str">
            <v>GAW</v>
          </cell>
          <cell r="G326" t="str">
            <v/>
          </cell>
          <cell r="H326" t="str">
            <v/>
          </cell>
          <cell r="I326" t="str">
            <v/>
          </cell>
          <cell r="J326" t="str">
            <v/>
          </cell>
          <cell r="K326" t="str">
            <v/>
          </cell>
          <cell r="L326" t="str">
            <v/>
          </cell>
        </row>
        <row r="327">
          <cell r="F327" t="str">
            <v>GCETR</v>
          </cell>
          <cell r="G327" t="str">
            <v/>
          </cell>
          <cell r="H327" t="str">
            <v/>
          </cell>
          <cell r="I327" t="str">
            <v/>
          </cell>
          <cell r="J327" t="str">
            <v/>
          </cell>
          <cell r="K327" t="str">
            <v/>
          </cell>
          <cell r="L327" t="str">
            <v/>
          </cell>
        </row>
        <row r="328">
          <cell r="F328" t="str">
            <v>GD</v>
          </cell>
          <cell r="G328" t="str">
            <v/>
          </cell>
          <cell r="H328" t="str">
            <v/>
          </cell>
          <cell r="I328" t="str">
            <v/>
          </cell>
          <cell r="J328"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328" t="str">
            <v>10.1021/jf051263l; 10.1002/psc.892; 10.1007/s00894-010-0862-x; 10.1016/j.jprot.2013.06.023; 10.1016/j.foodchem.2013.05.140</v>
          </cell>
          <cell r="L328" t="str">
            <v>6243277 16448176 17654623 20941517 23806758 23871047</v>
          </cell>
        </row>
        <row r="329">
          <cell r="F329" t="str">
            <v>GDAP</v>
          </cell>
          <cell r="G329" t="str">
            <v/>
          </cell>
          <cell r="H329" t="str">
            <v/>
          </cell>
          <cell r="I329" t="str">
            <v/>
          </cell>
          <cell r="J329" t="str">
            <v>Analysis of novel angiotensin I-converting enzyme inhibitory peptides from enzymatic hydrolysates of cuttlefish (Sepia officinalis) muscle proteins.; Review on the angiotensin-I-converting enzyme (ACE) inhibitor peptides from marine proteins.; What are the ideal properties for functional food peptides with antihypertensive effect? A computational peptidology approach.</v>
          </cell>
          <cell r="K329" t="str">
            <v>10.1021/jf904300q; 10.1007/s12010-012-0024-y; 10.1016/j.foodchem.2013.05.140</v>
          </cell>
          <cell r="L329" t="str">
            <v>20180574 23271625 23871047</v>
          </cell>
        </row>
        <row r="330">
          <cell r="F330" t="str">
            <v>GDLGKTTTVSNWSPPKYKDTP</v>
          </cell>
          <cell r="G330" t="str">
            <v/>
          </cell>
          <cell r="H330" t="str">
            <v/>
          </cell>
          <cell r="I330" t="str">
            <v/>
          </cell>
          <cell r="J330" t="str">
            <v>Antihypertensive peptides from food proteins: a review.; Review on the angiotensin-I-converting enzyme (ACE) inhibitor peptides from marine proteins.; Isolation and characterization of peptides with antihypertensive activity in foodstuffs.</v>
          </cell>
          <cell r="K330" t="str">
            <v>10.1039/c2fo10192k; 10.1007/s12010-012-0024-y; 10.1080/10408398.2012.664829</v>
          </cell>
          <cell r="L330" t="str">
            <v>22249830 23271625 24915368</v>
          </cell>
        </row>
        <row r="331">
          <cell r="F331" t="str">
            <v>GE</v>
          </cell>
          <cell r="G331" t="str">
            <v/>
          </cell>
          <cell r="H331" t="str">
            <v/>
          </cell>
          <cell r="I331" t="str">
            <v/>
          </cell>
          <cell r="J331" t="str">
            <v>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331" t="str">
            <v>10.1021/jf051263l; 10.1002/psc.892; 10.1007/s00894-010-0862-x; 10.1016/j.jprot.2013.06.023; 10.1016/j.foodchem.2013.05.140</v>
          </cell>
          <cell r="L331" t="str">
            <v>16448176 17654623 20941517 23806758 23871047</v>
          </cell>
        </row>
        <row r="332">
          <cell r="F332" t="str">
            <v>GEG</v>
          </cell>
          <cell r="G332" t="str">
            <v/>
          </cell>
          <cell r="H332" t="str">
            <v/>
          </cell>
          <cell r="I332" t="str">
            <v/>
          </cell>
          <cell r="J332" t="str">
            <v>QSAR study on angiotensin-converting enzyme inhibitor oligopeptides based on a novel set of sequence information descriptors.; What are the ideal properties for functional food peptides with antihypertensive effect? A computational peptidology approach.</v>
          </cell>
          <cell r="K332" t="str">
            <v>10.1007/s00894-010-0862-x; 10.1016/j.foodchem.2013.05.140</v>
          </cell>
          <cell r="L332" t="str">
            <v>20941517 23871047</v>
          </cell>
        </row>
        <row r="333">
          <cell r="F333" t="str">
            <v>GEGGP</v>
          </cell>
          <cell r="G333" t="str">
            <v/>
          </cell>
          <cell r="H333" t="str">
            <v/>
          </cell>
          <cell r="I333" t="str">
            <v/>
          </cell>
          <cell r="J333" t="str">
            <v>Characterization of an antihypertensive angiotensin I-converting enzyme inhibitory peptide from the edible mushroom Hypsizygus marmoreus.; Isolation and characterization of peptides with antihypertensive activity in foodstuffs.</v>
          </cell>
          <cell r="K333" t="str">
            <v>10.1155/2013/283964; 10.1080/10408398.2012.664829</v>
          </cell>
          <cell r="L333" t="str">
            <v>24380081 24915368</v>
          </cell>
        </row>
        <row r="334">
          <cell r="F334" t="str">
            <v>GEP</v>
          </cell>
          <cell r="G334" t="str">
            <v>mushroom</v>
          </cell>
          <cell r="H334" t="str">
            <v/>
          </cell>
          <cell r="I334" t="str">
            <v/>
          </cell>
          <cell r="J334" t="str">
            <v>Isolation and characterization of a novel angiotensin I-converting enzyme inhibitory peptide derived from the edible mushroom Tricholoma giganteum.; Angiotensin converting enzyme inhibitory peptides derived from food proteins: biochemistry, bioactivity and production.; Langmuir monolayers of a hydrogenated/fluorinated catanionic surfactant: from the macroscopic to the nanoscopic size scale.; Vegetable foods: a cheap source of proteins and peptides with antihypertensive, antioxidant, and other less occurrence bioactivities.; Novel angiotensin I-converting enzyme inhibitory peptides derived from an edible mushroom, Pleurotus cystidiosus O.K. Miller identified by LC-MS/MS.; Characterization of an antihypertensive angiotensin I-converting enzyme inhibitory peptide from the edible mushroom Hypsizygus marmoreus.; Isolation and characterization of peptides with antihypertensive activity in foodstuffs.</v>
          </cell>
          <cell r="K334" t="str">
            <v>10.1016/j.peptides.2004.01.015; 10.2174/138161207780363068; 10.1021/la900593c; 10.1016/j.talanta.2012.12.041; 10.1186/1472-6882-13-313; 10.1155/2013/283964; 10.1080/10408398.2012.664829</v>
          </cell>
          <cell r="L334" t="str">
            <v>15165718 17430180 19449890 23598136 24215325 24380081 24915368</v>
          </cell>
        </row>
        <row r="335">
          <cell r="F335" t="str">
            <v>GF</v>
          </cell>
          <cell r="G335" t="str">
            <v/>
          </cell>
          <cell r="H335" t="str">
            <v/>
          </cell>
          <cell r="I335" t="str">
            <v/>
          </cell>
          <cell r="J335"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Antihypertensive peptides from food proteins: a review.; Review on the angiotensin-I-converting enzyme (ACE) inhibitor peptides from marine proteins.;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ell>
          <cell r="K335" t="str">
            <v>10.1021/jf051263l; 10.1002/psc.800; 10.1002/psc.892; 10.1007/s00894-010-0862-x; 10.1039/c2fo10192k; 10.1007/s12010-012-0024-y; 10.1016/j.jprot.2013.06.023; 10.1016/j.foodchem.2013.05.140; 10.1080/10408398.2012.664829</v>
          </cell>
          <cell r="L335" t="str">
            <v>6243277 16448176 17117396 17654623 20941517 22249830 23271625 23806758 23871047 24915368</v>
          </cell>
        </row>
        <row r="336">
          <cell r="F336" t="str">
            <v>GFF</v>
          </cell>
          <cell r="G336" t="str">
            <v/>
          </cell>
          <cell r="H336" t="str">
            <v/>
          </cell>
          <cell r="I336" t="str">
            <v/>
          </cell>
          <cell r="J336"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336" t="str">
            <v>10.1002/psc.800; 10.1007/s00894-010-0862-x; 10.1016/j.foodchem.2013.05.140</v>
          </cell>
          <cell r="L336" t="str">
            <v>17117396 20941517 23871047</v>
          </cell>
        </row>
        <row r="337">
          <cell r="F337" t="str">
            <v>GFG</v>
          </cell>
          <cell r="G337" t="str">
            <v/>
          </cell>
          <cell r="H337" t="str">
            <v/>
          </cell>
          <cell r="I337" t="str">
            <v/>
          </cell>
          <cell r="J337"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337" t="str">
            <v>10.1002/psc.800; 10.1007/s00894-010-0862-x; 10.1016/j.foodchem.2013.05.140</v>
          </cell>
          <cell r="L337" t="str">
            <v>17117396 20941517 23871047</v>
          </cell>
        </row>
        <row r="338">
          <cell r="F338" t="str">
            <v>GFHI</v>
          </cell>
          <cell r="G338" t="str">
            <v/>
          </cell>
          <cell r="H338" t="str">
            <v/>
          </cell>
          <cell r="I338" t="str">
            <v/>
          </cell>
          <cell r="J338" t="str">
            <v>Antihypertensive peptides: production, bioavailability and incorporation into foods.</v>
          </cell>
          <cell r="K338" t="str">
            <v>10.1016/j.cis.2010.11.001</v>
          </cell>
          <cell r="L338">
            <v>21185549</v>
          </cell>
        </row>
        <row r="339">
          <cell r="F339" t="str">
            <v>GFPGTPGLPGF</v>
          </cell>
          <cell r="G339" t="str">
            <v/>
          </cell>
          <cell r="H339" t="str">
            <v/>
          </cell>
          <cell r="I339" t="str">
            <v/>
          </cell>
          <cell r="J339" t="str">
            <v>Angiotensin I-converting enzyme inhibitory peptides in a hydrolyzed chicken breast muscle extract.</v>
          </cell>
          <cell r="K339" t="str">
            <v>10.1021/jf020604h</v>
          </cell>
          <cell r="L339">
            <v>12617616</v>
          </cell>
        </row>
        <row r="340">
          <cell r="F340" t="str">
            <v>GFR</v>
          </cell>
          <cell r="G340" t="str">
            <v/>
          </cell>
          <cell r="H340" t="str">
            <v/>
          </cell>
          <cell r="I340" t="str">
            <v/>
          </cell>
          <cell r="J340" t="str">
            <v/>
          </cell>
          <cell r="K340" t="str">
            <v/>
          </cell>
          <cell r="L340" t="str">
            <v/>
          </cell>
        </row>
        <row r="341">
          <cell r="F341" t="str">
            <v>GG</v>
          </cell>
          <cell r="G341" t="str">
            <v/>
          </cell>
          <cell r="H341" t="str">
            <v/>
          </cell>
          <cell r="I341" t="str">
            <v/>
          </cell>
          <cell r="J341" t="str">
            <v>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341" t="str">
            <v>10.1021/jf051263l; 10.1002/psc.892; 10.1007/s00894-010-0862-x; 10.1016/j.jprot.2013.06.023; 10.1016/j.foodchem.2013.05.140</v>
          </cell>
          <cell r="L341" t="str">
            <v>16448176 17654623 20941517 23806758 23871047</v>
          </cell>
        </row>
        <row r="342">
          <cell r="F342" t="str">
            <v>GGF</v>
          </cell>
          <cell r="G342" t="str">
            <v/>
          </cell>
          <cell r="H342" t="str">
            <v/>
          </cell>
          <cell r="I342" t="str">
            <v/>
          </cell>
          <cell r="J342"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342" t="str">
            <v>10.1002/psc.800; 10.1007/s00894-010-0862-x; 10.1016/j.foodchem.2013.05.140</v>
          </cell>
          <cell r="L342" t="str">
            <v>17117396 20941517 23871047</v>
          </cell>
        </row>
        <row r="343">
          <cell r="F343" t="str">
            <v>GGG</v>
          </cell>
          <cell r="G343" t="str">
            <v/>
          </cell>
          <cell r="H343" t="str">
            <v/>
          </cell>
          <cell r="I343" t="str">
            <v/>
          </cell>
          <cell r="J343"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343" t="str">
            <v>10.1002/psc.800; 10.1007/s00894-010-0862-x; 10.1016/j.foodchem.2013.05.140</v>
          </cell>
          <cell r="L343" t="str">
            <v>17117396 20941517 23871047</v>
          </cell>
        </row>
        <row r="344">
          <cell r="F344" t="str">
            <v>GGL</v>
          </cell>
          <cell r="G344" t="str">
            <v/>
          </cell>
          <cell r="H344" t="str">
            <v/>
          </cell>
          <cell r="I344" t="str">
            <v/>
          </cell>
          <cell r="J344"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344" t="str">
            <v>10.1002/psc.800; 10.1007/s00894-010-0862-x; 10.1016/j.foodchem.2013.05.140</v>
          </cell>
          <cell r="L344" t="str">
            <v>17117396 20941517 23871047</v>
          </cell>
        </row>
        <row r="345">
          <cell r="F345" t="str">
            <v>GGP</v>
          </cell>
          <cell r="G345" t="str">
            <v/>
          </cell>
          <cell r="H345" t="str">
            <v/>
          </cell>
          <cell r="I345" t="str">
            <v/>
          </cell>
          <cell r="J345"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345" t="str">
            <v>10.1002/psc.800; 10.1007/s00894-010-0862-x; 10.1016/j.foodchem.2013.05.140</v>
          </cell>
          <cell r="L345" t="str">
            <v>17117396 20941517 23871047</v>
          </cell>
        </row>
        <row r="346">
          <cell r="F346" t="str">
            <v>GGRPTY</v>
          </cell>
          <cell r="G346" t="str">
            <v/>
          </cell>
          <cell r="H346" t="str">
            <v/>
          </cell>
          <cell r="I346" t="str">
            <v/>
          </cell>
          <cell r="J346" t="str">
            <v/>
          </cell>
          <cell r="K346" t="str">
            <v/>
          </cell>
          <cell r="L346" t="str">
            <v/>
          </cell>
        </row>
        <row r="347">
          <cell r="F347" t="str">
            <v>GGV</v>
          </cell>
          <cell r="G347" t="str">
            <v/>
          </cell>
          <cell r="H347" t="str">
            <v/>
          </cell>
          <cell r="I347" t="str">
            <v/>
          </cell>
          <cell r="J347"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347" t="str">
            <v>10.1002/psc.800; 10.1007/s00894-010-0862-x; 10.1016/j.foodchem.2013.05.140</v>
          </cell>
          <cell r="L347" t="str">
            <v>17117396 20941517 23871047</v>
          </cell>
        </row>
        <row r="348">
          <cell r="F348" t="str">
            <v>GGVIPN</v>
          </cell>
          <cell r="G348" t="str">
            <v/>
          </cell>
          <cell r="H348" t="str">
            <v/>
          </cell>
          <cell r="I348" t="str">
            <v/>
          </cell>
          <cell r="J348" t="str">
            <v>Inhibition strength of short peptides derived from an ACE inhibitory peptide.; A new QSAR model, for angiotensin I-converting enzyme inhibitory oligopeptides.</v>
          </cell>
          <cell r="K348" t="str">
            <v>10.1021/jf202902r; 10.1016/j.foodchem.2012.09.092</v>
          </cell>
          <cell r="L348" t="str">
            <v>21923188 23194537</v>
          </cell>
        </row>
        <row r="349">
          <cell r="F349" t="str">
            <v>GGY</v>
          </cell>
          <cell r="G349" t="str">
            <v/>
          </cell>
          <cell r="H349" t="str">
            <v/>
          </cell>
          <cell r="I349" t="str">
            <v/>
          </cell>
          <cell r="J349" t="str">
            <v>Structure and activity of angiotensin I converting enzyme inhibitory peptides from sake and sake lees.;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What are the ideal properties for functional food peptides with antihypertensive effect? A computational peptidology approach.</v>
          </cell>
          <cell r="K349" t="str">
            <v>10.1271/bbb.58.1767; 10.1021/jf051263l; 10.1002/psc.800; 10.1016/j.foodchem.2013.05.140</v>
          </cell>
          <cell r="L349" t="str">
            <v>7765503 16448176 17117396 23871047</v>
          </cell>
        </row>
        <row r="350">
          <cell r="F350" t="str">
            <v>GH</v>
          </cell>
          <cell r="G350" t="str">
            <v/>
          </cell>
          <cell r="H350" t="str">
            <v/>
          </cell>
          <cell r="I350" t="str">
            <v/>
          </cell>
          <cell r="J350"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350" t="str">
            <v>10.1021/jf051263l; 10.1002/psc.892; 10.1007/s00894-010-0862-x; 10.1016/j.jprot.2013.06.023; 10.1016/j.foodchem.2013.05.140</v>
          </cell>
          <cell r="L350" t="str">
            <v>6243277 16448176 17654623 20941517 23806758 23871047</v>
          </cell>
        </row>
        <row r="351">
          <cell r="F351" t="str">
            <v>GHF</v>
          </cell>
          <cell r="G351" t="str">
            <v/>
          </cell>
          <cell r="H351" t="str">
            <v/>
          </cell>
          <cell r="I351" t="str">
            <v/>
          </cell>
          <cell r="J351" t="str">
            <v>Angiotensin I-converting enzyme inhibitory peptides derived from bonito bowels autolysate.; What are the ideal properties for functional food peptides with antihypertensive effect? A computational peptidology approach.; Isolation and characterization of peptides with antihypertensive activity in foodstuffs.</v>
          </cell>
          <cell r="K351" t="str">
            <v>10.1271/bbb.57.695; 10.1016/j.foodchem.2013.05.140; 10.1080/10408398.2012.664829</v>
          </cell>
          <cell r="L351" t="str">
            <v>7763772 23871047 24915368</v>
          </cell>
        </row>
        <row r="352">
          <cell r="F352" t="str">
            <v>GHG</v>
          </cell>
          <cell r="G352" t="str">
            <v/>
          </cell>
          <cell r="H352" t="str">
            <v/>
          </cell>
          <cell r="I352" t="str">
            <v/>
          </cell>
          <cell r="J352" t="str">
            <v>What are the ideal properties for functional food peptides with antihypertensive effect? A computational peptidology approach.</v>
          </cell>
          <cell r="K352" t="str">
            <v>10.1016/j.foodchem.2013.05.140</v>
          </cell>
          <cell r="L352" t="str">
            <v>23871047</v>
          </cell>
        </row>
        <row r="353">
          <cell r="F353" t="str">
            <v>GHKIATFQER</v>
          </cell>
          <cell r="G353" t="str">
            <v/>
          </cell>
          <cell r="H353" t="str">
            <v/>
          </cell>
          <cell r="I353" t="str">
            <v/>
          </cell>
          <cell r="J353" t="str">
            <v>Production of angiotensin-converting enzyme inhibitors from baker's yeast glyceraldehyde-3-phosphate dehydrogenase.; A new QSAR model, for angiotensin I-converting enzyme inhibitory oligopeptides.</v>
          </cell>
          <cell r="K353" t="str">
            <v>10.1248/bpb1978.13.766; 10.1016/j.foodchem.2012.09.092</v>
          </cell>
          <cell r="L353" t="str">
            <v>2098549 23194537</v>
          </cell>
        </row>
        <row r="354">
          <cell r="F354" t="str">
            <v>GHKIATFQQR</v>
          </cell>
          <cell r="G354" t="str">
            <v/>
          </cell>
          <cell r="H354" t="str">
            <v/>
          </cell>
          <cell r="I354" t="str">
            <v/>
          </cell>
          <cell r="J354" t="str">
            <v>A new QSAR model, for angiotensin I-converting enzyme inhibitory oligopeptides.</v>
          </cell>
          <cell r="K354" t="str">
            <v>10.1016/j.foodchem.2012.09.092</v>
          </cell>
          <cell r="L354" t="str">
            <v>23194537</v>
          </cell>
        </row>
        <row r="355">
          <cell r="F355" t="str">
            <v>GHS</v>
          </cell>
          <cell r="G355" t="str">
            <v/>
          </cell>
          <cell r="H355" t="str">
            <v/>
          </cell>
          <cell r="I355" t="str">
            <v/>
          </cell>
          <cell r="J355" t="str">
            <v>Review on the angiotensin-I-converting enzyme (ACE) inhibitor peptides from marine proteins.; Glycinyl-histidinyl-serine (GHS), a novel rapeseed protein-derived peptide has blood pressure-lowering effect in spontaneously hypertensive rats.</v>
          </cell>
          <cell r="K355" t="str">
            <v>10.1007/s12010-012-0024-y; 10.1021/jf400865m</v>
          </cell>
          <cell r="L355" t="str">
            <v>23271625 23919612</v>
          </cell>
        </row>
        <row r="356">
          <cell r="F356" t="str">
            <v>GI</v>
          </cell>
          <cell r="G356" t="str">
            <v/>
          </cell>
          <cell r="H356" t="str">
            <v/>
          </cell>
          <cell r="I356" t="str">
            <v/>
          </cell>
          <cell r="J356" t="str">
            <v>Binding of peptide substrates and inhibitors of angiotensin-converting enzyme. Importance of the COOH-terminal dipeptide sequence.; Angiotensin I-converting enzyme inhibitory activity and insulin secretion stimulative activity of fermented fish sauce.;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356" t="str">
            <v>10.1016/S1389-1723(03)70138-8; 10.1021/jf051263l; 10.1002/psc.892; 10.1007/s00894-010-0862-x; 10.1016/j.jprot.2013.06.023; 10.1016/j.foodchem.2013.05.140</v>
          </cell>
          <cell r="L356" t="str">
            <v>6243277 16233562 16448176 17654623 20941517 23806758 23871047</v>
          </cell>
        </row>
        <row r="357">
          <cell r="F357" t="str">
            <v>GINYWLAHK</v>
          </cell>
          <cell r="G357" t="str">
            <v/>
          </cell>
          <cell r="H357" t="str">
            <v/>
          </cell>
          <cell r="I357" t="str">
            <v/>
          </cell>
          <cell r="J357" t="str">
            <v/>
          </cell>
          <cell r="K357" t="str">
            <v/>
          </cell>
          <cell r="L357" t="str">
            <v/>
          </cell>
        </row>
        <row r="358">
          <cell r="F358" t="str">
            <v>GIPGERGPVGPSG</v>
          </cell>
          <cell r="G358" t="str">
            <v/>
          </cell>
          <cell r="H358" t="str">
            <v/>
          </cell>
          <cell r="I358" t="str">
            <v/>
          </cell>
          <cell r="J358" t="str">
            <v>Angiotensin I-converting enzyme-inhibitory peptides obtained from chicken collagen hydrolysate.</v>
          </cell>
          <cell r="K358" t="str">
            <v>10.1021/jf072669w</v>
          </cell>
          <cell r="L358" t="str">
            <v>18808143</v>
          </cell>
        </row>
        <row r="359">
          <cell r="F359" t="str">
            <v>GK</v>
          </cell>
          <cell r="G359" t="str">
            <v>pea albumin|pea vicilin</v>
          </cell>
          <cell r="H359" t="str">
            <v/>
          </cell>
          <cell r="I359" t="str">
            <v/>
          </cell>
          <cell r="J359"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Assessing the dependence of (51)V A(z) value on the aromatic ring orientation of V(IV)O(2+) pyridine complexes.; Model of the exofacial substrate-binding site and helical folding of the human Glut1 glucose transporter based on scanning mutagenesis.;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359" t="str">
            <v>10.1021/jf051263l; 10.1002/psc.892; 10.1021/ic9001779; 10.1021/bi900521n; 10.1007/s00894-010-0862-x; 10.1016/j.jprot.2013.06.023; 10.1016/j.foodchem.2013.05.140</v>
          </cell>
          <cell r="L359" t="str">
            <v>6243277 16448176 17654623 19449891 19449892 20941517 23806758 23871047</v>
          </cell>
        </row>
        <row r="360">
          <cell r="F360" t="str">
            <v>GKEIIVKAQR</v>
          </cell>
          <cell r="G360" t="str">
            <v/>
          </cell>
          <cell r="H360" t="str">
            <v/>
          </cell>
          <cell r="I360" t="str">
            <v/>
          </cell>
          <cell r="J360" t="str">
            <v>A new QSAR model, for angiotensin I-converting enzyme inhibitory oligopeptides.</v>
          </cell>
          <cell r="K360" t="str">
            <v>10.1016/j.foodchem.2012.09.092</v>
          </cell>
          <cell r="L360" t="str">
            <v>23194537</v>
          </cell>
        </row>
        <row r="361">
          <cell r="F361" t="str">
            <v>GKEKV</v>
          </cell>
          <cell r="G361" t="str">
            <v/>
          </cell>
          <cell r="H361" t="str">
            <v/>
          </cell>
          <cell r="I361" t="str">
            <v/>
          </cell>
          <cell r="J361" t="str">
            <v>Hot topic: Changes in angiotensin-converting enzyme inhibition and concentrations of the tripeptides Val-Pro-Pro and Ile-Pro-Pro during ripening of different Swiss cheese varieties.</v>
          </cell>
          <cell r="K361" t="str">
            <v>10.3168/jds.2008-1531</v>
          </cell>
          <cell r="L361" t="str">
            <v>19233775</v>
          </cell>
        </row>
        <row r="362">
          <cell r="F362" t="str">
            <v>GKEKVNELSKDI</v>
          </cell>
          <cell r="G362" t="str">
            <v/>
          </cell>
          <cell r="H362" t="str">
            <v/>
          </cell>
          <cell r="I362" t="str">
            <v/>
          </cell>
          <cell r="J362" t="str">
            <v>Hot topic: Changes in angiotensin-converting enzyme inhibition and concentrations of the tripeptides Val-Pro-Pro and Ile-Pro-Pro during ripening of different Swiss cheese varieties.</v>
          </cell>
          <cell r="K362" t="str">
            <v>10.3168/jds.2008-1531</v>
          </cell>
          <cell r="L362" t="str">
            <v>19233775</v>
          </cell>
        </row>
        <row r="363">
          <cell r="F363" t="str">
            <v>GKKIATYQER</v>
          </cell>
          <cell r="G363" t="str">
            <v/>
          </cell>
          <cell r="H363" t="str">
            <v/>
          </cell>
          <cell r="I363" t="str">
            <v/>
          </cell>
          <cell r="J363" t="str">
            <v>Production of angiotensin-converting enzyme inhibitors from baker's yeast glyceraldehyde-3-phosphate dehydrogenase.</v>
          </cell>
          <cell r="K363" t="str">
            <v>10.1248/bpb1978.13.766</v>
          </cell>
          <cell r="L363" t="str">
            <v>2098549</v>
          </cell>
        </row>
        <row r="364">
          <cell r="F364" t="str">
            <v>GKKVLQ</v>
          </cell>
          <cell r="G364" t="str">
            <v>porcine hemoglobin</v>
          </cell>
          <cell r="H364" t="str">
            <v/>
          </cell>
          <cell r="I364" t="str">
            <v/>
          </cell>
          <cell r="J364" t="str">
            <v>Antihypertensive effect of angiotensin I-converting enzyme inhibitory peptides derived from hemoglobin.; A new QSAR model, for angiotensin I-converting enzyme inhibitory oligopeptides.</v>
          </cell>
          <cell r="K364" t="str">
            <v>10.1016/0014-2999(96)00146-x; 10.1016/j.foodchem.2012.09.092</v>
          </cell>
          <cell r="L364" t="str">
            <v>8813589 23194537</v>
          </cell>
        </row>
        <row r="365">
          <cell r="F365" t="str">
            <v>GKMVKVVSWY</v>
          </cell>
          <cell r="G365" t="str">
            <v/>
          </cell>
          <cell r="H365" t="str">
            <v/>
          </cell>
          <cell r="I365" t="str">
            <v/>
          </cell>
          <cell r="J365" t="str">
            <v>A new QSAR model, for angiotensin I-converting enzyme inhibitory oligopeptides.</v>
          </cell>
          <cell r="K365" t="str">
            <v>10.1016/j.foodchem.2012.09.092</v>
          </cell>
          <cell r="L365" t="str">
            <v>23194537</v>
          </cell>
        </row>
        <row r="366">
          <cell r="F366" t="str">
            <v>GKP</v>
          </cell>
          <cell r="G366" t="str">
            <v/>
          </cell>
          <cell r="H366" t="str">
            <v/>
          </cell>
          <cell r="I366" t="str">
            <v/>
          </cell>
          <cell r="J366" t="str">
            <v>Structural analysis of new antihypertensive peptides derived from cheese whey protein by proteinase K digestion.; Structural requirements of Angiotensin I-converting enzyme inhibitory peptides: quantitative structure-activity relationship study of di- and tripeptides.; Bioactive peptides in amaranth (Amaranthus hypochondriacus) seed.; Inhibition strength of short peptides derived from an ACE inhibitory peptide.; What are the ideal properties for functional food peptides with antihypertensive effect? A computational peptidology approach.; Isolation and characterization of peptides with antihypertensive activity in foodstuffs.</v>
          </cell>
          <cell r="K366" t="str">
            <v>10.3168/jds.S0022-0302(98)75878-3; 10.1021/jf051263l; 10.1021/jf072911z; 10.1021/jf202902r; 10.1016/j.foodchem.2013.05.140; 10.1080/10408398.2012.664829</v>
          </cell>
          <cell r="L366" t="str">
            <v>9891260 16448176 18211015 21923188 23871047 24915368</v>
          </cell>
        </row>
        <row r="367">
          <cell r="F367" t="str">
            <v>GKV</v>
          </cell>
          <cell r="G367" t="str">
            <v/>
          </cell>
          <cell r="H367" t="str">
            <v/>
          </cell>
          <cell r="I367" t="str">
            <v/>
          </cell>
          <cell r="J367" t="str">
            <v>Structural requirements of Angiotensin I-converting enzyme inhibitory peptides: quantitative structure-activity relationship study of di- and tripeptides.</v>
          </cell>
          <cell r="K367" t="str">
            <v>10.1021/jf051263l</v>
          </cell>
          <cell r="L367" t="str">
            <v>16448176</v>
          </cell>
        </row>
        <row r="368">
          <cell r="F368" t="str">
            <v>GKWG</v>
          </cell>
          <cell r="G368" t="str">
            <v/>
          </cell>
          <cell r="H368" t="str">
            <v/>
          </cell>
          <cell r="I368" t="str">
            <v/>
          </cell>
          <cell r="J368" t="str">
            <v/>
          </cell>
          <cell r="K368" t="str">
            <v/>
          </cell>
          <cell r="L368" t="str">
            <v/>
          </cell>
        </row>
        <row r="369">
          <cell r="F369" t="str">
            <v>GL</v>
          </cell>
          <cell r="G369" t="str">
            <v/>
          </cell>
          <cell r="H369" t="str">
            <v/>
          </cell>
          <cell r="I369" t="str">
            <v/>
          </cell>
          <cell r="J369"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369" t="str">
            <v>10.1021/jf051263l; 10.1002/psc.892; 10.1007/s00894-010-0862-x; 10.1016/j.jprot.2013.06.023; 10.1016/j.foodchem.2013.05.140</v>
          </cell>
          <cell r="L369" t="str">
            <v>6243277 16448176 17654623 20941517 23806758 23871047</v>
          </cell>
        </row>
        <row r="370">
          <cell r="F370" t="str">
            <v>GLDIQK</v>
          </cell>
          <cell r="G370" t="str">
            <v/>
          </cell>
          <cell r="H370" t="str">
            <v/>
          </cell>
          <cell r="I370" t="str">
            <v/>
          </cell>
          <cell r="J370" t="str">
            <v>Quality and acceptability of a set-type yogurt made from camel milk.</v>
          </cell>
          <cell r="K370" t="str">
            <v>10.3168/jds.2008-1408</v>
          </cell>
          <cell r="L370" t="str">
            <v>19233778</v>
          </cell>
        </row>
        <row r="371">
          <cell r="F371" t="str">
            <v>GLFG</v>
          </cell>
          <cell r="G371" t="str">
            <v/>
          </cell>
          <cell r="H371" t="str">
            <v/>
          </cell>
          <cell r="I371" t="str">
            <v/>
          </cell>
          <cell r="J371" t="str">
            <v/>
          </cell>
          <cell r="K371" t="str">
            <v/>
          </cell>
          <cell r="L371" t="str">
            <v/>
          </cell>
        </row>
        <row r="372">
          <cell r="F372" t="str">
            <v>GLG</v>
          </cell>
          <cell r="G372" t="str">
            <v/>
          </cell>
          <cell r="H372" t="str">
            <v/>
          </cell>
          <cell r="I372" t="str">
            <v/>
          </cell>
          <cell r="J372"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372" t="str">
            <v>10.1002/psc.800; 10.1007/s00894-010-0862-x; 10.1016/j.foodchem.2013.05.140</v>
          </cell>
          <cell r="L372" t="str">
            <v>17117396 20941517 23871047</v>
          </cell>
        </row>
        <row r="373">
          <cell r="F373" t="str">
            <v>GLL</v>
          </cell>
          <cell r="G373" t="str">
            <v/>
          </cell>
          <cell r="H373" t="str">
            <v/>
          </cell>
          <cell r="I373" t="str">
            <v/>
          </cell>
          <cell r="J373"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373" t="str">
            <v>10.1002/psc.800; 10.1007/s00894-010-0862-x; 10.1016/j.foodchem.2013.05.140</v>
          </cell>
          <cell r="L373" t="str">
            <v>17117396 20941517 23871047</v>
          </cell>
        </row>
        <row r="374">
          <cell r="F374" t="str">
            <v>GLP</v>
          </cell>
          <cell r="G374" t="str">
            <v/>
          </cell>
          <cell r="H374" t="str">
            <v/>
          </cell>
          <cell r="I374" t="str">
            <v/>
          </cell>
          <cell r="J374" t="str">
            <v>Structure and activity of angiotensin I converting enzyme inhibitory peptides derived from Alaskan pollack skin.</v>
          </cell>
          <cell r="K374" t="str">
            <v>10.5483/bmbrep.2002.35.2.239</v>
          </cell>
          <cell r="L374" t="str">
            <v>12297036</v>
          </cell>
        </row>
        <row r="375">
          <cell r="F375" t="str">
            <v>GLPGSRGERGLPG</v>
          </cell>
          <cell r="G375" t="str">
            <v/>
          </cell>
          <cell r="H375" t="str">
            <v/>
          </cell>
          <cell r="I375" t="str">
            <v/>
          </cell>
          <cell r="J375" t="str">
            <v>Angiotensin I-converting enzyme-inhibitory peptides obtained from chicken collagen hydrolysate.</v>
          </cell>
          <cell r="K375" t="str">
            <v>10.1021/jf072669w</v>
          </cell>
          <cell r="L375" t="str">
            <v>18808143</v>
          </cell>
        </row>
        <row r="376">
          <cell r="F376" t="str">
            <v>GLSDGEWQ</v>
          </cell>
          <cell r="G376" t="str">
            <v/>
          </cell>
          <cell r="H376" t="str">
            <v/>
          </cell>
          <cell r="I376" t="str">
            <v/>
          </cell>
          <cell r="J376" t="str">
            <v>Antihypertensive peptides: production, bioavailability and incorporation into foods.</v>
          </cell>
          <cell r="K376" t="str">
            <v>10.1016/j.cis.2010.11.001</v>
          </cell>
          <cell r="L376" t="str">
            <v>21185549</v>
          </cell>
        </row>
        <row r="377">
          <cell r="F377" t="str">
            <v>GLY</v>
          </cell>
          <cell r="G377" t="str">
            <v/>
          </cell>
          <cell r="H377" t="str">
            <v/>
          </cell>
          <cell r="I377" t="str">
            <v/>
          </cell>
          <cell r="J377" t="str">
            <v>Structural requirements of Angiotensin I-converting enzyme inhibitory peptides: quantitative structure-activity relationship study of di- and tripeptides.; Isolation and characterization of peptides with antihypertensive activity in foodstuffs.</v>
          </cell>
          <cell r="K377" t="str">
            <v>10.1021/jf051263l; 10.1080/10408398.2012.664829</v>
          </cell>
          <cell r="L377" t="str">
            <v>16448176 24915368</v>
          </cell>
        </row>
        <row r="378">
          <cell r="F378" t="str">
            <v>GM</v>
          </cell>
          <cell r="G378" t="str">
            <v/>
          </cell>
          <cell r="H378" t="str">
            <v/>
          </cell>
          <cell r="I378" t="str">
            <v/>
          </cell>
          <cell r="J378"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v>
          </cell>
          <cell r="K378" t="str">
            <v>10.1021/jf051263l; 10.1002/psc.892; 10.1007/s00894-010-0862-x; 10.1016/j.jprot.2013.06.023</v>
          </cell>
          <cell r="L378" t="str">
            <v>6243277 16448176 17654623 20941517 23806758</v>
          </cell>
        </row>
        <row r="379">
          <cell r="F379" t="str">
            <v>GMGA</v>
          </cell>
          <cell r="G379" t="str">
            <v/>
          </cell>
          <cell r="H379" t="str">
            <v/>
          </cell>
          <cell r="I379" t="str">
            <v/>
          </cell>
          <cell r="J379" t="str">
            <v/>
          </cell>
          <cell r="K379" t="str">
            <v/>
          </cell>
          <cell r="L379" t="str">
            <v/>
          </cell>
        </row>
        <row r="380">
          <cell r="F380" t="str">
            <v>GP</v>
          </cell>
          <cell r="G380" t="str">
            <v>pea albumin</v>
          </cell>
          <cell r="H380" t="str">
            <v/>
          </cell>
          <cell r="I380" t="str">
            <v/>
          </cell>
          <cell r="J380" t="str">
            <v>Structure and activity of angiotensin I converting enzyme inhibitory peptides derived from Alaskan pollack skin.; Angiotensin I-converting enzyme inhibitory activity and insulin secretion stimulative activity of fermented fish sauce.;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Assessing the dependence of (51)V A(z) value on the aromatic ring orientation of V(IV)O(2+) pyridine complexes.; QSAR study on angiotensin-converting enzyme inhibitor oligopeptides based on a novel set of sequence information descriptors.; What are the ideal properties for functional food peptides with antihypertensive effect? A computational peptidology approach.</v>
          </cell>
          <cell r="K380" t="str">
            <v>10.5483/bmbrep.2002.35.2.239; 10.1016/S1389-1723(03)70138-8; 10.1021/jf051263l; 10.1002/psc.800; 10.1002/psc.892; 10.1021/ic9001779; 10.1007/s00894-010-0862-x; 10.1016/j.foodchem.2013.05.140</v>
          </cell>
          <cell r="L380" t="str">
            <v>12297036 16233562 16448176 17117396 17654623 19449891 20941517 23871047</v>
          </cell>
        </row>
        <row r="381">
          <cell r="F381" t="str">
            <v>GPA</v>
          </cell>
          <cell r="G381" t="str">
            <v/>
          </cell>
          <cell r="H381" t="str">
            <v/>
          </cell>
          <cell r="I381" t="str">
            <v/>
          </cell>
          <cell r="J381" t="str">
            <v>Peptide inhibitors of angiotensin I-converting enzyme in digests of gelatin by bacterial collagenase.; What are the ideal properties for functional food peptides with antihypertensive effect? A computational peptidology approach.</v>
          </cell>
          <cell r="K381" t="str">
            <v>10.1016/0005-2744(79)90255-9; 10.1016/j.foodchem.2013.05.140</v>
          </cell>
          <cell r="L381" t="str">
            <v>215231 23871047</v>
          </cell>
        </row>
        <row r="382">
          <cell r="F382" t="str">
            <v>GPAGAP</v>
          </cell>
          <cell r="G382" t="str">
            <v/>
          </cell>
          <cell r="H382" t="str">
            <v/>
          </cell>
          <cell r="I382" t="str">
            <v/>
          </cell>
          <cell r="J382" t="str">
            <v>Peptide inhibitors of angiotensin I-converting enzyme in digests of gelatin by bacterial collagenase.</v>
          </cell>
          <cell r="K382" t="str">
            <v>10.1016/0005-2744(79)90255-9</v>
          </cell>
          <cell r="L382" t="str">
            <v>215231</v>
          </cell>
        </row>
        <row r="383">
          <cell r="F383" t="str">
            <v>GPAGAPGAA</v>
          </cell>
          <cell r="G383" t="str">
            <v/>
          </cell>
          <cell r="H383" t="str">
            <v/>
          </cell>
          <cell r="I383" t="str">
            <v/>
          </cell>
          <cell r="J383" t="str">
            <v>Peptide inhibitors of angiotensin I-converting enzyme in digests of gelatin by bacterial collagenase.; QSAR study on angiotensin-converting enzyme inhibitor oligopeptides based on a novel set of sequence information descriptors.</v>
          </cell>
          <cell r="K383" t="str">
            <v>10.1016/0005-2744(79)90255-9; 10.1007/s00894-010-0862-x</v>
          </cell>
          <cell r="L383" t="str">
            <v>215231 20941517</v>
          </cell>
        </row>
        <row r="384">
          <cell r="F384" t="str">
            <v>GPAM</v>
          </cell>
          <cell r="G384" t="str">
            <v/>
          </cell>
          <cell r="H384" t="str">
            <v/>
          </cell>
          <cell r="I384" t="str">
            <v/>
          </cell>
          <cell r="J384" t="str">
            <v/>
          </cell>
          <cell r="K384" t="str">
            <v/>
          </cell>
          <cell r="L384" t="str">
            <v/>
          </cell>
        </row>
        <row r="385">
          <cell r="F385" t="str">
            <v>GPCSR</v>
          </cell>
          <cell r="G385" t="str">
            <v/>
          </cell>
          <cell r="H385" t="str">
            <v/>
          </cell>
          <cell r="I385" t="str">
            <v/>
          </cell>
          <cell r="J385" t="str">
            <v>Novel angiotensin I-converting enzyme inhibitory peptides derived from an edible mushroom, Pleurotus cystidiosus O.K. Miller identified by LC-MS/MS.</v>
          </cell>
          <cell r="K385" t="str">
            <v>10.1186/1472-6882-13-313</v>
          </cell>
          <cell r="L385" t="str">
            <v>24215325</v>
          </cell>
        </row>
        <row r="386">
          <cell r="F386" t="str">
            <v>GPFPIIV</v>
          </cell>
          <cell r="G386" t="str">
            <v/>
          </cell>
          <cell r="H386" t="str">
            <v/>
          </cell>
          <cell r="I386" t="str">
            <v/>
          </cell>
          <cell r="J386" t="str">
            <v>Putting microbes to work: dairy fermentation, cell factories and bioactive peptides. Part I: overview.</v>
          </cell>
          <cell r="K386" t="str">
            <v>10.1002/biot.200600246</v>
          </cell>
          <cell r="L386" t="str">
            <v>17407210</v>
          </cell>
        </row>
        <row r="387">
          <cell r="F387" t="str">
            <v>GPG</v>
          </cell>
          <cell r="G387" t="str">
            <v/>
          </cell>
          <cell r="H387" t="str">
            <v/>
          </cell>
          <cell r="I387" t="str">
            <v/>
          </cell>
          <cell r="J387"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387" t="str">
            <v>10.1002/psc.800; 10.1007/s00894-010-0862-x; 10.1016/j.foodchem.2013.05.140</v>
          </cell>
          <cell r="L387" t="str">
            <v>17117396 20941517 23871047</v>
          </cell>
        </row>
        <row r="388">
          <cell r="F388" t="str">
            <v>GPIGPP</v>
          </cell>
          <cell r="G388" t="str">
            <v/>
          </cell>
          <cell r="H388" t="str">
            <v/>
          </cell>
          <cell r="I388" t="str">
            <v/>
          </cell>
          <cell r="J388" t="str">
            <v>Peptide inhibitors of angiotensin I-converting enzyme in digests of gelatin by bacterial collagenase.</v>
          </cell>
          <cell r="K388" t="str">
            <v>10.1016/0005-2744(79)90255-9</v>
          </cell>
          <cell r="L388" t="str">
            <v>215231</v>
          </cell>
        </row>
        <row r="389">
          <cell r="F389" t="str">
            <v>GPIGSVGAP</v>
          </cell>
          <cell r="G389" t="str">
            <v/>
          </cell>
          <cell r="H389" t="str">
            <v/>
          </cell>
          <cell r="I389" t="str">
            <v/>
          </cell>
          <cell r="J389" t="str">
            <v>Peptide inhibitors of angiotensin I-converting enzyme in digests of gelatin by bacterial collagenase.</v>
          </cell>
          <cell r="K389" t="str">
            <v>10.1016/0005-2744(79)90255-9</v>
          </cell>
          <cell r="L389" t="str">
            <v>215231</v>
          </cell>
        </row>
        <row r="390">
          <cell r="F390" t="str">
            <v>GPL</v>
          </cell>
          <cell r="G390" t="str">
            <v/>
          </cell>
          <cell r="H390" t="str">
            <v/>
          </cell>
          <cell r="I390" t="str">
            <v/>
          </cell>
          <cell r="J390" t="str">
            <v>Structure and activity of angiotensin I converting enzyme inhibitory peptides derived from Alaskan pollack skin.; Structural requirements of Angiotensin I-converting enzyme inhibitory peptides: quantitative structure-activity relationship study of di- and tripeptides.; Review on the angiotensin-I-converting enzyme (ACE) inhibitor peptides from marine proteins.; Rational design of angiotensin-I-converting enzyme inhibitory peptides by integrating in silico modeling and an in vitro assay.; What are the ideal properties for functional food peptides with antihypertensive effect? A computational peptidology approach.; Glycinyl-histidinyl-serine (GHS), a novel rapeseed protein-derived peptide has blood pressure-lowering effect in spontaneously hypertensive rats.</v>
          </cell>
          <cell r="K390" t="str">
            <v>10.5483/bmbrep.2002.35.2.239; 10.1021/jf051263l; 10.1007/s12010-012-0024-y; 10.1002/cmdc.201300132; 10.1016/j.foodchem.2013.05.140; 10.1021/jf400865m</v>
          </cell>
          <cell r="L390" t="str">
            <v>12297036 16448176 23271625 23740817 23871047 23919612</v>
          </cell>
        </row>
        <row r="391">
          <cell r="F391" t="str">
            <v>GPLGLLGFLGPLGLS</v>
          </cell>
          <cell r="G391" t="str">
            <v/>
          </cell>
          <cell r="H391" t="str">
            <v/>
          </cell>
          <cell r="I391" t="str">
            <v/>
          </cell>
          <cell r="J391" t="str">
            <v>A new QSAR model, for angiotensin I-converting enzyme inhibitory oligopeptides.; Review on the angiotensin-I-converting enzyme (ACE) inhibitor peptides from marine proteins.</v>
          </cell>
          <cell r="K391" t="str">
            <v>10.1016/j.foodchem.2012.09.092; 10.1007/s12010-012-0024-y</v>
          </cell>
          <cell r="L391" t="str">
            <v>23194537 23271625</v>
          </cell>
        </row>
        <row r="392">
          <cell r="F392" t="str">
            <v>GPM</v>
          </cell>
          <cell r="G392" t="str">
            <v/>
          </cell>
          <cell r="H392" t="str">
            <v/>
          </cell>
          <cell r="I392" t="str">
            <v/>
          </cell>
          <cell r="J392" t="str">
            <v>Structural requirements of Angiotensin I-converting enzyme inhibitory peptides: quantitative structure-activity relationship study of di- and tripeptides.; Review on the angiotensin-I-converting enzyme (ACE) inhibitor peptides from marine proteins.; What are the ideal properties for functional food peptides with antihypertensive effect? A computational peptidology approach.; Glycinyl-histidinyl-serine (GHS), a novel rapeseed protein-derived peptide has blood pressure-lowering effect in spontaneously hypertensive rats.; Isolation and characterization of peptides with antihypertensive activity in foodstuffs.</v>
          </cell>
          <cell r="K392" t="str">
            <v>10.1021/jf051263l; 10.1007/s12010-012-0024-y; 10.1016/j.foodchem.2013.05.140; 10.1021/jf400865m; 10.1080/10408398.2012.664829</v>
          </cell>
          <cell r="L392" t="str">
            <v>16448176 23271625 23871047 23919612 24915368</v>
          </cell>
        </row>
        <row r="393">
          <cell r="F393" t="str">
            <v>GPP</v>
          </cell>
          <cell r="G393" t="str">
            <v>buckwheat</v>
          </cell>
          <cell r="H393" t="str">
            <v/>
          </cell>
          <cell r="I393" t="str">
            <v/>
          </cell>
          <cell r="J393" t="str">
            <v>Structural requirements of Angiotensin I-converting enzyme inhibitory peptides: quantitative structure-activity relationship study of di- and tripeptides.; Angiotensin converting enzyme inhibitory peptides derived from food proteins: biochemistry, bioactivity and production.; Sex pheromone of the longtailed mealybug: a new class of monoterpene structure.; Vegetable foods: a cheap source of proteins and peptides with antihypertensive, antioxidant, and other less occurrence bioactivities.</v>
          </cell>
          <cell r="K393" t="str">
            <v>10.1021/jf051263l; 10.2174/138161207780363068; 10.1021/ol802164v; 10.1016/j.talanta.2012.12.041</v>
          </cell>
          <cell r="L393" t="str">
            <v>16448176 17430180 19449888 23598136</v>
          </cell>
        </row>
        <row r="394">
          <cell r="F394" t="str">
            <v>GPPGAP</v>
          </cell>
          <cell r="G394" t="str">
            <v/>
          </cell>
          <cell r="H394" t="str">
            <v/>
          </cell>
          <cell r="I394" t="str">
            <v/>
          </cell>
          <cell r="J394" t="str">
            <v>Peptide inhibitors of angiotensin I-converting enzyme in digests of gelatin by bacterial collagenase.</v>
          </cell>
          <cell r="K394" t="str">
            <v>10.1016/0005-2744(79)90255-9</v>
          </cell>
          <cell r="L394" t="str">
            <v>215231</v>
          </cell>
        </row>
        <row r="395">
          <cell r="F395" t="str">
            <v>GPPGPP</v>
          </cell>
          <cell r="G395" t="str">
            <v/>
          </cell>
          <cell r="H395" t="str">
            <v/>
          </cell>
          <cell r="I395" t="str">
            <v/>
          </cell>
          <cell r="J395" t="str">
            <v>Peptide inhibitors of angiotensin I-converting enzyme in digests of gelatin by bacterial collagenase.</v>
          </cell>
          <cell r="K395" t="str">
            <v>10.1016/0005-2744(79)90255-9</v>
          </cell>
          <cell r="L395" t="str">
            <v>215231</v>
          </cell>
        </row>
        <row r="396">
          <cell r="F396" t="str">
            <v>GPPGTDGAP</v>
          </cell>
          <cell r="G396" t="str">
            <v/>
          </cell>
          <cell r="H396" t="str">
            <v/>
          </cell>
          <cell r="I396" t="str">
            <v/>
          </cell>
          <cell r="J396" t="str">
            <v>Peptide inhibitors of angiotensin I-converting enzyme in digests of gelatin by bacterial collagenase.</v>
          </cell>
          <cell r="K396" t="str">
            <v>10.1016/0005-2744(79)90255-9</v>
          </cell>
          <cell r="L396" t="str">
            <v>215231</v>
          </cell>
        </row>
        <row r="397">
          <cell r="F397" t="str">
            <v>GPPP</v>
          </cell>
          <cell r="G397" t="str">
            <v/>
          </cell>
          <cell r="H397" t="str">
            <v/>
          </cell>
          <cell r="I397" t="str">
            <v/>
          </cell>
          <cell r="J397" t="str">
            <v/>
          </cell>
          <cell r="K397" t="str">
            <v/>
          </cell>
          <cell r="L397" t="str">
            <v/>
          </cell>
        </row>
        <row r="398">
          <cell r="F398" t="str">
            <v>GPR</v>
          </cell>
          <cell r="G398" t="str">
            <v/>
          </cell>
          <cell r="H398" t="str">
            <v/>
          </cell>
          <cell r="I398" t="str">
            <v/>
          </cell>
          <cell r="J398" t="str">
            <v>Isolation and characterization of peptides with antihypertensive activity in foodstuffs.</v>
          </cell>
          <cell r="K398" t="str">
            <v>10.1080/10408398.2012.664829</v>
          </cell>
          <cell r="L398" t="str">
            <v>24915368</v>
          </cell>
        </row>
        <row r="399">
          <cell r="F399" t="str">
            <v>GPSMR</v>
          </cell>
          <cell r="G399" t="str">
            <v/>
          </cell>
          <cell r="H399" t="str">
            <v/>
          </cell>
          <cell r="I399" t="str">
            <v/>
          </cell>
          <cell r="J399" t="str">
            <v>Novel angiotensin I-converting enzyme inhibitory peptides derived from an edible mushroom, Pleurotus cystidiosus O.K. Miller identified by LC-MS/MS.</v>
          </cell>
          <cell r="K399" t="str">
            <v>10.1186/1472-6882-13-313</v>
          </cell>
          <cell r="L399" t="str">
            <v>24215325</v>
          </cell>
        </row>
        <row r="400">
          <cell r="F400" t="str">
            <v>GPV</v>
          </cell>
          <cell r="G400" t="str">
            <v/>
          </cell>
          <cell r="H400" t="str">
            <v/>
          </cell>
          <cell r="I400" t="str">
            <v/>
          </cell>
          <cell r="J400" t="str">
            <v>Structural requirements of Angiotensin I-converting enzyme inhibitory peptides: quantitative structure-activity relationship study of di- and tripeptides.</v>
          </cell>
          <cell r="K400" t="str">
            <v>10.1021/jf051263l</v>
          </cell>
          <cell r="L400" t="str">
            <v>16448176</v>
          </cell>
        </row>
        <row r="401">
          <cell r="F401" t="str">
            <v>GPVGPA</v>
          </cell>
          <cell r="G401" t="str">
            <v/>
          </cell>
          <cell r="H401" t="str">
            <v/>
          </cell>
          <cell r="I401" t="str">
            <v/>
          </cell>
          <cell r="J401" t="str">
            <v>Peptide inhibitors of angiotensin I-converting enzyme in digests of gelatin by bacterial collagenase.</v>
          </cell>
          <cell r="K401" t="str">
            <v>10.1016/0005-2744(79)90255-9</v>
          </cell>
          <cell r="L401" t="str">
            <v>215231</v>
          </cell>
        </row>
        <row r="402">
          <cell r="F402" t="str">
            <v>GPVRGPF</v>
          </cell>
          <cell r="G402" t="str">
            <v/>
          </cell>
          <cell r="H402" t="str">
            <v/>
          </cell>
          <cell r="I402" t="str">
            <v/>
          </cell>
          <cell r="J402" t="str">
            <v/>
          </cell>
          <cell r="K402" t="str">
            <v/>
          </cell>
          <cell r="L402" t="str">
            <v/>
          </cell>
        </row>
        <row r="403">
          <cell r="F403" t="str">
            <v>GPVRGPFP</v>
          </cell>
          <cell r="G403" t="str">
            <v/>
          </cell>
          <cell r="H403" t="str">
            <v/>
          </cell>
          <cell r="I403" t="str">
            <v/>
          </cell>
          <cell r="J403" t="str">
            <v/>
          </cell>
          <cell r="K403" t="str">
            <v/>
          </cell>
          <cell r="L403" t="str">
            <v/>
          </cell>
        </row>
        <row r="404">
          <cell r="F404" t="str">
            <v>GPVRGPFPII</v>
          </cell>
          <cell r="G404" t="str">
            <v/>
          </cell>
          <cell r="H404" t="str">
            <v/>
          </cell>
          <cell r="I404" t="str">
            <v/>
          </cell>
          <cell r="J404" t="str">
            <v>Angiotensin converting enzyme inhibitory activity in commercial fermented products. Formation of peptides under simulated gastrointestinal digestion.</v>
          </cell>
          <cell r="K404" t="str">
            <v>10.1021/jf034997b</v>
          </cell>
          <cell r="L404" t="str">
            <v>15030202</v>
          </cell>
        </row>
        <row r="405">
          <cell r="F405" t="str">
            <v>GPVRGPFPIIV</v>
          </cell>
          <cell r="G405" t="str">
            <v/>
          </cell>
          <cell r="H405" t="str">
            <v/>
          </cell>
          <cell r="I405" t="str">
            <v/>
          </cell>
          <cell r="J405" t="str">
            <v/>
          </cell>
          <cell r="K405" t="str">
            <v/>
          </cell>
          <cell r="L405" t="str">
            <v/>
          </cell>
        </row>
        <row r="406">
          <cell r="F406" t="str">
            <v>GQ</v>
          </cell>
          <cell r="G406" t="str">
            <v/>
          </cell>
          <cell r="H406" t="str">
            <v/>
          </cell>
          <cell r="I406" t="str">
            <v/>
          </cell>
          <cell r="J406"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406" t="str">
            <v>10.1021/jf051263l; 10.1002/psc.892; 10.1007/s00894-010-0862-x; 10.1016/j.jprot.2013.06.023; 10.1016/j.foodchem.2013.05.140</v>
          </cell>
          <cell r="L406" t="str">
            <v>6243277 16448176 17654623 20941517 23806758 23871047</v>
          </cell>
        </row>
        <row r="407">
          <cell r="F407" t="str">
            <v>GQMRQPI</v>
          </cell>
          <cell r="G407" t="str">
            <v/>
          </cell>
          <cell r="H407" t="str">
            <v/>
          </cell>
          <cell r="I407" t="str">
            <v/>
          </cell>
          <cell r="J407" t="str">
            <v/>
          </cell>
          <cell r="K407" t="str">
            <v/>
          </cell>
          <cell r="L407" t="str">
            <v/>
          </cell>
        </row>
        <row r="408">
          <cell r="F408" t="str">
            <v>GQP</v>
          </cell>
          <cell r="G408" t="str">
            <v/>
          </cell>
          <cell r="H408" t="str">
            <v/>
          </cell>
          <cell r="I408" t="str">
            <v/>
          </cell>
          <cell r="J408" t="str">
            <v>Structural requirements of Angiotensin I-converting enzyme inhibitory peptides: quantitative structure-activity relationship study of di- and tripeptides.</v>
          </cell>
          <cell r="K408" t="str">
            <v>10.1021/jf051263l</v>
          </cell>
          <cell r="L408" t="str">
            <v>16448176</v>
          </cell>
        </row>
        <row r="409">
          <cell r="F409" t="str">
            <v>GQY</v>
          </cell>
          <cell r="G409" t="str">
            <v/>
          </cell>
          <cell r="H409" t="str">
            <v/>
          </cell>
          <cell r="I409" t="str">
            <v/>
          </cell>
          <cell r="J409" t="str">
            <v/>
          </cell>
          <cell r="K409" t="str">
            <v/>
          </cell>
          <cell r="L409" t="str">
            <v/>
          </cell>
        </row>
        <row r="410">
          <cell r="F410" t="str">
            <v>GR</v>
          </cell>
          <cell r="G410" t="str">
            <v/>
          </cell>
          <cell r="H410" t="str">
            <v/>
          </cell>
          <cell r="I410" t="str">
            <v/>
          </cell>
          <cell r="J410"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410" t="str">
            <v>10.1021/jf051263l; 10.1002/psc.800; 10.1002/psc.892; 10.1007/s00894-010-0862-x; 10.1016/j.jprot.2013.06.023; 10.1016/j.foodchem.2013.05.140</v>
          </cell>
          <cell r="L410" t="str">
            <v>6243277 16448176 17117396 17654623 20941517 23806758 23871047</v>
          </cell>
        </row>
        <row r="411">
          <cell r="F411" t="str">
            <v>GRC</v>
          </cell>
          <cell r="G411" t="str">
            <v/>
          </cell>
          <cell r="H411" t="str">
            <v/>
          </cell>
          <cell r="I411" t="str">
            <v/>
          </cell>
          <cell r="J411" t="str">
            <v/>
          </cell>
          <cell r="K411" t="str">
            <v/>
          </cell>
          <cell r="L411" t="str">
            <v/>
          </cell>
        </row>
        <row r="412">
          <cell r="F412" t="str">
            <v>GRP</v>
          </cell>
          <cell r="G412" t="str">
            <v/>
          </cell>
          <cell r="H412" t="str">
            <v/>
          </cell>
          <cell r="I412" t="str">
            <v/>
          </cell>
          <cell r="J412" t="str">
            <v>Angiotensin I-converting enzyme inhibitory peptides in an alkaline protease hydrolyzate derived from sardine muscle.;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Bioactive peptides in amaranth (Amaranthus hypochondriacus) seed.; QSAR study on angiotensin-converting enzyme inhibitor oligopeptides based on a novel set of sequence information descriptors.; Review on the angiotensin-I-converting enzyme (ACE) inhibitor peptides from marine proteins.; Rational design of angiotensin-I-converting enzyme inhibitory peptides by integrating in silico modeling and an in vitro assay.;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412" t="str">
            <v>10.1271/bbb.58.2244; 10.1021/jf051263l; 10.1002/psc.800; 10.1021/jf072911z; 10.1007/s00894-010-0862-x; 10.1007/s12010-012-0024-y; 10.1002/cmdc.201300132; 10.1016/j.jprot.2013.06.023; 10.1016/j.foodchem.2013.05.140</v>
          </cell>
          <cell r="L412" t="str">
            <v>7765718 16448176 17117396 18211015 20941517 23271625 23740817 23806758 23871047</v>
          </cell>
        </row>
        <row r="413">
          <cell r="F413" t="str">
            <v>GRVMP</v>
          </cell>
          <cell r="G413" t="str">
            <v/>
          </cell>
          <cell r="H413" t="str">
            <v/>
          </cell>
          <cell r="I413" t="str">
            <v/>
          </cell>
          <cell r="J413" t="str">
            <v>Inhibition of angiotensin-converting enzyme by synthetic peptide fragments of various beta-caseins.</v>
          </cell>
          <cell r="K413" t="str">
            <v/>
          </cell>
          <cell r="L413" t="str">
            <v>1368548</v>
          </cell>
        </row>
        <row r="414">
          <cell r="F414" t="str">
            <v>GRY</v>
          </cell>
          <cell r="G414" t="str">
            <v/>
          </cell>
          <cell r="H414" t="str">
            <v/>
          </cell>
          <cell r="I414" t="str">
            <v/>
          </cell>
          <cell r="J414" t="str">
            <v/>
          </cell>
          <cell r="K414" t="str">
            <v/>
          </cell>
          <cell r="L414" t="str">
            <v/>
          </cell>
        </row>
        <row r="415">
          <cell r="F415" t="str">
            <v>GS</v>
          </cell>
          <cell r="G415" t="str">
            <v>pea albumin</v>
          </cell>
          <cell r="H415" t="str">
            <v/>
          </cell>
          <cell r="I415" t="str">
            <v/>
          </cell>
          <cell r="J415"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Assessing the dependence of (51)V A(z) value on the aromatic ring orientation of V(IV)O(2+) pyridine complexes.;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415" t="str">
            <v>10.1021/jf051263l; 10.1021/ic9001779; 10.1007/s00894-010-0862-x; 10.1016/j.jprot.2013.06.023; 10.1016/j.foodchem.2013.05.140</v>
          </cell>
          <cell r="L415" t="str">
            <v>6243277 16448176 19449891 20941517 23806758 23871047</v>
          </cell>
        </row>
        <row r="416">
          <cell r="F416" t="str">
            <v>GSH</v>
          </cell>
          <cell r="G416" t="str">
            <v/>
          </cell>
          <cell r="H416" t="str">
            <v/>
          </cell>
          <cell r="I416" t="str">
            <v/>
          </cell>
          <cell r="J416" t="str">
            <v>Structural requirements of Angiotensin I-converting enzyme inhibitory peptides: quantitative structure-activity relationship study of di- and tripeptides.</v>
          </cell>
          <cell r="K416" t="str">
            <v>10.1021/jf051263l</v>
          </cell>
          <cell r="L416" t="str">
            <v>16448176</v>
          </cell>
        </row>
        <row r="417">
          <cell r="F417" t="str">
            <v>GT</v>
          </cell>
          <cell r="G417" t="str">
            <v/>
          </cell>
          <cell r="H417" t="str">
            <v/>
          </cell>
          <cell r="I417" t="str">
            <v/>
          </cell>
          <cell r="J417"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v>
          </cell>
          <cell r="K417" t="str">
            <v>10.1021/jf051263l; 10.1002/psc.892; 10.1007/s00894-010-0862-x; 10.1016/j.jprot.2013.06.023</v>
          </cell>
          <cell r="L417" t="str">
            <v>6243277 16448176 17654623 20941517 23806758</v>
          </cell>
        </row>
        <row r="418">
          <cell r="F418" t="str">
            <v>GTEKC</v>
          </cell>
          <cell r="G418" t="str">
            <v/>
          </cell>
          <cell r="H418" t="str">
            <v/>
          </cell>
          <cell r="I418" t="str">
            <v/>
          </cell>
          <cell r="J418" t="str">
            <v>Novel angiotensin I-converting enzyme inhibitory peptides derived from an edible mushroom, Pleurotus cystidiosus O.K. Miller identified by LC-MS/MS.</v>
          </cell>
          <cell r="K418" t="str">
            <v>10.1186/1472-6882-13-313</v>
          </cell>
          <cell r="L418" t="str">
            <v>24215325</v>
          </cell>
        </row>
        <row r="419">
          <cell r="F419" t="str">
            <v>GTG</v>
          </cell>
          <cell r="G419" t="str">
            <v/>
          </cell>
          <cell r="H419" t="str">
            <v/>
          </cell>
          <cell r="I419" t="str">
            <v/>
          </cell>
          <cell r="J419" t="str">
            <v>Review on the angiotensin-I-converting enzyme (ACE) inhibitor peptides from marine proteins.; Glycinyl-histidinyl-serine (GHS), a novel rapeseed protein-derived peptide has blood pressure-lowering effect in spontaneously hypertensive rats.; Isolation and characterization of peptides with antihypertensive activity in foodstuffs.</v>
          </cell>
          <cell r="K419" t="str">
            <v>10.1007/s12010-012-0024-y; 10.1021/jf400865m; 10.1080/10408398.2012.664829</v>
          </cell>
          <cell r="L419" t="str">
            <v>23271625 23919612 24915368</v>
          </cell>
        </row>
        <row r="420">
          <cell r="F420" t="str">
            <v>GTW</v>
          </cell>
          <cell r="G420" t="str">
            <v/>
          </cell>
          <cell r="H420" t="str">
            <v/>
          </cell>
          <cell r="I420" t="str">
            <v/>
          </cell>
          <cell r="J420" t="str">
            <v>Antihypertensive peptides from food proteins: a review.; What are the ideal properties for functional food peptides with antihypertensive effect? A computational peptidology approach.</v>
          </cell>
          <cell r="K420" t="str">
            <v>10.1039/c2fo10192k; 10.1016/j.foodchem.2013.05.140</v>
          </cell>
          <cell r="L420" t="str">
            <v>22249830 23871047</v>
          </cell>
        </row>
        <row r="421">
          <cell r="F421" t="str">
            <v>GV</v>
          </cell>
          <cell r="G421" t="str">
            <v/>
          </cell>
          <cell r="H421" t="str">
            <v/>
          </cell>
          <cell r="I421" t="str">
            <v/>
          </cell>
          <cell r="J421" t="str">
            <v>Binding of peptide substrates and inhibitors of angiotensin-converting enzyme. Importance of the COOH-terminal dipeptide sequence.; Angiotensin I-converting enzyme inhibitory activity and insulin secretion stimulative activity of fermented fish sauce.;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421" t="str">
            <v>10.1016/S1389-1723(03)70138-8; 10.1021/jf051263l; 10.1002/psc.800; 10.1002/psc.892; 10.1007/s00894-010-0862-x; 10.1016/j.jprot.2013.06.023; 10.1016/j.foodchem.2013.05.140</v>
          </cell>
          <cell r="L421" t="str">
            <v>6243277 16233562 16448176 17117396 17654623 20941517 23806758 23871047</v>
          </cell>
        </row>
        <row r="422">
          <cell r="F422" t="str">
            <v>GVGAGY</v>
          </cell>
          <cell r="G422" t="str">
            <v/>
          </cell>
          <cell r="H422" t="str">
            <v/>
          </cell>
          <cell r="I422" t="str">
            <v/>
          </cell>
          <cell r="J422" t="str">
            <v>A new QSAR model, for angiotensin I-converting enzyme inhibitory oligopeptides.</v>
          </cell>
          <cell r="K422" t="str">
            <v>10.1016/j.foodchem.2012.09.092</v>
          </cell>
          <cell r="L422" t="str">
            <v>23194537</v>
          </cell>
        </row>
        <row r="423">
          <cell r="F423" t="str">
            <v>GVGY</v>
          </cell>
          <cell r="G423" t="str">
            <v/>
          </cell>
          <cell r="H423" t="str">
            <v/>
          </cell>
          <cell r="I423" t="str">
            <v/>
          </cell>
          <cell r="J423" t="str">
            <v>What are the ideal properties for functional food peptides with antihypertensive effect? A computational peptidology approach.</v>
          </cell>
          <cell r="K423" t="str">
            <v>10.1016/j.foodchem.2013.05.140</v>
          </cell>
          <cell r="L423" t="str">
            <v>23871047</v>
          </cell>
        </row>
        <row r="424">
          <cell r="F424" t="str">
            <v>GVHGV</v>
          </cell>
          <cell r="G424" t="str">
            <v/>
          </cell>
          <cell r="H424" t="str">
            <v/>
          </cell>
          <cell r="I424" t="str">
            <v/>
          </cell>
          <cell r="J424" t="str">
            <v>Angiotensin converting enzyme inhibitory peptides derived from food proteins: biochemistry, bioactivity and production.; A new QSAR model, for angiotensin I-converting enzyme inhibitory oligopeptides.</v>
          </cell>
          <cell r="K424" t="str">
            <v>10.2174/138161207780363068; 10.1016/j.foodchem.2012.09.092</v>
          </cell>
          <cell r="L424" t="str">
            <v>17430180 23194537</v>
          </cell>
        </row>
        <row r="425">
          <cell r="F425" t="str">
            <v>GVHHA</v>
          </cell>
          <cell r="G425" t="str">
            <v/>
          </cell>
          <cell r="H425" t="str">
            <v/>
          </cell>
          <cell r="I425" t="str">
            <v/>
          </cell>
          <cell r="J425" t="str">
            <v>Analysis of novel angiotensin I-converting enzyme inhibitory peptides from enzymatic hydrolysates of cuttlefish (Sepia officinalis) muscle proteins.</v>
          </cell>
          <cell r="K425" t="str">
            <v>10.1021/jf904300q</v>
          </cell>
          <cell r="L425" t="str">
            <v>20180574</v>
          </cell>
        </row>
        <row r="426">
          <cell r="F426" t="str">
            <v>GVNGEEGVPG</v>
          </cell>
          <cell r="G426" t="str">
            <v/>
          </cell>
          <cell r="H426" t="str">
            <v/>
          </cell>
          <cell r="I426" t="str">
            <v/>
          </cell>
          <cell r="J426" t="str">
            <v>Angiotensin I-converting enzyme inhibitory peptides in a hydrolyzed chicken breast muscle extract.</v>
          </cell>
          <cell r="K426" t="str">
            <v>10.1021/jf020604h</v>
          </cell>
          <cell r="L426" t="str">
            <v>12617616</v>
          </cell>
        </row>
        <row r="427">
          <cell r="F427" t="str">
            <v>GVPK</v>
          </cell>
          <cell r="G427" t="str">
            <v/>
          </cell>
          <cell r="H427" t="str">
            <v/>
          </cell>
          <cell r="I427" t="str">
            <v/>
          </cell>
          <cell r="J427" t="str">
            <v/>
          </cell>
          <cell r="K427" t="str">
            <v/>
          </cell>
          <cell r="L427" t="str">
            <v/>
          </cell>
        </row>
        <row r="428">
          <cell r="F428" t="str">
            <v>GVPKVKETMVPK</v>
          </cell>
          <cell r="G428" t="str">
            <v/>
          </cell>
          <cell r="H428" t="str">
            <v/>
          </cell>
          <cell r="I428" t="str">
            <v/>
          </cell>
          <cell r="J428" t="str">
            <v>Angiotensin-converting enzyme inhibitory activity of peptides derived from caprine kefir.</v>
          </cell>
          <cell r="K428" t="str">
            <v>10.3168/jds.S0022-0302(05)73032-0</v>
          </cell>
          <cell r="L428" t="str">
            <v>16162521</v>
          </cell>
        </row>
        <row r="429">
          <cell r="F429" t="str">
            <v>GVPKVKETMVPKH</v>
          </cell>
          <cell r="G429" t="str">
            <v/>
          </cell>
          <cell r="H429" t="str">
            <v/>
          </cell>
          <cell r="I429" t="str">
            <v/>
          </cell>
          <cell r="J429" t="str">
            <v>Angiotensin-converting enzyme inhibitory activity of peptides derived from caprine kefir.</v>
          </cell>
          <cell r="K429" t="str">
            <v>10.3168/jds.S0022-0302(05)73032-0</v>
          </cell>
          <cell r="L429" t="str">
            <v>16162521</v>
          </cell>
        </row>
        <row r="430">
          <cell r="F430" t="str">
            <v>GVQGPM</v>
          </cell>
          <cell r="G430" t="str">
            <v/>
          </cell>
          <cell r="H430" t="str">
            <v/>
          </cell>
          <cell r="I430" t="str">
            <v/>
          </cell>
          <cell r="J430" t="str">
            <v>Novel angiotensin I-converting enzyme inhibitory peptides derived from edible mushroom Agaricus bisporus (J.E. Lange) Imbach identified by LC-MS/MS.</v>
          </cell>
          <cell r="K430" t="str">
            <v>10.1016/j.foodchem.2013.10.053</v>
          </cell>
          <cell r="L430" t="str">
            <v>24262574</v>
          </cell>
        </row>
        <row r="431">
          <cell r="F431" t="str">
            <v>GVSLPEW</v>
          </cell>
          <cell r="G431" t="str">
            <v/>
          </cell>
          <cell r="H431" t="str">
            <v/>
          </cell>
          <cell r="I431" t="str">
            <v/>
          </cell>
          <cell r="J431" t="str">
            <v/>
          </cell>
          <cell r="K431" t="str">
            <v/>
          </cell>
          <cell r="L431" t="str">
            <v/>
          </cell>
        </row>
        <row r="432">
          <cell r="F432" t="str">
            <v>GVV</v>
          </cell>
          <cell r="G432" t="str">
            <v/>
          </cell>
          <cell r="H432" t="str">
            <v/>
          </cell>
          <cell r="I432" t="str">
            <v/>
          </cell>
          <cell r="J432"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432" t="str">
            <v>10.1002/psc.800; 10.1007/s00894-010-0862-x; 10.1016/j.foodchem.2013.05.140</v>
          </cell>
          <cell r="L432" t="str">
            <v>17117396 20941517 23871047</v>
          </cell>
        </row>
        <row r="433">
          <cell r="F433" t="str">
            <v>GVW</v>
          </cell>
          <cell r="G433" t="str">
            <v/>
          </cell>
          <cell r="H433" t="str">
            <v/>
          </cell>
          <cell r="I433" t="str">
            <v/>
          </cell>
          <cell r="J433" t="str">
            <v>Antihypertensive peptides from food proteins: a review.; What are the ideal properties for functional food peptides with antihypertensive effect? A computational peptidology approach.</v>
          </cell>
          <cell r="K433" t="str">
            <v>10.1039/c2fo10192k; 10.1016/j.foodchem.2013.05.140</v>
          </cell>
          <cell r="L433" t="str">
            <v>22249830 23871047</v>
          </cell>
        </row>
        <row r="434">
          <cell r="F434" t="str">
            <v>GVY</v>
          </cell>
          <cell r="G434" t="str">
            <v/>
          </cell>
          <cell r="H434" t="str">
            <v/>
          </cell>
          <cell r="I434" t="str">
            <v/>
          </cell>
          <cell r="J434" t="str">
            <v>Structural requirements of Angiotensin I-converting enzyme inhibitory peptides: quantitative structure-activity relationship study of di- and tripeptides.</v>
          </cell>
          <cell r="K434" t="str">
            <v>10.1021/jf051263l</v>
          </cell>
          <cell r="L434" t="str">
            <v>16448176</v>
          </cell>
        </row>
        <row r="435">
          <cell r="F435" t="str">
            <v>GVYPH</v>
          </cell>
          <cell r="G435" t="str">
            <v/>
          </cell>
          <cell r="H435" t="str">
            <v/>
          </cell>
          <cell r="I435" t="str">
            <v/>
          </cell>
          <cell r="J435" t="str">
            <v>A new QSAR model, for angiotensin I-converting enzyme inhibitory oligopeptides.</v>
          </cell>
          <cell r="K435" t="str">
            <v>10.1016/j.foodchem.2012.09.092</v>
          </cell>
          <cell r="L435" t="str">
            <v>23194537</v>
          </cell>
        </row>
        <row r="436">
          <cell r="F436" t="str">
            <v>GVYPHK</v>
          </cell>
          <cell r="G436" t="str">
            <v/>
          </cell>
          <cell r="H436" t="str">
            <v/>
          </cell>
          <cell r="I436" t="str">
            <v/>
          </cell>
          <cell r="J436" t="str">
            <v>Isolation and characterization of angiotensin I-converting enzyme inhibitory peptides derived from bonito bowels.</v>
          </cell>
          <cell r="K436" t="str">
            <v>10.1271/bbb.57.1743</v>
          </cell>
          <cell r="L436" t="str">
            <v>7764272</v>
          </cell>
        </row>
        <row r="437">
          <cell r="F437" t="str">
            <v>GW</v>
          </cell>
          <cell r="G437" t="str">
            <v/>
          </cell>
          <cell r="H437" t="str">
            <v/>
          </cell>
          <cell r="I437" t="str">
            <v/>
          </cell>
          <cell r="J437"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Antihypertensive effect of peptide-enriched soy sauce-like seasoning and identification of its angiotensin I-converting enzyme inhibitory substances.; QSAR study on angiotensin-converting enzyme inhibitor oligopeptides based on a novel set of sequence information descriptors.; Inhibition strength of short peptides derived from an ACE inhibitory peptide.; Vegetable foods: a cheap source of proteins and peptides with antihypertensive, antioxidant, and other less occurrence bioactivities.; Isolation and characterization of peptides with antihypertensive activity in foodstuffs.</v>
          </cell>
          <cell r="K437" t="str">
            <v>10.1021/jf051263l; 10.1002/psc.892; 10.1021/jf903261h; 10.1007/s00894-010-0862-x; 10.1021/jf202902r; 10.1016/j.talanta.2012.12.041; 10.1080/10408398.2012.664829</v>
          </cell>
          <cell r="L437" t="str">
            <v>6243277 16448176 17654623 19994857 20941517 21923188 23598136 24915368</v>
          </cell>
        </row>
        <row r="438">
          <cell r="F438" t="str">
            <v>GWAP</v>
          </cell>
          <cell r="G438" t="str">
            <v/>
          </cell>
          <cell r="H438" t="str">
            <v/>
          </cell>
          <cell r="I438" t="str">
            <v/>
          </cell>
          <cell r="J438" t="str">
            <v>Angiotensin I-converting enzyme inhibitory peptides in an alkaline protease hydrolyzate derived from sardine muscle.; Review on the angiotensin-I-converting enzyme (ACE) inhibitor peptides from marine proteins.; What are the ideal properties for functional food peptides with antihypertensive effect? A computational peptidology approach.</v>
          </cell>
          <cell r="K438" t="str">
            <v>10.1271/bbb.58.2244; 10.1007/s12010-012-0024-y; 10.1016/j.foodchem.2013.05.140</v>
          </cell>
          <cell r="L438" t="str">
            <v>7765718 23271625 23871047</v>
          </cell>
        </row>
        <row r="439">
          <cell r="F439" t="str">
            <v>GY</v>
          </cell>
          <cell r="G439" t="str">
            <v>garlic</v>
          </cell>
          <cell r="H439" t="str">
            <v/>
          </cell>
          <cell r="I439" t="str">
            <v/>
          </cell>
          <cell r="J439" t="str">
            <v>The inhibitory actions of dopamine, hydroxyamphetamine and phenylephrine on aqueous humor formation.;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Bioactive peptides in amaranth (Amaranthus hypochondriacus) seed.; Max-E47, a designed minimalist protein that targets the E-box DNA site in vivo and in vitro.; Antihypertensive effect of peptide-enriched soy sauce-like seasoning and identification of its angiotensin I-converting enzyme inhibitory substances.; QSAR study on angiotensin-converting enzyme inhibitor oligopeptides based on a novel set of sequence information descriptors.; Antihypertensive peptides from food proteins: a review.; Review on the angiotensin-I-converting enzyme (ACE) inhibitor peptides from marine proteins.;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ell>
          <cell r="K439" t="str">
            <v>10.1016/0014-4835(78)90155-0; 10.1021/jf051263l; 10.1002/psc.800; 10.1002/psc.892; 10.1021/jf072911z; 10.1021/ja901306q; 10.1021/jf903261h; 10.1007/s00894-010-0862-x; 10.1039/c2fo10192k; 10.1007/s12010-012-0024-y; 10.1016/j.talanta.2012.12.041; 10.1016/j.jprot.2013.06.023; 10.1016/j.foodchem.2013.05.140; 10.1080/10408398.2012.664829</v>
          </cell>
          <cell r="L439" t="str">
            <v>624327 16448176 17117396 17654623 18211015 19449889 19994857 20941517 22249830 23271625 23598136 23806758 23871047 24915368</v>
          </cell>
        </row>
        <row r="440">
          <cell r="F440" t="str">
            <v>GYALPHA</v>
          </cell>
          <cell r="G440" t="str">
            <v/>
          </cell>
          <cell r="H440" t="str">
            <v/>
          </cell>
          <cell r="I440" t="str">
            <v/>
          </cell>
          <cell r="J440" t="str">
            <v>Angiotensin I-converting enzyme inhibitors in autolysates of squid liver and mantle muscle.</v>
          </cell>
          <cell r="K440" t="str">
            <v>10.1271/bbb.60.1353</v>
          </cell>
          <cell r="L440" t="str">
            <v>8987556</v>
          </cell>
        </row>
        <row r="441">
          <cell r="F441" t="str">
            <v>GYG</v>
          </cell>
          <cell r="G441" t="str">
            <v/>
          </cell>
          <cell r="H441" t="str">
            <v/>
          </cell>
          <cell r="I441" t="str">
            <v/>
          </cell>
          <cell r="J441"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441" t="str">
            <v>10.1002/psc.800; 10.1007/s00894-010-0862-x; 10.1016/j.foodchem.2013.05.140</v>
          </cell>
          <cell r="L441" t="str">
            <v>17117396 20941517 23871047</v>
          </cell>
        </row>
        <row r="442">
          <cell r="F442" t="str">
            <v>GYK</v>
          </cell>
          <cell r="G442" t="str">
            <v>pea vicilin</v>
          </cell>
          <cell r="H442" t="str">
            <v/>
          </cell>
          <cell r="I442" t="str">
            <v/>
          </cell>
          <cell r="J442" t="str">
            <v>Model of the exofacial substrate-binding site and helical folding of the human Glut1 glucose transporter based on scanning mutagenesis.</v>
          </cell>
          <cell r="K442" t="str">
            <v>10.1021/bi900521n</v>
          </cell>
          <cell r="L442" t="str">
            <v>19449892</v>
          </cell>
        </row>
        <row r="443">
          <cell r="F443" t="str">
            <v>GYY</v>
          </cell>
          <cell r="G443" t="str">
            <v/>
          </cell>
          <cell r="H443" t="str">
            <v/>
          </cell>
          <cell r="I443" t="str">
            <v/>
          </cell>
          <cell r="J443"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443" t="str">
            <v>10.1002/psc.800; 10.1007/s00894-010-0862-x; 10.1016/j.foodchem.2013.05.140</v>
          </cell>
          <cell r="L443" t="str">
            <v>17117396 20941517 23871047</v>
          </cell>
        </row>
        <row r="444">
          <cell r="F444" t="str">
            <v>HAEIN</v>
          </cell>
          <cell r="G444" t="str">
            <v/>
          </cell>
          <cell r="H444" t="str">
            <v/>
          </cell>
          <cell r="I444" t="str">
            <v/>
          </cell>
          <cell r="J444" t="str">
            <v/>
          </cell>
          <cell r="K444" t="str">
            <v/>
          </cell>
          <cell r="L444" t="str">
            <v/>
          </cell>
        </row>
        <row r="445">
          <cell r="F445" t="str">
            <v>HANENIF</v>
          </cell>
          <cell r="G445" t="str">
            <v/>
          </cell>
          <cell r="H445" t="str">
            <v/>
          </cell>
          <cell r="I445" t="str">
            <v/>
          </cell>
          <cell r="J445" t="str">
            <v/>
          </cell>
          <cell r="K445" t="str">
            <v/>
          </cell>
          <cell r="L445" t="str">
            <v/>
          </cell>
        </row>
        <row r="446">
          <cell r="F446" t="str">
            <v>HDHM</v>
          </cell>
          <cell r="G446" t="str">
            <v/>
          </cell>
          <cell r="H446" t="str">
            <v/>
          </cell>
          <cell r="I446" t="str">
            <v/>
          </cell>
          <cell r="J446" t="str">
            <v/>
          </cell>
          <cell r="K446" t="str">
            <v/>
          </cell>
          <cell r="L446" t="str">
            <v/>
          </cell>
        </row>
        <row r="447">
          <cell r="F447" t="str">
            <v>HERDPTHIKWGD</v>
          </cell>
          <cell r="G447" t="str">
            <v/>
          </cell>
          <cell r="H447" t="str">
            <v/>
          </cell>
          <cell r="I447" t="str">
            <v/>
          </cell>
          <cell r="J447" t="str">
            <v>Review on the angiotensin-I-converting enzyme (ACE) inhibitor peptides from marine proteins.</v>
          </cell>
          <cell r="K447" t="str">
            <v>10.1007/s12010-012-0024-y</v>
          </cell>
          <cell r="L447" t="str">
            <v>23271625</v>
          </cell>
        </row>
        <row r="448">
          <cell r="F448" t="str">
            <v>HG</v>
          </cell>
          <cell r="G448" t="str">
            <v/>
          </cell>
          <cell r="H448" t="str">
            <v/>
          </cell>
          <cell r="I448" t="str">
            <v/>
          </cell>
          <cell r="J448"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448" t="str">
            <v>10.1021/jf051263l; 10.1007/s00894-010-0862-x; 10.1016/j.jprot.2013.06.023; 10.1016/j.foodchem.2013.05.140</v>
          </cell>
          <cell r="L448" t="str">
            <v>6243277 16448176 20941517 23806758 23871047</v>
          </cell>
        </row>
        <row r="449">
          <cell r="F449" t="str">
            <v>HGLF</v>
          </cell>
          <cell r="G449" t="str">
            <v/>
          </cell>
          <cell r="H449" t="str">
            <v/>
          </cell>
          <cell r="I449" t="str">
            <v/>
          </cell>
          <cell r="J449" t="str">
            <v>Synthetic peptides corresponding to alpha-lactalbumin and beta-lactoglobulin sequences with angiotensin-I-converting enzyme inhibitory activity.</v>
          </cell>
          <cell r="K449" t="str">
            <v>10.1515/bchm3.1996.377.4.259</v>
          </cell>
          <cell r="L449" t="str">
            <v>8737991</v>
          </cell>
        </row>
        <row r="450">
          <cell r="F450" t="str">
            <v>HHL</v>
          </cell>
          <cell r="G450" t="str">
            <v>soybean protein</v>
          </cell>
          <cell r="H450" t="str">
            <v/>
          </cell>
          <cell r="I450" t="str">
            <v/>
          </cell>
          <cell r="J450" t="str">
            <v>His-His-Leu, an angiotensin I converting enzyme inhibitory peptide derived from Korean soybean paste, exerts antihypertensive activity in vivo.; Structural requirements of Angiotensin I-converting enzyme inhibitory peptides: quantitative structure-activity relationship study of di- and tripeptides.; A molecular keypad lock based on the thiacalix[4]arene of 1,3-alternate conformation.; Vegetable foods: a cheap source of proteins and peptides with antihypertensive, antioxidant, and other less occurrence bioactivities.; Isolation and characterization of peptides with antihypertensive activity in foodstuffs.</v>
          </cell>
          <cell r="K450" t="str">
            <v>10.1021/jf001135r; 10.1021/jf051263l; 10.1021/ol900845g; 10.1016/j.talanta.2012.12.041; 10.1080/10408398.2012.664829</v>
          </cell>
          <cell r="L450" t="str">
            <v>11410001 16448176 19449894 23598136 24915368</v>
          </cell>
        </row>
        <row r="451">
          <cell r="F451" t="str">
            <v>HHT</v>
          </cell>
          <cell r="G451" t="str">
            <v/>
          </cell>
          <cell r="H451" t="str">
            <v/>
          </cell>
          <cell r="I451" t="str">
            <v/>
          </cell>
          <cell r="J451" t="str">
            <v>Structural requirements of Angiotensin I-converting enzyme inhibitory peptides: quantitative structure-activity relationship study of di- and tripeptides.</v>
          </cell>
          <cell r="K451" t="str">
            <v>10.1021/jf051263l</v>
          </cell>
          <cell r="L451" t="str">
            <v>16448176</v>
          </cell>
        </row>
        <row r="452">
          <cell r="F452" t="str">
            <v>HIK</v>
          </cell>
          <cell r="G452" t="str">
            <v/>
          </cell>
          <cell r="H452" t="str">
            <v/>
          </cell>
          <cell r="I452" t="str">
            <v/>
          </cell>
          <cell r="J452" t="str">
            <v>Potent synthetic analogues of angiotensin-converting enzyme inhibitor derived from Tuna muscle.; Inhibition strength of short peptides derived from an ACE inhibitory peptide.</v>
          </cell>
          <cell r="K452" t="str">
            <v>10.1021/jf202902r</v>
          </cell>
          <cell r="L452" t="str">
            <v>1368734 21923188</v>
          </cell>
        </row>
        <row r="453">
          <cell r="F453" t="str">
            <v>HIKW</v>
          </cell>
          <cell r="G453" t="str">
            <v/>
          </cell>
          <cell r="H453" t="str">
            <v/>
          </cell>
          <cell r="I453" t="str">
            <v/>
          </cell>
          <cell r="J453" t="str">
            <v>Potent synthetic analogues of angiotensin-converting enzyme inhibitor derived from Tuna muscle.</v>
          </cell>
          <cell r="K453" t="str">
            <v/>
          </cell>
          <cell r="L453" t="str">
            <v>1368734</v>
          </cell>
        </row>
        <row r="454">
          <cell r="F454" t="str">
            <v>HIKWGD</v>
          </cell>
          <cell r="G454" t="str">
            <v/>
          </cell>
          <cell r="H454" t="str">
            <v/>
          </cell>
          <cell r="I454" t="str">
            <v/>
          </cell>
          <cell r="J454" t="str">
            <v>Potent synthetic analogues of angiotensin-converting enzyme inhibitor derived from Tuna muscle.</v>
          </cell>
          <cell r="K454" t="str">
            <v/>
          </cell>
          <cell r="L454" t="str">
            <v>1368734</v>
          </cell>
        </row>
        <row r="455">
          <cell r="F455" t="str">
            <v>HIR</v>
          </cell>
          <cell r="G455" t="str">
            <v/>
          </cell>
          <cell r="H455" t="str">
            <v/>
          </cell>
          <cell r="I455" t="str">
            <v/>
          </cell>
          <cell r="J455" t="str">
            <v>Structural requirements of Angiotensin I-converting enzyme inhibitory peptides: quantitative structure-activity relationship study of di- and tripeptides.; Bioactive peptides in amaranth (Amaranthus hypochondriacus) seed.; Quality and acceptability of a set-type yogurt made from camel milk.</v>
          </cell>
          <cell r="K455" t="str">
            <v>10.1021/jf051263l; 10.1021/jf072911z; 10.3168/jds.2008-1408</v>
          </cell>
          <cell r="L455" t="str">
            <v>16448176 18211015 19233778</v>
          </cell>
        </row>
        <row r="456">
          <cell r="F456" t="str">
            <v>HIRL</v>
          </cell>
          <cell r="G456" t="str">
            <v/>
          </cell>
          <cell r="H456" t="str">
            <v/>
          </cell>
          <cell r="I456" t="str">
            <v/>
          </cell>
          <cell r="J456" t="str">
            <v>Quality and acceptability of a set-type yogurt made from camel milk.; What are the ideal properties for functional food peptides with antihypertensive effect? A computational peptidology approach.</v>
          </cell>
          <cell r="K456" t="str">
            <v>10.3168/jds.2008-1408; 10.1016/j.foodchem.2013.05.140</v>
          </cell>
          <cell r="L456" t="str">
            <v>19233778 23871047</v>
          </cell>
        </row>
        <row r="457">
          <cell r="F457" t="str">
            <v>HK</v>
          </cell>
          <cell r="G457" t="str">
            <v/>
          </cell>
          <cell r="H457" t="str">
            <v/>
          </cell>
          <cell r="I457" t="str">
            <v/>
          </cell>
          <cell r="J457" t="str">
            <v>Application of at-line two-dimensional liquid chromatography-mass spectrometry for identification of small hydrophilic angiotensin I-inhibiting peptides in milk hydrolysates.</v>
          </cell>
          <cell r="K457" t="str">
            <v>10.1007/s00216-008-1990-3</v>
          </cell>
          <cell r="L457" t="str">
            <v>18392815</v>
          </cell>
        </row>
        <row r="458">
          <cell r="F458" t="str">
            <v>HKEMPFPKYPVEPF</v>
          </cell>
          <cell r="G458" t="str">
            <v/>
          </cell>
          <cell r="H458" t="str">
            <v/>
          </cell>
          <cell r="I458" t="str">
            <v/>
          </cell>
          <cell r="J458" t="str">
            <v>Identification of angiotensin-I-converting enzyme inhibitory peptides derived from sodium caseinate hydrolysates produced by Lactobacillus helveticus NCC 2765.</v>
          </cell>
          <cell r="K458" t="str">
            <v>10.1021/jf049510t</v>
          </cell>
          <cell r="L458" t="str">
            <v>15537298</v>
          </cell>
        </row>
        <row r="459">
          <cell r="F459" t="str">
            <v>HL</v>
          </cell>
          <cell r="G459" t="str">
            <v/>
          </cell>
          <cell r="H459" t="str">
            <v/>
          </cell>
          <cell r="I459" t="str">
            <v/>
          </cell>
          <cell r="J459" t="str">
            <v>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459" t="str">
            <v>10.1002/psc.892; 10.1007/s00894-010-0862-x; 10.1016/j.jprot.2013.06.023; 10.1016/j.foodchem.2013.05.140</v>
          </cell>
          <cell r="L459" t="str">
            <v>17654623 20941517 23806758 23871047</v>
          </cell>
        </row>
        <row r="460">
          <cell r="F460" t="str">
            <v>HLL</v>
          </cell>
          <cell r="G460" t="str">
            <v/>
          </cell>
          <cell r="H460" t="str">
            <v/>
          </cell>
          <cell r="I460" t="str">
            <v/>
          </cell>
          <cell r="J460" t="str">
            <v>Structural requirements of Angiotensin I-converting enzyme inhibitory peptides: quantitative structure-activity relationship study of di- and tripeptides.</v>
          </cell>
          <cell r="K460" t="str">
            <v>10.1021/jf051263l</v>
          </cell>
          <cell r="L460" t="str">
            <v>16448176</v>
          </cell>
        </row>
        <row r="461">
          <cell r="F461" t="str">
            <v>HLPLP</v>
          </cell>
          <cell r="G461" t="str">
            <v/>
          </cell>
          <cell r="H461" t="str">
            <v/>
          </cell>
          <cell r="I461" t="str">
            <v/>
          </cell>
          <cell r="J461" t="str">
            <v>Inhibition of angiotensin-converting enzyme by synthetic peptide fragments of various beta-caseins.; Identification of angiotensin-I-converting enzyme inhibitory peptides derived from sodium caseinate hydrolysates produced by Lactobacillus helveticus NCC 2765.; Changes in arterial blood pressure after single oral administration of milk-casein-derived peptides in spontaneously hypertensive rats.; The potential role of milk-derived peptides in cardiovascular disease.; Antihypertensive peptides from food proteins: a review.; A new QSAR model, for angiotensin I-converting enzyme inhibitory oligopeptides.</v>
          </cell>
          <cell r="K461" t="str">
            <v>10.1021/jf049510t; 10.1002/mnfr.200900448; 10.1039/c1fo10017c; 10.1039/c2fo10192k; 10.1016/j.foodchem.2012.09.092</v>
          </cell>
          <cell r="L461" t="str">
            <v>1368548 15537298 20397194 21779574 22249830 23194537</v>
          </cell>
        </row>
        <row r="462">
          <cell r="F462" t="str">
            <v>HLPLPL</v>
          </cell>
          <cell r="G462" t="str">
            <v/>
          </cell>
          <cell r="H462" t="str">
            <v/>
          </cell>
          <cell r="I462" t="str">
            <v/>
          </cell>
          <cell r="J462" t="str">
            <v/>
          </cell>
          <cell r="K462" t="str">
            <v/>
          </cell>
          <cell r="L462" t="str">
            <v/>
          </cell>
        </row>
        <row r="463">
          <cell r="F463" t="str">
            <v>HLPLPLL</v>
          </cell>
          <cell r="G463" t="str">
            <v/>
          </cell>
          <cell r="H463" t="str">
            <v/>
          </cell>
          <cell r="I463" t="str">
            <v/>
          </cell>
          <cell r="J463" t="str">
            <v>A new QSAR model, for angiotensin I-converting enzyme inhibitory oligopeptides.</v>
          </cell>
          <cell r="K463" t="str">
            <v>10.1016/j.foodchem.2012.09.092</v>
          </cell>
          <cell r="L463" t="str">
            <v>23194537</v>
          </cell>
        </row>
        <row r="464">
          <cell r="F464" t="str">
            <v>HLPPPV</v>
          </cell>
          <cell r="G464" t="str">
            <v/>
          </cell>
          <cell r="H464" t="str">
            <v/>
          </cell>
          <cell r="I464" t="str">
            <v/>
          </cell>
          <cell r="J464" t="str">
            <v/>
          </cell>
          <cell r="K464" t="str">
            <v/>
          </cell>
          <cell r="L464" t="str">
            <v/>
          </cell>
        </row>
        <row r="465">
          <cell r="F465" t="str">
            <v>HP</v>
          </cell>
          <cell r="G465" t="str">
            <v/>
          </cell>
          <cell r="H465" t="str">
            <v/>
          </cell>
          <cell r="I465" t="str">
            <v/>
          </cell>
          <cell r="J465" t="str">
            <v>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ell>
          <cell r="K465" t="str">
            <v>10.1007/s00216-008-1990-3; 10.1016/j.jprot.2013.06.023</v>
          </cell>
          <cell r="L465" t="str">
            <v>18392815 23806758</v>
          </cell>
        </row>
        <row r="466">
          <cell r="F466" t="str">
            <v>HPFA</v>
          </cell>
          <cell r="G466" t="str">
            <v/>
          </cell>
          <cell r="H466" t="str">
            <v/>
          </cell>
          <cell r="I466" t="str">
            <v/>
          </cell>
          <cell r="J466" t="str">
            <v>What are the ideal properties for functional food peptides with antihypertensive effect? A computational peptidology approach.</v>
          </cell>
          <cell r="K466" t="str">
            <v>10.1016/j.foodchem.2013.05.140</v>
          </cell>
          <cell r="L466" t="str">
            <v>23871047</v>
          </cell>
        </row>
        <row r="467">
          <cell r="F467" t="str">
            <v>HPFAQ</v>
          </cell>
          <cell r="G467" t="str">
            <v/>
          </cell>
          <cell r="H467" t="str">
            <v/>
          </cell>
          <cell r="I467" t="str">
            <v/>
          </cell>
          <cell r="J467" t="str">
            <v>Angiotensin-converting enzyme inhibitory activity of peptides derived from caprine kefir.</v>
          </cell>
          <cell r="K467" t="str">
            <v>10.3168/jds.S0022-0302(05)73032-0</v>
          </cell>
          <cell r="L467" t="str">
            <v>16162521</v>
          </cell>
        </row>
        <row r="468">
          <cell r="F468" t="str">
            <v>HPFAQTQ</v>
          </cell>
          <cell r="G468" t="str">
            <v/>
          </cell>
          <cell r="H468" t="str">
            <v/>
          </cell>
          <cell r="I468" t="str">
            <v/>
          </cell>
          <cell r="J468" t="str">
            <v>Enterococcus faecalis strains from food, environmental, and clinical origin produce ACE-inhibitory peptides and other bioactive peptides during growth in bovine skim milk.</v>
          </cell>
          <cell r="K468" t="str">
            <v>10.1016/j.ijfoodmicro.2013.06.019</v>
          </cell>
          <cell r="L468" t="str">
            <v>23845432</v>
          </cell>
        </row>
        <row r="469">
          <cell r="F469" t="str">
            <v>HPFAQTQSLVYP</v>
          </cell>
          <cell r="G469" t="str">
            <v/>
          </cell>
          <cell r="H469" t="str">
            <v/>
          </cell>
          <cell r="I469" t="str">
            <v/>
          </cell>
          <cell r="J469" t="str">
            <v>Inhibition of angiotensin-converting enzyme by synthetic peptide fragments of various beta-caseins.; Evaluation of the allergenicity of goat milk, cow milk, and their lactosera in a guinea pig model.</v>
          </cell>
          <cell r="K469" t="str">
            <v>10.3168/jds.2008-1125</v>
          </cell>
          <cell r="L469" t="str">
            <v>1368548 19233776</v>
          </cell>
        </row>
        <row r="470">
          <cell r="F470" t="str">
            <v>HPHPHLSF</v>
          </cell>
          <cell r="G470" t="str">
            <v/>
          </cell>
          <cell r="H470" t="str">
            <v/>
          </cell>
          <cell r="I470" t="str">
            <v/>
          </cell>
          <cell r="J470" t="str">
            <v>Antihypertensive peptides: production, bioavailability and incorporation into foods.; Antihypertensive peptides from food proteins: a review.</v>
          </cell>
          <cell r="K470" t="str">
            <v>10.1016/j.cis.2010.11.001; 10.1039/c2fo10192k</v>
          </cell>
          <cell r="L470" t="str">
            <v>21185549 22249830</v>
          </cell>
        </row>
        <row r="471">
          <cell r="F471" t="str">
            <v>HPIKH</v>
          </cell>
          <cell r="G471" t="str">
            <v/>
          </cell>
          <cell r="H471" t="str">
            <v/>
          </cell>
          <cell r="I471" t="str">
            <v/>
          </cell>
          <cell r="J471" t="str">
            <v>Angiotensin I-converting-enzyme-inhibitory and antibacterial peptides from Lactobacillus helveticus PR4 proteinase-hydrolyzed caseins of milk from six species.; A new QSAR model, for angiotensin I-converting enzyme inhibitory oligopeptides.</v>
          </cell>
          <cell r="K471" t="str">
            <v>10.1128/AEM.69.9.5297-5305.2003; 10.1016/j.foodchem.2012.09.092</v>
          </cell>
          <cell r="L471" t="str">
            <v>12957917 23194537</v>
          </cell>
        </row>
        <row r="472">
          <cell r="F472" t="str">
            <v>HQAAGW</v>
          </cell>
          <cell r="G472" t="str">
            <v>sardine</v>
          </cell>
          <cell r="H472" t="str">
            <v/>
          </cell>
          <cell r="I472" t="str">
            <v/>
          </cell>
          <cell r="J472" t="str">
            <v>A new QSAR model, for angiotensin I-converting enzyme inhibitory oligopeptides.</v>
          </cell>
          <cell r="K472" t="str">
            <v>10.1016/j.foodchem.2012.09.092</v>
          </cell>
          <cell r="L472" t="str">
            <v>23194537</v>
          </cell>
        </row>
        <row r="473">
          <cell r="F473" t="str">
            <v>HQG</v>
          </cell>
          <cell r="G473" t="str">
            <v/>
          </cell>
          <cell r="H473" t="str">
            <v/>
          </cell>
          <cell r="I473" t="str">
            <v/>
          </cell>
          <cell r="J473" t="str">
            <v>Structural requirements of Angiotensin I-converting enzyme inhibitory peptides: quantitative structure-activity relationship study of di- and tripeptides.</v>
          </cell>
          <cell r="K473" t="str">
            <v>10.1021/jf051263l</v>
          </cell>
          <cell r="L473" t="str">
            <v>16448176</v>
          </cell>
        </row>
        <row r="474">
          <cell r="F474" t="str">
            <v>HQIYP</v>
          </cell>
          <cell r="G474" t="str">
            <v/>
          </cell>
          <cell r="H474" t="str">
            <v/>
          </cell>
          <cell r="I474" t="str">
            <v/>
          </cell>
          <cell r="J474" t="str">
            <v>Inhibition of angiotensin-converting enzyme by synthetic peptide fragments of various beta-caseins.; A new QSAR model, for angiotensin I-converting enzyme inhibitory oligopeptides.</v>
          </cell>
          <cell r="K474" t="str">
            <v>10.1016/j.foodchem.2012.09.092</v>
          </cell>
          <cell r="L474" t="str">
            <v>1368548 23194537</v>
          </cell>
        </row>
        <row r="475">
          <cell r="F475" t="str">
            <v>HQK</v>
          </cell>
          <cell r="G475" t="str">
            <v/>
          </cell>
          <cell r="H475" t="str">
            <v/>
          </cell>
          <cell r="I475" t="str">
            <v/>
          </cell>
          <cell r="J475" t="str">
            <v>Angiotensin I-converting-enzyme-inhibitory and antibacterial peptides from Lactobacillus helveticus PR4 proteinase-hydrolyzed caseins of milk from six species.</v>
          </cell>
          <cell r="K475" t="str">
            <v>10.1128/AEM.69.9.5297-5305.2003</v>
          </cell>
          <cell r="L475" t="str">
            <v>12957917</v>
          </cell>
        </row>
        <row r="476">
          <cell r="F476" t="str">
            <v>HSGIQSEPKAIP</v>
          </cell>
          <cell r="G476" t="str">
            <v/>
          </cell>
          <cell r="H476" t="str">
            <v/>
          </cell>
          <cell r="I476" t="str">
            <v/>
          </cell>
          <cell r="J476" t="str">
            <v/>
          </cell>
          <cell r="K476" t="str">
            <v/>
          </cell>
          <cell r="L476" t="str">
            <v/>
          </cell>
        </row>
        <row r="477">
          <cell r="F477" t="str">
            <v>HSSIQSQPQAFT</v>
          </cell>
          <cell r="G477" t="str">
            <v/>
          </cell>
          <cell r="H477" t="str">
            <v/>
          </cell>
          <cell r="I477" t="str">
            <v/>
          </cell>
          <cell r="J477" t="str">
            <v/>
          </cell>
          <cell r="K477" t="str">
            <v/>
          </cell>
          <cell r="L477" t="str">
            <v/>
          </cell>
        </row>
        <row r="478">
          <cell r="F478" t="str">
            <v>HWTTQR</v>
          </cell>
          <cell r="G478" t="str">
            <v/>
          </cell>
          <cell r="H478" t="str">
            <v/>
          </cell>
          <cell r="I478" t="str">
            <v/>
          </cell>
          <cell r="J478" t="str">
            <v>Review on the angiotensin-I-converting enzyme (ACE) inhibitor peptides from marine proteins.</v>
          </cell>
          <cell r="K478" t="str">
            <v>10.1007/s12010-012-0024-y</v>
          </cell>
          <cell r="L478" t="str">
            <v>23271625</v>
          </cell>
        </row>
        <row r="479">
          <cell r="F479" t="str">
            <v>HY</v>
          </cell>
          <cell r="G479" t="str">
            <v/>
          </cell>
          <cell r="H479" t="str">
            <v/>
          </cell>
          <cell r="I479" t="str">
            <v/>
          </cell>
          <cell r="J479" t="str">
            <v>Structure and activity of angiotensin I converting enzyme inhibitory peptides from sake and sake lees.; Structural requirements of Angiotensin I-converting enzyme inhibitory peptides: quantitative structure-activity relationship study of di- and tripeptides.; Bioactive peptides in amaranth (Amaranthus hypochondriacus) seed.; Antihypertensive peptides from food proteins: a review.; Vegetable foods: a cheap source of proteins and peptides with antihypertensive, antioxidant, and other less occurrence bioactivities.; What are the ideal properties for functional food peptides with antihypertensive effect? A computational peptidology approach.</v>
          </cell>
          <cell r="K479" t="str">
            <v>10.1271/bbb.58.1767; 10.1021/jf051263l; 10.1021/jf072911z; 10.1039/c2fo10192k; 10.1016/j.talanta.2012.12.041; 10.1016/j.foodchem.2013.05.140</v>
          </cell>
          <cell r="L479" t="str">
            <v>7765503 16448176 18211015 22249830 23598136 23871047</v>
          </cell>
        </row>
        <row r="480">
          <cell r="F480" t="str">
            <v>IA</v>
          </cell>
          <cell r="G480" t="str">
            <v/>
          </cell>
          <cell r="H480" t="str">
            <v/>
          </cell>
          <cell r="I480" t="str">
            <v/>
          </cell>
          <cell r="J480" t="str">
            <v>Antihypertensive peptides derived from milk proteins.;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Isolation and characterization of peptides with antihypertensive activity in foodstuffs.</v>
          </cell>
          <cell r="K480" t="str">
            <v>10.1002/(SICI)1521-3803(19990601)43:3&lt;159::AID-FOOD159&gt;3.0.CO;2-R; 10.1021/jf051263l; 10.1002/psc.892; 10.1016/j.talanta.2012.12.041; 10.1016/j.jprot.2013.06.023; 10.1080/10408398.2012.664829</v>
          </cell>
          <cell r="L480" t="str">
            <v>10399348 16448176 17654623 23598136 23806758 24915368</v>
          </cell>
        </row>
        <row r="481">
          <cell r="F481" t="str">
            <v>IAE</v>
          </cell>
          <cell r="G481" t="str">
            <v/>
          </cell>
          <cell r="H481" t="str">
            <v/>
          </cell>
          <cell r="I481" t="str">
            <v/>
          </cell>
          <cell r="J481" t="str">
            <v>Angiotensin converting enzyme inhibitory peptides derived from food proteins: biochemistry, bioactivity and production.; Review on the angiotensin-I-converting enzyme (ACE) inhibitor peptides from marine proteins.; Vegetable foods: a cheap source of proteins and peptides with antihypertensive, antioxidant, and other less occurrence bioactivities.</v>
          </cell>
          <cell r="K481" t="str">
            <v>10.2174/138161207780363068; 10.1007/s12010-012-0024-y; 10.1016/j.talanta.2012.12.041</v>
          </cell>
          <cell r="L481" t="str">
            <v>17430180 23271625 23598136</v>
          </cell>
        </row>
        <row r="482">
          <cell r="F482" t="str">
            <v>IAIP</v>
          </cell>
          <cell r="G482" t="str">
            <v/>
          </cell>
          <cell r="H482" t="str">
            <v/>
          </cell>
          <cell r="I482" t="str">
            <v/>
          </cell>
          <cell r="J482" t="str">
            <v>Inhibition of angiotensin-converting enzyme by synthetic peptide fragments of human kappa-casein.; What are the ideal properties for functional food peptides with antihypertensive effect? A computational peptidology approach.</v>
          </cell>
          <cell r="K482" t="str">
            <v>10.1016/j.foodchem.2013.05.140</v>
          </cell>
          <cell r="L482" t="str">
            <v>1368540 23871047</v>
          </cell>
        </row>
        <row r="483">
          <cell r="F483" t="str">
            <v>IAIPP</v>
          </cell>
          <cell r="G483" t="str">
            <v/>
          </cell>
          <cell r="H483" t="str">
            <v/>
          </cell>
          <cell r="I483" t="str">
            <v/>
          </cell>
          <cell r="J483" t="str">
            <v>Inhibition of angiotensin-converting enzyme by synthetic peptide fragments of human kappa-casein.; A new QSAR model, for angiotensin I-converting enzyme inhibitory oligopeptides.</v>
          </cell>
          <cell r="K483" t="str">
            <v>10.1016/j.foodchem.2012.09.092</v>
          </cell>
          <cell r="L483" t="str">
            <v>1368540 23194537</v>
          </cell>
        </row>
        <row r="484">
          <cell r="F484" t="str">
            <v>IAK</v>
          </cell>
          <cell r="G484" t="str">
            <v/>
          </cell>
          <cell r="H484" t="str">
            <v/>
          </cell>
          <cell r="I484" t="str">
            <v/>
          </cell>
          <cell r="J484" t="str">
            <v>Identification of novel angiotensin-converting enzyme-inhibitory peptides from ovine milk proteins by CE-MS and chromatographic techniques.; Changes in arterial blood pressure after single oral administration of milk-casein-derived peptides in spontaneously hypertensive rats.; Antihypertensive peptides: production, bioavailability and incorporation into foods.; Antihypertensive peptides from food proteins: a review.; Peptides with angiotensin I converting enzyme (ACE) inhibitory activity generated from porcine skeletal muscle proteins by the action of meat-borne Lactobacillus.; Isolation and characterization of peptides with antihypertensive activity in foodstuffs.</v>
          </cell>
          <cell r="K484" t="str">
            <v>10.1002/elps.200700324; 10.1002/mnfr.200900448; 10.1016/j.cis.2010.11.001; 10.1039/c2fo10192k; 10.1016/j.jprot.2013.06.023; 10.1080/10408398.2012.664829</v>
          </cell>
          <cell r="L484" t="str">
            <v>17948260 20397194 21185549 22249830 23806758 24915368</v>
          </cell>
        </row>
        <row r="485">
          <cell r="F485" t="str">
            <v>IAP</v>
          </cell>
          <cell r="G485" t="str">
            <v>Wheat gliadin</v>
          </cell>
          <cell r="H485" t="str">
            <v/>
          </cell>
          <cell r="I485" t="str">
            <v/>
          </cell>
          <cell r="J485" t="str">
            <v>Isolation and characterization of angiotensin I-converting enzyme inhibitory peptides from wheat gliadin hydrolysate.; Structural requirements of Angiotensin I-converting enzyme inhibitory peptides: quantitative structure-activity relationship study of di- and tripeptides.; Vegetable foods: a cheap source of proteins and peptides with antihypertensive, antioxidant, and other less occurrence bioactivities.; Comparison of analytical methods to assay inhibitors of angiotensin I-converting enzyme.; Isolation and characterization of peptides with antihypertensive activity in foodstuffs.</v>
          </cell>
          <cell r="K485" t="str">
            <v>10.1002/food.200390081; 10.1021/jf051263l; 10.1016/j.talanta.2012.12.041; 10.1016/j.foodchem.2013.06.048; 10.1080/10408398.2012.664829</v>
          </cell>
          <cell r="L485" t="str">
            <v>14609094 16448176 23598136 23993489 24915368</v>
          </cell>
        </row>
        <row r="486">
          <cell r="F486" t="str">
            <v>IAPG</v>
          </cell>
          <cell r="G486" t="str">
            <v/>
          </cell>
          <cell r="H486" t="str">
            <v/>
          </cell>
          <cell r="I486" t="str">
            <v/>
          </cell>
          <cell r="J486" t="str">
            <v>Angiotensin converting enzyme inhibitory peptides derived from food proteins: biochemistry, bioactivity and production.;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v>
          </cell>
          <cell r="K486" t="str">
            <v>10.2174/138161207780363068; 10.1007/s12010-012-0024-y; 10.1016/j.talanta.2012.12.041; 10.1016/j.foodchem.2013.05.140</v>
          </cell>
          <cell r="L486" t="str">
            <v>17430180 23271625 23598136 23871047</v>
          </cell>
        </row>
        <row r="487">
          <cell r="F487" t="str">
            <v>IAQ</v>
          </cell>
          <cell r="G487" t="str">
            <v/>
          </cell>
          <cell r="H487" t="str">
            <v/>
          </cell>
          <cell r="I487" t="str">
            <v/>
          </cell>
          <cell r="J487" t="str">
            <v>Structural requirements of Angiotensin I-converting enzyme inhibitory peptides: quantitative structure-activity relationship study of di- and tripeptides.</v>
          </cell>
          <cell r="K487" t="str">
            <v>10.1021/jf051263l</v>
          </cell>
          <cell r="L487" t="str">
            <v>16448176</v>
          </cell>
        </row>
        <row r="488">
          <cell r="F488" t="str">
            <v>IASGEPTSTPT</v>
          </cell>
          <cell r="G488" t="str">
            <v/>
          </cell>
          <cell r="H488" t="str">
            <v/>
          </cell>
          <cell r="I488" t="str">
            <v/>
          </cell>
          <cell r="J488" t="str">
            <v>Casein fermentate of Lactobacillus animalis DPC6134 contains a range of novel propeptide angiotensin-converting enzyme inhibitors.</v>
          </cell>
          <cell r="K488" t="str">
            <v>10.1128/AEM.00096-07</v>
          </cell>
          <cell r="L488" t="str">
            <v>17483275</v>
          </cell>
        </row>
        <row r="489">
          <cell r="F489" t="str">
            <v>IASGEPTSTPTEE</v>
          </cell>
          <cell r="G489" t="str">
            <v/>
          </cell>
          <cell r="H489" t="str">
            <v/>
          </cell>
          <cell r="I489" t="str">
            <v/>
          </cell>
          <cell r="J489" t="str">
            <v>Casein fermentate of Lactobacillus animalis DPC6134 contains a range of novel propeptide angiotensin-converting enzyme inhibitors.</v>
          </cell>
          <cell r="K489" t="str">
            <v>10.1128/AEM.00096-07</v>
          </cell>
          <cell r="L489" t="str">
            <v>17483275</v>
          </cell>
        </row>
        <row r="490">
          <cell r="F490" t="str">
            <v>IASGEPTSTPTTEA</v>
          </cell>
          <cell r="G490" t="str">
            <v/>
          </cell>
          <cell r="H490" t="str">
            <v/>
          </cell>
          <cell r="I490" t="str">
            <v/>
          </cell>
          <cell r="J490" t="str">
            <v>Casein fermentate of Lactobacillus animalis DPC6134 contains a range of novel propeptide angiotensin-converting enzyme inhibitors.</v>
          </cell>
          <cell r="K490" t="str">
            <v>10.1128/AEM.00096-07</v>
          </cell>
          <cell r="L490" t="str">
            <v>17483275</v>
          </cell>
        </row>
        <row r="491">
          <cell r="F491" t="str">
            <v>IAV</v>
          </cell>
          <cell r="G491" t="str">
            <v/>
          </cell>
          <cell r="H491" t="str">
            <v/>
          </cell>
          <cell r="I491" t="str">
            <v/>
          </cell>
          <cell r="J491" t="str">
            <v>Analysis of novel angiotensin I-converting enzyme inhibitory peptides from enzymatic hydrolysates of cuttlefish (Sepia officinalis) muscle proteins.; Review on the angiotensin-I-converting enzyme (ACE) inhibitor peptides from marine proteins.</v>
          </cell>
          <cell r="K491" t="str">
            <v>10.1021/jf904300q; 10.1007/s12010-012-0024-y</v>
          </cell>
          <cell r="L491" t="str">
            <v>20180574 23271625</v>
          </cell>
        </row>
        <row r="492">
          <cell r="F492" t="str">
            <v>IAY</v>
          </cell>
          <cell r="G492" t="str">
            <v/>
          </cell>
          <cell r="H492" t="str">
            <v/>
          </cell>
          <cell r="I492" t="str">
            <v/>
          </cell>
          <cell r="J492" t="str">
            <v>Structural requirements of Angiotensin I-converting enzyme inhibitory peptides: quantitative structure-activity relationship study of di- and tripeptides.</v>
          </cell>
          <cell r="K492" t="str">
            <v>10.1021/jf051263l</v>
          </cell>
          <cell r="L492" t="str">
            <v>16448176</v>
          </cell>
        </row>
        <row r="493">
          <cell r="F493" t="str">
            <v>IAYKP</v>
          </cell>
          <cell r="G493" t="str">
            <v/>
          </cell>
          <cell r="H493" t="str">
            <v/>
          </cell>
          <cell r="I493" t="str">
            <v/>
          </cell>
          <cell r="J493" t="str">
            <v>A new QSAR model, for angiotensin I-converting enzyme inhibitory oligopeptides.</v>
          </cell>
          <cell r="K493" t="str">
            <v>10.1016/j.foodchem.2012.09.092</v>
          </cell>
          <cell r="L493" t="str">
            <v>23194537</v>
          </cell>
        </row>
        <row r="494">
          <cell r="F494" t="str">
            <v>IAYKPAG</v>
          </cell>
          <cell r="G494" t="str">
            <v/>
          </cell>
          <cell r="H494" t="str">
            <v/>
          </cell>
          <cell r="I494" t="str">
            <v/>
          </cell>
          <cell r="J494" t="str">
            <v>Isolation and antihypertensive effect of angiotensin I-converting enzyme (ACE) inhibitory peptides from spinach Rubisco.; A new QSAR model, for angiotensin I-converting enzyme inhibitory oligopeptides.</v>
          </cell>
          <cell r="K494" t="str">
            <v>10.1021/jf026186y; 10.1016/j.foodchem.2012.09.092</v>
          </cell>
          <cell r="L494" t="str">
            <v>12903942 23194537</v>
          </cell>
        </row>
        <row r="495">
          <cell r="F495" t="str">
            <v>ICRDL</v>
          </cell>
          <cell r="G495" t="str">
            <v/>
          </cell>
          <cell r="H495" t="str">
            <v/>
          </cell>
          <cell r="I495" t="str">
            <v/>
          </cell>
          <cell r="J495" t="str">
            <v/>
          </cell>
          <cell r="K495" t="str">
            <v/>
          </cell>
          <cell r="L495" t="str">
            <v/>
          </cell>
        </row>
        <row r="496">
          <cell r="F496" t="str">
            <v>IDPNG</v>
          </cell>
          <cell r="G496" t="str">
            <v/>
          </cell>
          <cell r="H496" t="str">
            <v/>
          </cell>
          <cell r="I496" t="str">
            <v/>
          </cell>
          <cell r="J496" t="str">
            <v/>
          </cell>
          <cell r="K496" t="str">
            <v/>
          </cell>
          <cell r="L496" t="str">
            <v/>
          </cell>
        </row>
        <row r="497">
          <cell r="F497" t="str">
            <v>IE</v>
          </cell>
          <cell r="G497" t="str">
            <v/>
          </cell>
          <cell r="H497" t="str">
            <v/>
          </cell>
          <cell r="I497" t="str">
            <v/>
          </cell>
          <cell r="J497" t="str">
            <v>Three-dimensional holograph vector of atomic interaction field (3D-HoVAIF): a novel rotation-translation invariant 3D structure descriptor and its applications to peptides.; 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ell>
          <cell r="K497" t="str">
            <v>10.1002/psc.892; 10.1007/s00216-008-1990-3; 10.1016/j.jprot.2013.06.023</v>
          </cell>
          <cell r="L497" t="str">
            <v>17654623 18392815 23806758</v>
          </cell>
        </row>
        <row r="498">
          <cell r="F498" t="str">
            <v>IEF</v>
          </cell>
          <cell r="G498" t="str">
            <v/>
          </cell>
          <cell r="H498" t="str">
            <v/>
          </cell>
          <cell r="I498" t="str">
            <v/>
          </cell>
          <cell r="J498" t="str">
            <v/>
          </cell>
          <cell r="K498" t="str">
            <v/>
          </cell>
          <cell r="L498" t="str">
            <v/>
          </cell>
        </row>
        <row r="499">
          <cell r="F499" t="str">
            <v>IEFEQ</v>
          </cell>
          <cell r="G499" t="str">
            <v/>
          </cell>
          <cell r="H499" t="str">
            <v/>
          </cell>
          <cell r="I499" t="str">
            <v/>
          </cell>
          <cell r="J499" t="str">
            <v/>
          </cell>
          <cell r="K499" t="str">
            <v/>
          </cell>
          <cell r="L499" t="str">
            <v/>
          </cell>
        </row>
        <row r="500">
          <cell r="F500" t="str">
            <v>IEKP</v>
          </cell>
          <cell r="G500" t="str">
            <v/>
          </cell>
          <cell r="H500" t="str">
            <v/>
          </cell>
          <cell r="I500" t="str">
            <v/>
          </cell>
          <cell r="J500" t="str">
            <v/>
          </cell>
          <cell r="K500" t="str">
            <v/>
          </cell>
          <cell r="L500" t="str">
            <v/>
          </cell>
        </row>
        <row r="501">
          <cell r="F501" t="str">
            <v>IEKPP</v>
          </cell>
          <cell r="G501" t="str">
            <v/>
          </cell>
          <cell r="H501" t="str">
            <v/>
          </cell>
          <cell r="I501" t="str">
            <v/>
          </cell>
          <cell r="J501" t="str">
            <v/>
          </cell>
          <cell r="K501" t="str">
            <v/>
          </cell>
          <cell r="L501" t="str">
            <v/>
          </cell>
        </row>
        <row r="502">
          <cell r="F502" t="str">
            <v>IELPLG</v>
          </cell>
          <cell r="G502" t="str">
            <v/>
          </cell>
          <cell r="H502" t="str">
            <v/>
          </cell>
          <cell r="I502" t="str">
            <v/>
          </cell>
          <cell r="J502" t="str">
            <v>A new QSAR model, for angiotensin I-converting enzyme inhibitory oligopeptides.</v>
          </cell>
          <cell r="K502" t="str">
            <v>10.1016/j.foodchem.2012.09.092</v>
          </cell>
          <cell r="L502" t="str">
            <v>23194537</v>
          </cell>
        </row>
        <row r="503">
          <cell r="F503" t="str">
            <v>IEP</v>
          </cell>
          <cell r="G503" t="str">
            <v/>
          </cell>
          <cell r="H503" t="str">
            <v/>
          </cell>
          <cell r="I503" t="str">
            <v/>
          </cell>
          <cell r="J503" t="str">
            <v>Structural requirements of Angiotensin I-converting enzyme inhibitory peptides: quantitative structure-activity relationship study of di- and tripeptides.</v>
          </cell>
          <cell r="K503" t="str">
            <v>10.1021/jf051263l</v>
          </cell>
          <cell r="L503" t="str">
            <v>16448176</v>
          </cell>
        </row>
        <row r="504">
          <cell r="F504" t="str">
            <v>IEPQG</v>
          </cell>
          <cell r="G504" t="str">
            <v/>
          </cell>
          <cell r="H504" t="str">
            <v/>
          </cell>
          <cell r="I504" t="str">
            <v/>
          </cell>
          <cell r="J504" t="str">
            <v/>
          </cell>
          <cell r="K504" t="str">
            <v/>
          </cell>
          <cell r="L504" t="str">
            <v/>
          </cell>
        </row>
        <row r="505">
          <cell r="F505" t="str">
            <v>IEW</v>
          </cell>
          <cell r="G505" t="str">
            <v/>
          </cell>
          <cell r="H505" t="str">
            <v/>
          </cell>
          <cell r="I505" t="str">
            <v/>
          </cell>
          <cell r="J505" t="str">
            <v>Arachin derived peptides as selective angiotensin I-converting enzyme (ACE) inhibitors: structure-activity relationship.</v>
          </cell>
          <cell r="K505" t="str">
            <v>10.1016/j.peptides.2010.02.022</v>
          </cell>
          <cell r="L505" t="str">
            <v>20214946</v>
          </cell>
        </row>
        <row r="506">
          <cell r="F506" t="str">
            <v>IEWEG</v>
          </cell>
          <cell r="G506" t="str">
            <v/>
          </cell>
          <cell r="H506" t="str">
            <v/>
          </cell>
          <cell r="I506" t="str">
            <v/>
          </cell>
          <cell r="J506" t="str">
            <v/>
          </cell>
          <cell r="K506" t="str">
            <v/>
          </cell>
          <cell r="L506" t="str">
            <v/>
          </cell>
        </row>
        <row r="507">
          <cell r="F507" t="str">
            <v>IEY</v>
          </cell>
          <cell r="G507" t="str">
            <v/>
          </cell>
          <cell r="H507" t="str">
            <v/>
          </cell>
          <cell r="I507" t="str">
            <v/>
          </cell>
          <cell r="J507" t="str">
            <v>Arachin derived peptides as selective angiotensin I-converting enzyme (ACE) inhibitors: structure-activity relationship.; What are the ideal properties for functional food peptides with antihypertensive effect? A computational peptidology approach.</v>
          </cell>
          <cell r="K507" t="str">
            <v>10.1016/j.peptides.2010.02.022; 10.1016/j.foodchem.2013.05.140</v>
          </cell>
          <cell r="L507" t="str">
            <v>20214946 23871047</v>
          </cell>
        </row>
        <row r="508">
          <cell r="F508" t="str">
            <v>IF</v>
          </cell>
          <cell r="G508" t="str">
            <v>tuna muscle</v>
          </cell>
          <cell r="H508" t="str">
            <v/>
          </cell>
          <cell r="I508" t="str">
            <v/>
          </cell>
          <cell r="J508"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ell>
          <cell r="K508" t="str">
            <v>10.1021/jf051263l; 10.1002/psc.800; 10.1002/psc.892; 10.1007/s00894-010-0862-x; 10.1016/j.talanta.2012.12.041; 10.1016/j.jprot.2013.06.023; 10.1016/j.foodchem.2013.05.140; 10.1080/10408398.2012.664829</v>
          </cell>
          <cell r="L508" t="str">
            <v>6243277 16448176 17117396 17654623 20941517 23598136 23806758 23871047 24915368</v>
          </cell>
        </row>
        <row r="509">
          <cell r="F509" t="str">
            <v>IFG</v>
          </cell>
          <cell r="G509" t="str">
            <v>tuna muscle</v>
          </cell>
          <cell r="H509" t="str">
            <v/>
          </cell>
          <cell r="I509" t="str">
            <v/>
          </cell>
          <cell r="J509" t="str">
            <v/>
          </cell>
          <cell r="K509" t="str">
            <v/>
          </cell>
          <cell r="L509" t="str">
            <v>[Ref. Article]</v>
          </cell>
        </row>
        <row r="510">
          <cell r="F510" t="str">
            <v>IFL</v>
          </cell>
          <cell r="G510" t="str">
            <v/>
          </cell>
          <cell r="H510" t="str">
            <v/>
          </cell>
          <cell r="I510" t="str">
            <v/>
          </cell>
          <cell r="J510" t="str">
            <v>Angiotensin I-converting enzyme inhibitory peptides isolated from tofuyo fermented soybean food.; Structural requirements of Angiotensin I-converting enzyme inhibitory peptides: quantitative structure-activity relationship study of di- and tripeptides.; Vegetable foods: a cheap source of proteins and peptides with antihypertensive, antioxidant, and other less occurrence bioactivities.; What are the ideal properties for functional food peptides with antihypertensive effect? A computational peptidology approach.; Glycinyl-histidinyl-serine (GHS), a novel rapeseed protein-derived peptide has blood pressure-lowering effect in spontaneously hypertensive rats.</v>
          </cell>
          <cell r="K510" t="str">
            <v>10.1271/bbb.67.1278; 10.1021/jf051263l; 10.1016/j.talanta.2012.12.041; 10.1016/j.foodchem.2013.05.140; 10.1021/jf400865m</v>
          </cell>
          <cell r="L510" t="str">
            <v>12843654 16448176 23598136 23871047 23919612</v>
          </cell>
        </row>
        <row r="511">
          <cell r="F511" t="str">
            <v>IFVPAF</v>
          </cell>
          <cell r="G511" t="str">
            <v/>
          </cell>
          <cell r="H511" t="str">
            <v/>
          </cell>
          <cell r="I511" t="str">
            <v/>
          </cell>
          <cell r="J511" t="str">
            <v>Analysis of novel angiotensin-I-converting enzyme inhibitory peptides from protease-hydrolyzed marine shrimp Acetes chinensis.; Review on the angiotensin-I-converting enzyme (ACE) inhibitor peptides from marine proteins.; Rational design of angiotensin-I-converting enzyme inhibitory peptides by integrating in silico modeling and an in vitro assay.</v>
          </cell>
          <cell r="K511" t="str">
            <v>10.1002/psc.789; 10.1007/s12010-012-0024-y; 10.1002/cmdc.201300132</v>
          </cell>
          <cell r="L511" t="str">
            <v>16981241 23271625 23740817</v>
          </cell>
        </row>
        <row r="512">
          <cell r="F512" t="str">
            <v>IG</v>
          </cell>
          <cell r="G512" t="str">
            <v/>
          </cell>
          <cell r="H512" t="str">
            <v/>
          </cell>
          <cell r="I512" t="str">
            <v/>
          </cell>
          <cell r="J512"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v>
          </cell>
          <cell r="K512" t="str">
            <v>10.1021/jf051263l; 10.1002/psc.892; 10.1007/s00894-010-0862-x; 10.1016/j.jprot.2013.06.023</v>
          </cell>
          <cell r="L512" t="str">
            <v>6243277 16448176 17654623 20941517 23806758</v>
          </cell>
        </row>
        <row r="513">
          <cell r="F513" t="str">
            <v>IGDEPLANYL</v>
          </cell>
          <cell r="G513" t="str">
            <v/>
          </cell>
          <cell r="H513" t="str">
            <v/>
          </cell>
          <cell r="I513" t="str">
            <v/>
          </cell>
          <cell r="J513" t="str">
            <v/>
          </cell>
          <cell r="K513" t="str">
            <v/>
          </cell>
          <cell r="L513" t="str">
            <v/>
          </cell>
        </row>
        <row r="514">
          <cell r="F514" t="str">
            <v>IGGSI</v>
          </cell>
          <cell r="G514" t="str">
            <v/>
          </cell>
          <cell r="H514" t="str">
            <v/>
          </cell>
          <cell r="I514" t="str">
            <v/>
          </cell>
          <cell r="J514" t="str">
            <v>Isolation and characterization of peptides with antihypertensive activity in foodstuffs.</v>
          </cell>
          <cell r="K514" t="str">
            <v>10.1080/10408398.2012.664829</v>
          </cell>
          <cell r="L514" t="str">
            <v>24915368</v>
          </cell>
        </row>
        <row r="515">
          <cell r="F515" t="str">
            <v>IGKGG</v>
          </cell>
          <cell r="G515" t="str">
            <v/>
          </cell>
          <cell r="H515" t="str">
            <v/>
          </cell>
          <cell r="I515" t="str">
            <v/>
          </cell>
          <cell r="J515" t="str">
            <v/>
          </cell>
          <cell r="K515" t="str">
            <v/>
          </cell>
          <cell r="L515" t="str">
            <v/>
          </cell>
        </row>
        <row r="516">
          <cell r="F516" t="str">
            <v>IGNTLI</v>
          </cell>
          <cell r="G516" t="str">
            <v/>
          </cell>
          <cell r="H516" t="str">
            <v/>
          </cell>
          <cell r="I516" t="str">
            <v/>
          </cell>
          <cell r="J516" t="str">
            <v>Isolation and characterization of peptides with antihypertensive activity in foodstuffs.</v>
          </cell>
          <cell r="K516" t="str">
            <v>10.1080/10408398.2012.664829</v>
          </cell>
          <cell r="L516" t="str">
            <v>24915368</v>
          </cell>
        </row>
        <row r="517">
          <cell r="F517" t="str">
            <v>IGSENSEKTTMP</v>
          </cell>
          <cell r="G517" t="str">
            <v/>
          </cell>
          <cell r="H517" t="str">
            <v/>
          </cell>
          <cell r="I517" t="str">
            <v/>
          </cell>
          <cell r="J517" t="str">
            <v>Casein fermentate of Lactobacillus animalis DPC6134 contains a range of novel propeptide angiotensin-converting enzyme inhibitors.; A new QSAR model, for angiotensin I-converting enzyme inhibitory oligopeptides.</v>
          </cell>
          <cell r="K517" t="str">
            <v>10.1128/AEM.00096-07; 10.1016/j.foodchem.2012.09.092</v>
          </cell>
          <cell r="L517" t="str">
            <v>17483275 23194537</v>
          </cell>
        </row>
        <row r="518">
          <cell r="F518" t="str">
            <v>IGW</v>
          </cell>
          <cell r="G518" t="str">
            <v/>
          </cell>
          <cell r="H518" t="str">
            <v/>
          </cell>
          <cell r="I518" t="str">
            <v/>
          </cell>
          <cell r="J518" t="str">
            <v/>
          </cell>
          <cell r="K518" t="str">
            <v/>
          </cell>
          <cell r="L518" t="str">
            <v/>
          </cell>
        </row>
        <row r="519">
          <cell r="F519" t="str">
            <v>IGYNQ</v>
          </cell>
          <cell r="G519" t="str">
            <v/>
          </cell>
          <cell r="H519" t="str">
            <v/>
          </cell>
          <cell r="I519" t="str">
            <v/>
          </cell>
          <cell r="J519" t="str">
            <v/>
          </cell>
          <cell r="K519" t="str">
            <v/>
          </cell>
          <cell r="L519" t="str">
            <v/>
          </cell>
        </row>
        <row r="520">
          <cell r="F520" t="str">
            <v>IHAQQKEP</v>
          </cell>
          <cell r="G520" t="str">
            <v/>
          </cell>
          <cell r="H520" t="str">
            <v/>
          </cell>
          <cell r="I520" t="str">
            <v/>
          </cell>
          <cell r="J520" t="str">
            <v>Enterococcus faecalis strains from food, environmental, and clinical origin produce ACE-inhibitory peptides and other bioactive peptides during growth in bovine skim milk.</v>
          </cell>
          <cell r="K520" t="str">
            <v>10.1016/j.ijfoodmicro.2013.06.019</v>
          </cell>
          <cell r="L520" t="str">
            <v>23845432</v>
          </cell>
        </row>
        <row r="521">
          <cell r="F521" t="str">
            <v>IHETT</v>
          </cell>
          <cell r="G521" t="str">
            <v/>
          </cell>
          <cell r="H521" t="str">
            <v/>
          </cell>
          <cell r="I521" t="str">
            <v/>
          </cell>
          <cell r="J521" t="str">
            <v/>
          </cell>
          <cell r="K521" t="str">
            <v/>
          </cell>
          <cell r="L521" t="str">
            <v/>
          </cell>
        </row>
        <row r="522">
          <cell r="F522" t="str">
            <v>IHF</v>
          </cell>
          <cell r="G522" t="str">
            <v/>
          </cell>
          <cell r="H522" t="str">
            <v/>
          </cell>
          <cell r="I522" t="str">
            <v/>
          </cell>
          <cell r="J522" t="str">
            <v/>
          </cell>
          <cell r="K522" t="str">
            <v/>
          </cell>
          <cell r="L522" t="str">
            <v/>
          </cell>
        </row>
        <row r="523">
          <cell r="F523" t="str">
            <v>IHP</v>
          </cell>
          <cell r="G523" t="str">
            <v/>
          </cell>
          <cell r="H523" t="str">
            <v/>
          </cell>
          <cell r="I523" t="str">
            <v/>
          </cell>
          <cell r="J523" t="str">
            <v/>
          </cell>
          <cell r="K523" t="str">
            <v/>
          </cell>
          <cell r="L523" t="str">
            <v/>
          </cell>
        </row>
        <row r="524">
          <cell r="F524" t="str">
            <v>IHPF</v>
          </cell>
          <cell r="G524" t="str">
            <v/>
          </cell>
          <cell r="H524" t="str">
            <v/>
          </cell>
          <cell r="I524" t="str">
            <v/>
          </cell>
          <cell r="J524" t="str">
            <v>Determination of endogenous peptides with in vitro ACE inhibitory activity in normotensive human plasma by the fluorometric HPLC method.</v>
          </cell>
          <cell r="K524" t="str">
            <v>10.1271/bbb.61.1052</v>
          </cell>
          <cell r="L524" t="str">
            <v>9214772</v>
          </cell>
        </row>
        <row r="525">
          <cell r="F525" t="str">
            <v>IHPFAQTQSLVYP</v>
          </cell>
          <cell r="G525" t="str">
            <v/>
          </cell>
          <cell r="H525" t="str">
            <v/>
          </cell>
          <cell r="I525" t="str">
            <v/>
          </cell>
          <cell r="J525" t="str">
            <v>Inhibition of angiotensin-converting enzyme by synthetic peptide fragments of various beta-caseins.; Evaluation of the allergenicity of goat milk, cow milk, and their lactosera in a guinea pig model.</v>
          </cell>
          <cell r="K525" t="str">
            <v>10.3168/jds.2008-1125</v>
          </cell>
          <cell r="L525" t="str">
            <v>1368548 19233776</v>
          </cell>
        </row>
        <row r="526">
          <cell r="F526" t="str">
            <v>IHY</v>
          </cell>
          <cell r="G526" t="str">
            <v/>
          </cell>
          <cell r="H526" t="str">
            <v/>
          </cell>
          <cell r="I526" t="str">
            <v/>
          </cell>
          <cell r="J526" t="str">
            <v/>
          </cell>
          <cell r="K526" t="str">
            <v/>
          </cell>
          <cell r="L526" t="str">
            <v/>
          </cell>
        </row>
        <row r="527">
          <cell r="F527" t="str">
            <v>II</v>
          </cell>
          <cell r="G527" t="str">
            <v/>
          </cell>
          <cell r="H527" t="str">
            <v/>
          </cell>
          <cell r="I527" t="str">
            <v/>
          </cell>
          <cell r="J527" t="str">
            <v>Three-dimensional holograph vector of atomic interaction field (3D-HoVAIF): a novel rotation-translation invariant 3D structure descriptor and its applications to peptides.</v>
          </cell>
          <cell r="K527" t="str">
            <v>10.1002/psc.892</v>
          </cell>
          <cell r="L527" t="str">
            <v>17654623</v>
          </cell>
        </row>
        <row r="528">
          <cell r="F528" t="str">
            <v>IIAMK</v>
          </cell>
          <cell r="G528" t="str">
            <v/>
          </cell>
          <cell r="H528" t="str">
            <v/>
          </cell>
          <cell r="I528" t="str">
            <v/>
          </cell>
          <cell r="J528" t="str">
            <v>A variant peptide of buffalo colostrum β-lactoglobulin inhibits angiotensin I-converting enzyme activity.</v>
          </cell>
          <cell r="K528" t="str">
            <v>10.1016/j.ejmech.2012.03.057</v>
          </cell>
          <cell r="L528" t="str">
            <v>22541393</v>
          </cell>
        </row>
        <row r="529">
          <cell r="F529" t="str">
            <v>IIP</v>
          </cell>
          <cell r="G529" t="str">
            <v/>
          </cell>
          <cell r="H529" t="str">
            <v/>
          </cell>
          <cell r="I529" t="str">
            <v/>
          </cell>
          <cell r="J529" t="str">
            <v/>
          </cell>
          <cell r="K529" t="str">
            <v/>
          </cell>
          <cell r="L529" t="str">
            <v/>
          </cell>
        </row>
        <row r="530">
          <cell r="F530" t="str">
            <v>IKD</v>
          </cell>
          <cell r="G530" t="str">
            <v/>
          </cell>
          <cell r="H530" t="str">
            <v/>
          </cell>
          <cell r="I530" t="str">
            <v/>
          </cell>
          <cell r="J530" t="str">
            <v/>
          </cell>
          <cell r="K530" t="str">
            <v/>
          </cell>
          <cell r="L530" t="str">
            <v/>
          </cell>
        </row>
        <row r="531">
          <cell r="F531" t="str">
            <v>IKELQ</v>
          </cell>
          <cell r="G531" t="str">
            <v/>
          </cell>
          <cell r="H531" t="str">
            <v/>
          </cell>
          <cell r="I531" t="str">
            <v/>
          </cell>
          <cell r="J531" t="str">
            <v/>
          </cell>
          <cell r="K531" t="str">
            <v/>
          </cell>
          <cell r="L531" t="str">
            <v/>
          </cell>
        </row>
        <row r="532">
          <cell r="F532" t="str">
            <v>IKF</v>
          </cell>
          <cell r="G532" t="str">
            <v/>
          </cell>
          <cell r="H532" t="str">
            <v/>
          </cell>
          <cell r="I532" t="str">
            <v/>
          </cell>
          <cell r="J532" t="str">
            <v/>
          </cell>
          <cell r="K532" t="str">
            <v/>
          </cell>
          <cell r="L532" t="str">
            <v/>
          </cell>
        </row>
        <row r="533">
          <cell r="F533" t="str">
            <v>IKH</v>
          </cell>
          <cell r="G533" t="str">
            <v/>
          </cell>
          <cell r="H533" t="str">
            <v/>
          </cell>
          <cell r="I533" t="str">
            <v/>
          </cell>
          <cell r="J533" t="str">
            <v/>
          </cell>
          <cell r="K533" t="str">
            <v/>
          </cell>
          <cell r="L533" t="str">
            <v/>
          </cell>
        </row>
        <row r="534">
          <cell r="F534" t="str">
            <v>IKL</v>
          </cell>
          <cell r="G534" t="str">
            <v/>
          </cell>
          <cell r="H534" t="str">
            <v/>
          </cell>
          <cell r="I534" t="str">
            <v/>
          </cell>
          <cell r="J534" t="str">
            <v/>
          </cell>
          <cell r="K534" t="str">
            <v/>
          </cell>
          <cell r="L534" t="str">
            <v/>
          </cell>
        </row>
        <row r="535">
          <cell r="F535" t="str">
            <v>IKN</v>
          </cell>
          <cell r="G535" t="str">
            <v/>
          </cell>
          <cell r="H535" t="str">
            <v/>
          </cell>
          <cell r="I535" t="str">
            <v/>
          </cell>
          <cell r="J535" t="str">
            <v/>
          </cell>
          <cell r="K535" t="str">
            <v/>
          </cell>
          <cell r="L535" t="str">
            <v/>
          </cell>
        </row>
        <row r="536">
          <cell r="F536" t="str">
            <v>IKP</v>
          </cell>
          <cell r="G536" t="str">
            <v>Fish muscle protein</v>
          </cell>
          <cell r="H536" t="str">
            <v/>
          </cell>
          <cell r="I536" t="str">
            <v/>
          </cell>
          <cell r="J536" t="str">
            <v>Peptide inhibitors for angiotensin I-converting enzyme from thermolysin digest of dried bonito.; Angiotensin I-converting enzyme inhibitory peptides derived from bonito bowels autolysate.; Structural requirements of Angiotensin I-converting enzyme inhibitory peptides: quantitative structure-activity relationship study of di- and tripeptides.; Bioactive peptides in amaranth (Amaranthus hypochondriacus) seed.; ACE inhibitory tetrapeptides from Amaranthus hypochondriacus 11S globulin.; Inhibition strength of short peptides derived from an ACE inhibitory peptide.; Antihypertensive peptides from food proteins: a review.; What are the ideal properties for functional food peptides with antihypertensive effect? A computational peptidology approach.; Comparison of analytical methods to assay inhibitors of angiotensin I-converting enzyme.; Isolation and characterization of peptides with antihypertensive activity in foodstuffs.</v>
          </cell>
          <cell r="K536" t="str">
            <v>10.1271/bbb.56.1541; 10.1271/bbb.57.695; 10.1021/jf051263l; 10.1021/jf072911z; 10.1016/j.phytochem.2009.04.006; 10.1021/jf202902r; 10.1039/c2fo10192k; 10.1016/j.foodchem.2013.05.140; 10.1016/j.foodchem.2013.06.048; 10.1080/10408398.2012.664829</v>
          </cell>
          <cell r="L536" t="str">
            <v>1369054 7763772 16448176 18211015 19443002 21923188 22249830 23871047 23993489 24915368</v>
          </cell>
        </row>
        <row r="537">
          <cell r="F537" t="str">
            <v>IKPLDY</v>
          </cell>
          <cell r="G537" t="str">
            <v/>
          </cell>
          <cell r="H537" t="str">
            <v/>
          </cell>
          <cell r="I537" t="str">
            <v/>
          </cell>
          <cell r="J537" t="str">
            <v>A new QSAR model, for angiotensin I-converting enzyme inhibitory oligopeptides.</v>
          </cell>
          <cell r="K537" t="str">
            <v>10.1016/j.foodchem.2012.09.092</v>
          </cell>
          <cell r="L537" t="str">
            <v>23194537</v>
          </cell>
        </row>
        <row r="538">
          <cell r="F538" t="str">
            <v>IKPLNY</v>
          </cell>
          <cell r="G538" t="str">
            <v/>
          </cell>
          <cell r="H538" t="str">
            <v/>
          </cell>
          <cell r="I538" t="str">
            <v/>
          </cell>
          <cell r="J538" t="str">
            <v>Peptide inhibitors for angiotensin I-converting enzyme from thermolysin digest of dried bonito.; A new QSAR model, for angiotensin I-converting enzyme inhibitory oligopeptides.; Review on the angiotensin-I-converting enzyme (ACE) inhibitor peptides from marine proteins.</v>
          </cell>
          <cell r="K538" t="str">
            <v>10.1271/bbb.56.1541; 10.1016/j.foodchem.2012.09.092; 10.1007/s12010-012-0024-y</v>
          </cell>
          <cell r="L538" t="str">
            <v>1369054 23194537 23271625</v>
          </cell>
        </row>
        <row r="539">
          <cell r="F539" t="str">
            <v>IKPVQ</v>
          </cell>
          <cell r="G539" t="str">
            <v/>
          </cell>
          <cell r="H539" t="str">
            <v/>
          </cell>
          <cell r="I539" t="str">
            <v/>
          </cell>
          <cell r="J539" t="str">
            <v>Rational design of angiotensin-I-converting enzyme inhibitory peptides by integrating in silico modeling and an in vitro assay.</v>
          </cell>
          <cell r="K539" t="str">
            <v>10.1002/cmdc.201300132</v>
          </cell>
          <cell r="L539" t="str">
            <v>23740817</v>
          </cell>
        </row>
        <row r="540">
          <cell r="F540" t="str">
            <v>IKW</v>
          </cell>
          <cell r="G540" t="str">
            <v>Meat muscle protein</v>
          </cell>
          <cell r="H540" t="str">
            <v/>
          </cell>
          <cell r="I540" t="str">
            <v/>
          </cell>
          <cell r="J540" t="str">
            <v>ACE inhibitory peptides derived from enzymatic hydrolysates of animal muscle protein: a review.; Structural requirements of Angiotensin I-converting enzyme inhibitory peptides: quantitative structure-activity relationship study of di- and tripeptides.; Angiotensin I-converting enzyme-inhibitory peptides obtained from chicken collagen hydrolysate.; Inhibition strength of short peptides derived from an ACE inhibitory peptide.; Antihypertensive peptides from food proteins: a review.; Isolation and characterization of peptides with antihypertensive activity in foodstuffs.</v>
          </cell>
          <cell r="K540" t="str">
            <v>10.1021/jf0508908; 10.1021/jf051263l; 10.1021/jf072669w; 10.1021/jf202902r; 10.1039/c2fo10192k; 10.1080/10408398.2012.664829</v>
          </cell>
          <cell r="L540" t="str">
            <v>16218651 16448176 18808143 21923188 22249830 24915368</v>
          </cell>
        </row>
        <row r="541">
          <cell r="F541" t="str">
            <v>IKWGD</v>
          </cell>
          <cell r="G541" t="str">
            <v/>
          </cell>
          <cell r="H541" t="str">
            <v/>
          </cell>
          <cell r="I541" t="str">
            <v/>
          </cell>
          <cell r="J541" t="str">
            <v>Potent synthetic analogues of angiotensin-converting enzyme inhibitor derived from Tuna muscle.</v>
          </cell>
          <cell r="K541" t="str">
            <v/>
          </cell>
          <cell r="L541" t="str">
            <v>1368734</v>
          </cell>
        </row>
        <row r="542">
          <cell r="F542" t="str">
            <v>IKY</v>
          </cell>
          <cell r="G542" t="str">
            <v/>
          </cell>
          <cell r="H542" t="str">
            <v/>
          </cell>
          <cell r="I542" t="str">
            <v/>
          </cell>
          <cell r="J542" t="str">
            <v>Structural requirements of Angiotensin I-converting enzyme inhibitory peptides: quantitative structure-activity relationship study of di- and tripeptides.; Arachin derived peptides as selective angiotensin I-converting enzyme (ACE) inhibitors: structure-activity relationship.</v>
          </cell>
          <cell r="K542" t="str">
            <v>10.1021/jf051263l; 10.1016/j.peptides.2010.02.022</v>
          </cell>
          <cell r="L542" t="str">
            <v>16448176 20214946</v>
          </cell>
        </row>
        <row r="543">
          <cell r="F543" t="str">
            <v>IL</v>
          </cell>
          <cell r="G543" t="str">
            <v/>
          </cell>
          <cell r="H543" t="str">
            <v/>
          </cell>
          <cell r="I543" t="str">
            <v/>
          </cell>
          <cell r="J543" t="str">
            <v>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v>
          </cell>
          <cell r="K543" t="str">
            <v>10.1021/jf051263l; 10.1002/psc.800; 10.1002/psc.892</v>
          </cell>
          <cell r="L543" t="str">
            <v>16448176 17117396 17654623</v>
          </cell>
        </row>
        <row r="544">
          <cell r="F544" t="str">
            <v>ILP</v>
          </cell>
          <cell r="G544" t="str">
            <v/>
          </cell>
          <cell r="H544" t="str">
            <v/>
          </cell>
          <cell r="I544" t="str">
            <v/>
          </cell>
          <cell r="J544" t="str">
            <v>Inhibition of angiotensin-converting enzyme by synthetic peptide fragments of various beta-caseins.; Bioactive peptides in amaranth (Amaranthus hypochondriacus) seed.; What are the ideal properties for functional food peptides with antihypertensive effect? A computational peptidology approach.</v>
          </cell>
          <cell r="K544" t="str">
            <v>10.1021/jf072911z; 10.1016/j.foodchem.2013.05.140</v>
          </cell>
          <cell r="L544" t="str">
            <v>1368548 18211015 23871047</v>
          </cell>
        </row>
        <row r="545">
          <cell r="F545" t="str">
            <v>IMVAEAR</v>
          </cell>
          <cell r="G545" t="str">
            <v/>
          </cell>
          <cell r="H545" t="str">
            <v/>
          </cell>
          <cell r="I545" t="str">
            <v/>
          </cell>
          <cell r="J545" t="str">
            <v/>
          </cell>
          <cell r="K545" t="str">
            <v/>
          </cell>
          <cell r="L545" t="str">
            <v/>
          </cell>
        </row>
        <row r="546">
          <cell r="F546" t="str">
            <v>IMY</v>
          </cell>
          <cell r="G546" t="str">
            <v/>
          </cell>
          <cell r="H546" t="str">
            <v/>
          </cell>
          <cell r="I546" t="str">
            <v/>
          </cell>
          <cell r="J546" t="str">
            <v>Structural requirements of Angiotensin I-converting enzyme inhibitory peptides: quantitative structure-activity relationship study of di- and tripeptides.; Isolation and characterization of peptides with antihypertensive activity in foodstuffs.</v>
          </cell>
          <cell r="K546" t="str">
            <v>10.1021/jf051263l; 10.1080/10408398.2012.664829</v>
          </cell>
          <cell r="L546" t="str">
            <v>16448176 24915368</v>
          </cell>
        </row>
        <row r="547">
          <cell r="F547" t="str">
            <v>IN</v>
          </cell>
          <cell r="G547" t="str">
            <v/>
          </cell>
          <cell r="H547" t="str">
            <v/>
          </cell>
          <cell r="I547" t="str">
            <v/>
          </cell>
          <cell r="J547" t="str">
            <v>Three-dimensional holograph vector of atomic interaction field (3D-HoVAIF): a novel rotation-translation invariant 3D structure descriptor and its applications to peptides.</v>
          </cell>
          <cell r="K547" t="str">
            <v>10.1002/psc.892</v>
          </cell>
          <cell r="L547" t="str">
            <v>17654623</v>
          </cell>
        </row>
        <row r="548">
          <cell r="F548" t="str">
            <v>INDPF</v>
          </cell>
          <cell r="G548" t="str">
            <v/>
          </cell>
          <cell r="H548" t="str">
            <v/>
          </cell>
          <cell r="I548" t="str">
            <v/>
          </cell>
          <cell r="J548" t="str">
            <v>Isolation and characterization of peptides with antihypertensive activity in foodstuffs.</v>
          </cell>
          <cell r="K548" t="str">
            <v>10.1080/10408398.2012.664829</v>
          </cell>
          <cell r="L548" t="str">
            <v>24915368</v>
          </cell>
        </row>
        <row r="549">
          <cell r="F549" t="str">
            <v>INF</v>
          </cell>
          <cell r="G549" t="str">
            <v/>
          </cell>
          <cell r="H549" t="str">
            <v/>
          </cell>
          <cell r="I549" t="str">
            <v/>
          </cell>
          <cell r="J549" t="str">
            <v/>
          </cell>
          <cell r="K549" t="str">
            <v/>
          </cell>
          <cell r="L549" t="str">
            <v/>
          </cell>
        </row>
        <row r="550">
          <cell r="F550" t="str">
            <v>INNQFLP</v>
          </cell>
          <cell r="G550" t="str">
            <v/>
          </cell>
          <cell r="H550" t="str">
            <v/>
          </cell>
          <cell r="I550" t="str">
            <v/>
          </cell>
          <cell r="J550" t="str">
            <v/>
          </cell>
          <cell r="K550" t="str">
            <v/>
          </cell>
          <cell r="L550" t="str">
            <v/>
          </cell>
        </row>
        <row r="551">
          <cell r="F551" t="str">
            <v>INP</v>
          </cell>
          <cell r="G551" t="str">
            <v/>
          </cell>
          <cell r="H551" t="str">
            <v/>
          </cell>
          <cell r="I551" t="str">
            <v/>
          </cell>
          <cell r="J551" t="str">
            <v/>
          </cell>
          <cell r="K551" t="str">
            <v/>
          </cell>
          <cell r="L551" t="str">
            <v/>
          </cell>
        </row>
        <row r="552">
          <cell r="F552" t="str">
            <v>INQF</v>
          </cell>
          <cell r="G552" t="str">
            <v/>
          </cell>
          <cell r="H552" t="str">
            <v/>
          </cell>
          <cell r="I552" t="str">
            <v/>
          </cell>
          <cell r="J552" t="str">
            <v/>
          </cell>
          <cell r="K552" t="str">
            <v/>
          </cell>
          <cell r="L552" t="str">
            <v/>
          </cell>
        </row>
        <row r="553">
          <cell r="F553" t="str">
            <v>INSQ</v>
          </cell>
          <cell r="G553" t="str">
            <v/>
          </cell>
          <cell r="H553" t="str">
            <v/>
          </cell>
          <cell r="I553" t="str">
            <v/>
          </cell>
          <cell r="J553" t="str">
            <v>Isolation and characterization of peptides with antihypertensive activity in foodstuffs.</v>
          </cell>
          <cell r="K553" t="str">
            <v>10.1080/10408398.2012.664829</v>
          </cell>
          <cell r="L553" t="str">
            <v>24915368</v>
          </cell>
        </row>
        <row r="554">
          <cell r="F554" t="str">
            <v>INYWL</v>
          </cell>
          <cell r="G554" t="str">
            <v/>
          </cell>
          <cell r="H554" t="str">
            <v/>
          </cell>
          <cell r="I554" t="str">
            <v/>
          </cell>
          <cell r="J554" t="str">
            <v/>
          </cell>
          <cell r="K554" t="str">
            <v/>
          </cell>
          <cell r="L554" t="str">
            <v/>
          </cell>
        </row>
        <row r="555">
          <cell r="F555" t="str">
            <v>IP</v>
          </cell>
          <cell r="G555" t="str">
            <v/>
          </cell>
          <cell r="H555" t="str">
            <v/>
          </cell>
          <cell r="I555" t="str">
            <v/>
          </cell>
          <cell r="J555"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555" t="str">
            <v>10.1021/jf051263l; 10.1002/psc.892; 10.1007/s00894-010-0862-x; 10.1016/j.jprot.2013.06.023; 10.1016/j.foodchem.2013.05.140</v>
          </cell>
          <cell r="L555" t="str">
            <v>6243277 16448176 17654623 20941517 23806758 23871047</v>
          </cell>
        </row>
        <row r="556">
          <cell r="F556" t="str">
            <v>IPA</v>
          </cell>
          <cell r="G556" t="str">
            <v/>
          </cell>
          <cell r="H556" t="str">
            <v/>
          </cell>
          <cell r="I556" t="str">
            <v/>
          </cell>
          <cell r="J556" t="str">
            <v>Structural analysis of new antihypertensive peptides derived from cheese whey protein by proteinase K digestion.; Structural requirements of Angiotensin I-converting enzyme inhibitory peptides: quantitative structure-activity relationship study of di- and tripeptides.; Antihypertensive peptides: production, bioavailability and incorporation into foods.; Antihypertensive peptides from food proteins: a review.; What are the ideal properties for functional food peptides with antihypertensive effect? A computational peptidology approach.; Isolation and characterization of peptides with antihypertensive activity in foodstuffs.</v>
          </cell>
          <cell r="K556" t="str">
            <v>10.3168/jds.S0022-0302(98)75878-3; 10.1021/jf051263l; 10.1016/j.cis.2010.11.001; 10.1039/c2fo10192k; 10.1016/j.foodchem.2013.05.140; 10.1080/10408398.2012.664829</v>
          </cell>
          <cell r="L556" t="str">
            <v>9891260 16448176 21185549 22249830 23871047 24915368</v>
          </cell>
        </row>
        <row r="557">
          <cell r="F557" t="str">
            <v>IPAI</v>
          </cell>
          <cell r="G557" t="str">
            <v/>
          </cell>
          <cell r="H557" t="str">
            <v/>
          </cell>
          <cell r="I557" t="str">
            <v/>
          </cell>
          <cell r="J557" t="str">
            <v>What are the ideal properties for functional food peptides with antihypertensive effect? A computational peptidology approach.</v>
          </cell>
          <cell r="K557" t="str">
            <v>10.1016/j.foodchem.2013.05.140</v>
          </cell>
          <cell r="L557" t="str">
            <v>23871047</v>
          </cell>
        </row>
        <row r="558">
          <cell r="F558" t="str">
            <v>IPAIN</v>
          </cell>
          <cell r="G558" t="str">
            <v/>
          </cell>
          <cell r="H558" t="str">
            <v/>
          </cell>
          <cell r="I558" t="str">
            <v/>
          </cell>
          <cell r="J558" t="str">
            <v>Angiotensin-converting enzyme inhibitory activity of peptides derived from caprine kefir.</v>
          </cell>
          <cell r="K558" t="str">
            <v>10.3168/jds.S0022-0302(05)73032-0</v>
          </cell>
          <cell r="L558" t="str">
            <v>16162521</v>
          </cell>
        </row>
        <row r="559">
          <cell r="F559" t="str">
            <v>IPF</v>
          </cell>
          <cell r="G559" t="str">
            <v/>
          </cell>
          <cell r="H559" t="str">
            <v/>
          </cell>
          <cell r="I559" t="str">
            <v/>
          </cell>
          <cell r="J559" t="str">
            <v/>
          </cell>
          <cell r="K559" t="str">
            <v/>
          </cell>
          <cell r="L559" t="str">
            <v/>
          </cell>
        </row>
        <row r="560">
          <cell r="F560" t="str">
            <v>IPI</v>
          </cell>
          <cell r="G560" t="str">
            <v/>
          </cell>
          <cell r="H560" t="str">
            <v/>
          </cell>
          <cell r="I560" t="str">
            <v/>
          </cell>
          <cell r="J560" t="str">
            <v/>
          </cell>
          <cell r="K560" t="str">
            <v/>
          </cell>
          <cell r="L560" t="str">
            <v/>
          </cell>
        </row>
        <row r="561">
          <cell r="F561" t="str">
            <v>IPN</v>
          </cell>
          <cell r="G561" t="str">
            <v/>
          </cell>
          <cell r="H561" t="str">
            <v/>
          </cell>
          <cell r="I561" t="str">
            <v/>
          </cell>
          <cell r="J561" t="str">
            <v/>
          </cell>
          <cell r="K561" t="str">
            <v/>
          </cell>
          <cell r="L561" t="str">
            <v/>
          </cell>
        </row>
        <row r="562">
          <cell r="F562" t="str">
            <v>IPNPIGSE</v>
          </cell>
          <cell r="G562" t="str">
            <v/>
          </cell>
          <cell r="H562" t="str">
            <v/>
          </cell>
          <cell r="I562" t="str">
            <v/>
          </cell>
          <cell r="J562" t="str">
            <v>Enterococcus faecalis strains from food, environmental, and clinical origin produce ACE-inhibitory peptides and other bioactive peptides during growth in bovine skim milk.</v>
          </cell>
          <cell r="K562" t="str">
            <v>10.1016/j.ijfoodmicro.2013.06.019</v>
          </cell>
          <cell r="L562" t="str">
            <v>23845432</v>
          </cell>
        </row>
        <row r="563">
          <cell r="F563" t="str">
            <v>IPP</v>
          </cell>
          <cell r="G563" t="str">
            <v/>
          </cell>
          <cell r="H563" t="str">
            <v/>
          </cell>
          <cell r="I563" t="str">
            <v/>
          </cell>
          <cell r="J563" t="str">
            <v>Purification and characterization of angiotensin I-converting enzyme inhibitors from sour milk.; Structural requirements of Angiotensin I-converting enzyme inhibitory peptides: quantitative structure-activity relationship study of di- and tripeptides.; Evaluation of the allergenicity of goat milk, cow milk, and their lactosera in a guinea pig model.; Rheological, sensorial, and chemopreventive properties of milk fermented with exopolysaccharide-producing lactic cultures.; Antihypertensive peptides: production, bioavailability and incorporation into foods.; LC-MS/MS quantification of bioactive angiotensin I-converting enzyme inhibitory peptides in rye malt sourdoughs.; Antihypertensive peptides from food proteins: a review.; VPPIPP and IPPVPP: two hexapeptides innovated to exert antihypertensive activity.; What are the ideal properties for functional food peptides with antihypertensive effect? A computational peptidology approach.; Comparison of analytical methods to assay inhibitors of angiotensin I-converting enzyme.; Isolation and characterization of peptides with antihypertensive activity in foodstuffs.</v>
          </cell>
          <cell r="K563" t="str">
            <v>10.3168/jds.S0022-0302(95)76689-9; 10.1021/jf051263l; 10.3168/jds.2008-1125; 10.3168/jds.2008-1256; 10.1016/j.cis.2010.11.001; 10.1021/jf2033329; 10.1039/c2fo10192k; 10.1371/journal.pone.0062384; 10.1016/j.foodchem.2013.05.140; 10.1016/j.foodchem.2013.06.048; 10.1080/10408398.2012.664829</v>
          </cell>
          <cell r="L563" t="str">
            <v>7790570 16448176 19233776 19233777 21185549 21985248 22249830 23638059 23871047 23993489 24915368</v>
          </cell>
        </row>
        <row r="564">
          <cell r="F564" t="str">
            <v>IPPGVPYWT</v>
          </cell>
          <cell r="G564" t="str">
            <v/>
          </cell>
          <cell r="H564" t="str">
            <v/>
          </cell>
          <cell r="I564" t="str">
            <v/>
          </cell>
          <cell r="J564" t="str">
            <v/>
          </cell>
          <cell r="K564" t="str">
            <v/>
          </cell>
          <cell r="L564" t="str">
            <v/>
          </cell>
        </row>
        <row r="565">
          <cell r="F565" t="str">
            <v>IPPLTQ</v>
          </cell>
          <cell r="G565" t="str">
            <v/>
          </cell>
          <cell r="H565" t="str">
            <v/>
          </cell>
          <cell r="I565" t="str">
            <v/>
          </cell>
          <cell r="J565" t="str">
            <v>Enterococcus faecalis strains from food, environmental, and clinical origin produce ACE-inhibitory peptides and other bioactive peptides during growth in bovine skim milk.</v>
          </cell>
          <cell r="K565" t="str">
            <v>10.1016/j.ijfoodmicro.2013.06.019</v>
          </cell>
          <cell r="L565" t="str">
            <v>23845432</v>
          </cell>
        </row>
        <row r="566">
          <cell r="F566" t="str">
            <v>IPPLTQTPV</v>
          </cell>
          <cell r="G566" t="str">
            <v/>
          </cell>
          <cell r="H566" t="str">
            <v/>
          </cell>
          <cell r="I566" t="str">
            <v/>
          </cell>
          <cell r="J566" t="str">
            <v/>
          </cell>
          <cell r="K566" t="str">
            <v/>
          </cell>
          <cell r="L566" t="str">
            <v/>
          </cell>
        </row>
        <row r="567">
          <cell r="F567" t="str">
            <v>IPPVPP</v>
          </cell>
          <cell r="G567" t="str">
            <v/>
          </cell>
          <cell r="H567" t="str">
            <v/>
          </cell>
          <cell r="I567" t="str">
            <v/>
          </cell>
          <cell r="J567" t="str">
            <v>VPPIPP and IPPVPP: two hexapeptides innovated to exert antihypertensive activity.</v>
          </cell>
          <cell r="K567" t="str">
            <v>10.1371/journal.pone.0062384</v>
          </cell>
          <cell r="L567" t="str">
            <v>23638059</v>
          </cell>
        </row>
        <row r="568">
          <cell r="F568" t="str">
            <v>IPQ</v>
          </cell>
          <cell r="G568" t="str">
            <v/>
          </cell>
          <cell r="H568" t="str">
            <v/>
          </cell>
          <cell r="I568" t="str">
            <v/>
          </cell>
          <cell r="J568" t="str">
            <v>Angiotensin I-converting-enzyme-inhibitory and antibacterial peptides from Lactobacillus helveticus PR4 proteinase-hydrolyzed caseins of milk from six species.</v>
          </cell>
          <cell r="K568" t="str">
            <v>10.1128/AEM.69.9.5297-5305.2003</v>
          </cell>
          <cell r="L568" t="str">
            <v>12957917</v>
          </cell>
        </row>
        <row r="569">
          <cell r="F569" t="str">
            <v>IPQEVLP</v>
          </cell>
          <cell r="G569" t="str">
            <v/>
          </cell>
          <cell r="H569" t="str">
            <v/>
          </cell>
          <cell r="I569" t="str">
            <v/>
          </cell>
          <cell r="J569" t="str">
            <v>Inhibition of angiotensin-converting enzyme by synthetic peptide fragments of various beta-caseins.</v>
          </cell>
          <cell r="K569" t="str">
            <v/>
          </cell>
          <cell r="L569" t="str">
            <v>1368548</v>
          </cell>
        </row>
        <row r="570">
          <cell r="F570" t="str">
            <v>IPT</v>
          </cell>
          <cell r="G570" t="str">
            <v/>
          </cell>
          <cell r="H570" t="str">
            <v/>
          </cell>
          <cell r="I570" t="str">
            <v/>
          </cell>
          <cell r="J570" t="str">
            <v/>
          </cell>
          <cell r="K570" t="str">
            <v/>
          </cell>
          <cell r="L570" t="str">
            <v/>
          </cell>
        </row>
        <row r="571">
          <cell r="F571" t="str">
            <v>IPY</v>
          </cell>
          <cell r="G571" t="str">
            <v/>
          </cell>
          <cell r="H571" t="str">
            <v/>
          </cell>
          <cell r="I571" t="str">
            <v/>
          </cell>
          <cell r="J571" t="str">
            <v>Angiotensin converting enzyme inhibitory peptides derived from food proteins: biochemistry, bioactivity and production.</v>
          </cell>
          <cell r="K571" t="str">
            <v>10.2174/138161207780363068</v>
          </cell>
          <cell r="L571" t="str">
            <v>17430180</v>
          </cell>
        </row>
        <row r="572">
          <cell r="F572" t="str">
            <v>IQ</v>
          </cell>
          <cell r="G572" t="str">
            <v/>
          </cell>
          <cell r="H572" t="str">
            <v/>
          </cell>
          <cell r="I572" t="str">
            <v/>
          </cell>
          <cell r="J572" t="str">
            <v>Three-dimensional holograph vector of atomic interaction field (3D-HoVAIF): a novel rotation-translation invariant 3D structure descriptor and its applications to peptides.</v>
          </cell>
          <cell r="K572" t="str">
            <v>10.1002/psc.892</v>
          </cell>
          <cell r="L572" t="str">
            <v>17654623</v>
          </cell>
        </row>
        <row r="573">
          <cell r="F573" t="str">
            <v>IQF</v>
          </cell>
          <cell r="G573" t="str">
            <v/>
          </cell>
          <cell r="H573" t="str">
            <v/>
          </cell>
          <cell r="I573" t="str">
            <v/>
          </cell>
          <cell r="J573" t="str">
            <v/>
          </cell>
          <cell r="K573" t="str">
            <v/>
          </cell>
          <cell r="L573" t="str">
            <v/>
          </cell>
        </row>
        <row r="574">
          <cell r="F574" t="str">
            <v>IQHST</v>
          </cell>
          <cell r="G574" t="str">
            <v/>
          </cell>
          <cell r="H574" t="str">
            <v/>
          </cell>
          <cell r="I574" t="str">
            <v/>
          </cell>
          <cell r="J574" t="str">
            <v/>
          </cell>
          <cell r="K574" t="str">
            <v/>
          </cell>
          <cell r="L574" t="str">
            <v/>
          </cell>
        </row>
        <row r="575">
          <cell r="F575" t="str">
            <v>IQKEDVPSER</v>
          </cell>
          <cell r="G575" t="str">
            <v/>
          </cell>
          <cell r="H575" t="str">
            <v/>
          </cell>
          <cell r="I575" t="str">
            <v/>
          </cell>
          <cell r="J575" t="str">
            <v>Casein fermentate of Lactobacillus animalis DPC6134 contains a range of novel propeptide angiotensin-converting enzyme inhibitors.</v>
          </cell>
          <cell r="K575" t="str">
            <v>10.1128/AEM.00096-07</v>
          </cell>
          <cell r="L575" t="str">
            <v>17483275</v>
          </cell>
        </row>
        <row r="576">
          <cell r="F576" t="str">
            <v>IQP</v>
          </cell>
          <cell r="G576" t="str">
            <v/>
          </cell>
          <cell r="H576" t="str">
            <v/>
          </cell>
          <cell r="I576" t="str">
            <v/>
          </cell>
          <cell r="J576" t="str">
            <v>Angiotensin I converting enzyme inhibitory peptides produced by autolysis reactions from wheat bran.; Antihypertensive peptides from food proteins: a review.;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576" t="str">
            <v>10.1021/jf900857w; 10.1039/c2fo10192k; 10.1016/j.talanta.2012.12.041; 10.1016/j.foodchem.2013.05.140; 10.1080/10408398.2012.664829</v>
          </cell>
          <cell r="L576" t="str">
            <v>19572648 22249830 23598136 23871047 24915368</v>
          </cell>
        </row>
        <row r="577">
          <cell r="F577" t="str">
            <v>IQW</v>
          </cell>
          <cell r="G577" t="str">
            <v/>
          </cell>
          <cell r="H577" t="str">
            <v/>
          </cell>
          <cell r="I577" t="str">
            <v/>
          </cell>
          <cell r="J577" t="str">
            <v/>
          </cell>
          <cell r="K577" t="str">
            <v/>
          </cell>
          <cell r="L577" t="str">
            <v/>
          </cell>
        </row>
        <row r="578">
          <cell r="F578" t="str">
            <v>IQWCA</v>
          </cell>
          <cell r="G578" t="str">
            <v/>
          </cell>
          <cell r="H578" t="str">
            <v/>
          </cell>
          <cell r="I578" t="str">
            <v/>
          </cell>
          <cell r="J578" t="str">
            <v/>
          </cell>
          <cell r="K578" t="str">
            <v/>
          </cell>
          <cell r="L578" t="str">
            <v/>
          </cell>
        </row>
        <row r="579">
          <cell r="F579" t="str">
            <v>IQY</v>
          </cell>
          <cell r="G579" t="str">
            <v/>
          </cell>
          <cell r="H579" t="str">
            <v/>
          </cell>
          <cell r="I579" t="str">
            <v/>
          </cell>
          <cell r="J579" t="str">
            <v/>
          </cell>
          <cell r="K579" t="str">
            <v/>
          </cell>
          <cell r="L579" t="str">
            <v/>
          </cell>
        </row>
        <row r="580">
          <cell r="F580" t="str">
            <v>IQYCA</v>
          </cell>
          <cell r="G580" t="str">
            <v/>
          </cell>
          <cell r="H580" t="str">
            <v/>
          </cell>
          <cell r="I580" t="str">
            <v/>
          </cell>
          <cell r="J580" t="str">
            <v/>
          </cell>
          <cell r="K580" t="str">
            <v/>
          </cell>
          <cell r="L580" t="str">
            <v/>
          </cell>
        </row>
        <row r="581">
          <cell r="F581" t="str">
            <v>IR</v>
          </cell>
          <cell r="G581" t="str">
            <v/>
          </cell>
          <cell r="H581" t="str">
            <v/>
          </cell>
          <cell r="I581" t="str">
            <v/>
          </cell>
          <cell r="J581" t="str">
            <v>Structural requirements of Angiotensin I-converting enzyme inhibitory peptides: quantitative structure-activity relationship study of di- and tripeptides.; Bioactive peptides in amaranth (Amaranthus hypochondriacus) seed.; Quality and acceptability of a set-type yogurt made from camel milk.; Model of the exofacial substrate-binding site and helical folding of the human Glut1 glucose transporter based on scanning mutagenesis.; Peptides with angiotensin I converting enzyme (ACE) inhibitory activity generated from porcine skeletal muscle proteins by the action of meat-borne Lactobacillus.</v>
          </cell>
          <cell r="K581" t="str">
            <v>10.1021/jf051263l; 10.1021/jf072911z; 10.3168/jds.2008-1408; 10.1021/bi900521n; 10.1016/j.jprot.2013.06.023</v>
          </cell>
          <cell r="L581" t="str">
            <v>16448176 18211015 19233778 19449892 23806758</v>
          </cell>
        </row>
        <row r="582">
          <cell r="F582" t="str">
            <v>IRA</v>
          </cell>
          <cell r="G582" t="str">
            <v/>
          </cell>
          <cell r="H582" t="str">
            <v/>
          </cell>
          <cell r="I582" t="str">
            <v/>
          </cell>
          <cell r="J582" t="str">
            <v>Structures and activity of angiotensin-converting enzyme inhibitors in an alpha-zein hydrolysate.; Structural requirements of Angiotensin I-converting enzyme inhibitory peptides: quantitative structure-activity relationship study of di- and tripeptides.; Bioactive peptides in amaranth (Amaranthus hypochondriacus) seed.; Cellular membrane disruption by amyloid fibrils involved intermolecular disulfide cross-linking.; What are the ideal properties for functional food peptides with antihypertensive effect? A computational peptidology approach.</v>
          </cell>
          <cell r="K582" t="str">
            <v>10.1021/jf051263l; 10.1021/jf072911z; 10.1021/bi900219c; 10.1016/j.foodchem.2013.05.140</v>
          </cell>
          <cell r="L582" t="str">
            <v>1368684 16448176 18211015 19449893 23871047</v>
          </cell>
        </row>
        <row r="583">
          <cell r="F583" t="str">
            <v>IRAQQ</v>
          </cell>
          <cell r="G583" t="str">
            <v/>
          </cell>
          <cell r="H583" t="str">
            <v/>
          </cell>
          <cell r="I583" t="str">
            <v/>
          </cell>
          <cell r="J583" t="str">
            <v>Structures and activity of angiotensin-converting enzyme inhibitors in an alpha-zein hydrolysate.; Cellular membrane disruption by amyloid fibrils involved intermolecular disulfide cross-linking.; A new QSAR model, for angiotensin I-converting enzyme inhibitory oligopeptides.</v>
          </cell>
          <cell r="K583" t="str">
            <v>10.1021/bi900219c; 10.1016/j.foodchem.2012.09.092</v>
          </cell>
          <cell r="L583" t="str">
            <v>1368684 19449893 23194537</v>
          </cell>
        </row>
        <row r="584">
          <cell r="F584" t="str">
            <v>IRD</v>
          </cell>
          <cell r="G584" t="str">
            <v/>
          </cell>
          <cell r="H584" t="str">
            <v/>
          </cell>
          <cell r="I584" t="str">
            <v/>
          </cell>
          <cell r="J584" t="str">
            <v/>
          </cell>
          <cell r="K584" t="str">
            <v/>
          </cell>
          <cell r="L584" t="str">
            <v/>
          </cell>
        </row>
        <row r="585">
          <cell r="F585" t="str">
            <v>IRH</v>
          </cell>
          <cell r="G585" t="str">
            <v/>
          </cell>
          <cell r="H585" t="str">
            <v/>
          </cell>
          <cell r="I585" t="str">
            <v/>
          </cell>
          <cell r="J585" t="str">
            <v/>
          </cell>
          <cell r="K585" t="str">
            <v/>
          </cell>
          <cell r="L585" t="str">
            <v/>
          </cell>
        </row>
        <row r="586">
          <cell r="F586" t="str">
            <v>IRN</v>
          </cell>
          <cell r="G586" t="str">
            <v/>
          </cell>
          <cell r="H586" t="str">
            <v/>
          </cell>
          <cell r="I586" t="str">
            <v/>
          </cell>
          <cell r="J586" t="str">
            <v/>
          </cell>
          <cell r="K586" t="str">
            <v/>
          </cell>
          <cell r="L586" t="str">
            <v/>
          </cell>
        </row>
        <row r="587">
          <cell r="F587" t="str">
            <v>IRP</v>
          </cell>
          <cell r="G587" t="str">
            <v/>
          </cell>
          <cell r="H587" t="str">
            <v/>
          </cell>
          <cell r="I587" t="str">
            <v/>
          </cell>
          <cell r="J587" t="str">
            <v>Angiotensin I-converting enzyme inhibitory peptides derived from bonito bowels autolysate.; Structural requirements of Angiotensin I-converting enzyme inhibitory peptides: quantitative structure-activity relationship study of di- and tripeptides.; What are the ideal properties for functional food peptides with antihypertensive effect? A computational peptidology approach.; Isolation and characterization of peptides with antihypertensive activity in foodstuffs.</v>
          </cell>
          <cell r="K587" t="str">
            <v>10.1271/bbb.57.695; 10.1021/jf051263l; 10.1016/j.foodchem.2013.05.140; 10.1080/10408398.2012.664829</v>
          </cell>
          <cell r="L587" t="str">
            <v>7763772 16448176 23871047 24915368</v>
          </cell>
        </row>
        <row r="588">
          <cell r="F588" t="str">
            <v>IRPVQ</v>
          </cell>
          <cell r="G588" t="str">
            <v/>
          </cell>
          <cell r="H588" t="str">
            <v>An autolysate of bowels isolated from bonito (Katsuwonus pelamis) was obtained as a concentrated solution from a katsuobushi factory in Yamagawa, Kagoshima Prefecture in Japan. In the factory, bowels from frozen bonito were cut out and thawed, and Stomach, intestine, and liver were collected. Fifty kilograms of freshly collected bonito bowels were crushed, added to half their weight of water, and then autolyzed at 50 degree Celsius for 3 h with gentle stirring. Autolysis was stopped by heating at 90 degree Celsius For the five minutes, then two volumes of water was added and the slurry was passed through a 200-mesh screen. The autolysate (AL) was concentrated about ten-fold and stored at 4 degree Celsius. Ten kilograms of the concentrated AL solution was dilute Ten-fold and treated with an ultrafilter SLP-3053 (Asahi Chemical Industry Co., Ltd., 10 000-dalton cut-oft.) When 60 liters of the filtrate had been recovered, 60 liters of water was added to the tank And filter was continued until the total volume of the filtrate reached 120 liters. The remainder of the autolysate (lOOliters) was ultrafiltered in the same manner. About 240 liters of ultrafiltrate (UF-F) was concentrated with a reverse osmotic concentrator (RO) With a loose RO membrane SU-610 (Toray Industries Inc.). About 120 liters of UF-F was put into the tank attached to the RO. The reverse osmosis was done at a reverse osmotic pressure of 3 kgjcm2. After two series of RO produced, 121iters of the concentrate (RO-C) was recovered from the tank. Ion exchange chromatogaphy was used for the next stage of purification. Twenty-eight kg of a cation exchange resin, Amberlite IRA-400 (Rohm and Haas Co. ), Was packed on a column (350 mm id x 500 mm L, Amicon Corp.), pre-treated with 1 N NaOH and washed with water. Two liters of RO-C was put on the column, and non-adsorbed substances which were Eluted with water were collected. The column was washed with 1 N HCI followed by distilled water, and re-activated with 1 N NaOH. After six series of IRA-400 treatments, 550 liters of solution was obtained. The solution was once concentrated with Loose RO, followed by rotary evaporator to 2 liters (IE ,; T). One fourth round of IE-T was adjusted in pH to 13.0 with ammonia and put on a reverse-phase column (4.6mm id x 1000mm L, Amicon Corp. ) Containing the ODS A-60-60 / 30 (yMC Co., Ltd.). After this was washed with distilled water, the eluent with 15% [v / v] of acetonitrile solution was collected. The purified Four repetitions of reverse-phase chromatography followed by vacuum concentration.</v>
          </cell>
          <cell r="I588" t="str">
            <v>Peptide Soup | Vasotensin | Bonito Peptides 500mg * 200 Capsules 100 % Natural</v>
          </cell>
          <cell r="J588" t="str">
            <v>Isolation and characterization of angiotensin I-converting enzyme inhibitory peptides derived from bonito bowels.; A new QSAR model, for angiotensin I-converting enzyme inhibitory oligopeptides.</v>
          </cell>
          <cell r="K588" t="str">
            <v>10.1271/bbb.57.1743; 10.1016/j.foodchem.2012.09.092</v>
          </cell>
          <cell r="L588" t="str">
            <v>7764272 23194537</v>
          </cell>
        </row>
        <row r="589">
          <cell r="F589" t="str">
            <v>IRRGQ</v>
          </cell>
          <cell r="G589" t="str">
            <v/>
          </cell>
          <cell r="H589" t="str">
            <v/>
          </cell>
          <cell r="I589" t="str">
            <v/>
          </cell>
          <cell r="J589" t="str">
            <v/>
          </cell>
          <cell r="K589" t="str">
            <v/>
          </cell>
          <cell r="L589" t="str">
            <v/>
          </cell>
        </row>
        <row r="590">
          <cell r="F590" t="str">
            <v>IRW</v>
          </cell>
          <cell r="G590" t="str">
            <v/>
          </cell>
          <cell r="H590" t="str">
            <v/>
          </cell>
          <cell r="I590" t="str">
            <v/>
          </cell>
          <cell r="J590" t="str">
            <v/>
          </cell>
          <cell r="K590" t="str">
            <v/>
          </cell>
          <cell r="L590" t="str">
            <v/>
          </cell>
        </row>
        <row r="591">
          <cell r="F591" t="str">
            <v>IRWCT</v>
          </cell>
          <cell r="G591" t="str">
            <v/>
          </cell>
          <cell r="H591" t="str">
            <v/>
          </cell>
          <cell r="I591" t="str">
            <v/>
          </cell>
          <cell r="J591" t="str">
            <v/>
          </cell>
          <cell r="K591" t="str">
            <v/>
          </cell>
          <cell r="L591" t="str">
            <v/>
          </cell>
        </row>
        <row r="592">
          <cell r="F592" t="str">
            <v>IRY</v>
          </cell>
          <cell r="G592" t="str">
            <v/>
          </cell>
          <cell r="H592" t="str">
            <v/>
          </cell>
          <cell r="I592" t="str">
            <v/>
          </cell>
          <cell r="J592" t="str">
            <v/>
          </cell>
          <cell r="K592" t="str">
            <v/>
          </cell>
          <cell r="L592" t="str">
            <v/>
          </cell>
        </row>
        <row r="593">
          <cell r="F593" t="str">
            <v>IRYCT</v>
          </cell>
          <cell r="G593" t="str">
            <v/>
          </cell>
          <cell r="H593" t="str">
            <v/>
          </cell>
          <cell r="I593" t="str">
            <v/>
          </cell>
          <cell r="J593" t="str">
            <v/>
          </cell>
          <cell r="K593" t="str">
            <v/>
          </cell>
          <cell r="L593" t="str">
            <v/>
          </cell>
        </row>
        <row r="594">
          <cell r="F594" t="str">
            <v>IRYLPRG</v>
          </cell>
          <cell r="G594" t="str">
            <v/>
          </cell>
          <cell r="H594" t="str">
            <v/>
          </cell>
          <cell r="I594" t="str">
            <v/>
          </cell>
          <cell r="J594" t="str">
            <v>Vegetable foods: a cheap source of proteins and peptides with antihypertensive, antioxidant, and other less occurrence bioactivities.</v>
          </cell>
          <cell r="K594" t="str">
            <v>10.1016/j.talanta.2012.12.041</v>
          </cell>
          <cell r="L594" t="str">
            <v>23598136</v>
          </cell>
        </row>
        <row r="595">
          <cell r="F595" t="str">
            <v>ISHIYVWK</v>
          </cell>
          <cell r="G595" t="str">
            <v/>
          </cell>
          <cell r="H595" t="str">
            <v/>
          </cell>
          <cell r="I595" t="str">
            <v/>
          </cell>
          <cell r="J595" t="str">
            <v>A new QSAR model, for angiotensin I-converting enzyme inhibitory oligopeptides.</v>
          </cell>
          <cell r="K595" t="str">
            <v>10.1016/j.foodchem.2012.09.092</v>
          </cell>
          <cell r="L595" t="str">
            <v>23194537</v>
          </cell>
        </row>
        <row r="596">
          <cell r="F596" t="str">
            <v>ISSSK</v>
          </cell>
          <cell r="G596" t="str">
            <v/>
          </cell>
          <cell r="H596" t="str">
            <v/>
          </cell>
          <cell r="I596" t="str">
            <v/>
          </cell>
          <cell r="J596" t="str">
            <v/>
          </cell>
          <cell r="K596" t="str">
            <v/>
          </cell>
          <cell r="L596" t="str">
            <v/>
          </cell>
        </row>
        <row r="597">
          <cell r="F597" t="str">
            <v>ITC</v>
          </cell>
          <cell r="G597" t="str">
            <v/>
          </cell>
          <cell r="H597" t="str">
            <v/>
          </cell>
          <cell r="I597" t="str">
            <v/>
          </cell>
          <cell r="J597" t="str">
            <v/>
          </cell>
          <cell r="K597" t="str">
            <v/>
          </cell>
          <cell r="L597" t="str">
            <v/>
          </cell>
        </row>
        <row r="598">
          <cell r="F598" t="str">
            <v>ITF</v>
          </cell>
          <cell r="G598" t="str">
            <v/>
          </cell>
          <cell r="H598" t="str">
            <v/>
          </cell>
          <cell r="I598" t="str">
            <v/>
          </cell>
          <cell r="J598" t="str">
            <v>Structural requirements of Angiotensin I-converting enzyme inhibitory peptides: quantitative structure-activity relationship study of di- and tripeptides.; Isolation and characterization of peptides with antihypertensive activity in foodstuffs.</v>
          </cell>
          <cell r="K598" t="str">
            <v>10.1021/jf051263l; 10.1080/10408398.2012.664829</v>
          </cell>
          <cell r="L598" t="str">
            <v>16448176 24915368</v>
          </cell>
        </row>
        <row r="599">
          <cell r="F599" t="str">
            <v>ITP</v>
          </cell>
          <cell r="G599" t="str">
            <v/>
          </cell>
          <cell r="H599" t="str">
            <v/>
          </cell>
          <cell r="I599" t="str">
            <v/>
          </cell>
          <cell r="J599" t="str">
            <v/>
          </cell>
          <cell r="K599" t="str">
            <v/>
          </cell>
          <cell r="L599" t="str">
            <v/>
          </cell>
        </row>
        <row r="600">
          <cell r="F600" t="str">
            <v>ITRINKK</v>
          </cell>
          <cell r="G600" t="str">
            <v/>
          </cell>
          <cell r="H600" t="str">
            <v/>
          </cell>
          <cell r="I600" t="str">
            <v/>
          </cell>
          <cell r="J600" t="str">
            <v>Enterococcus faecalis strains from food, environmental, and clinical origin produce ACE-inhibitory peptides and other bioactive peptides during growth in bovine skim milk.</v>
          </cell>
          <cell r="K600" t="str">
            <v>10.1016/j.ijfoodmicro.2013.06.019</v>
          </cell>
          <cell r="L600" t="str">
            <v>23845432</v>
          </cell>
        </row>
        <row r="601">
          <cell r="F601" t="str">
            <v>ITRY</v>
          </cell>
          <cell r="G601" t="str">
            <v/>
          </cell>
          <cell r="H601" t="str">
            <v/>
          </cell>
          <cell r="I601" t="str">
            <v/>
          </cell>
          <cell r="J601" t="str">
            <v>Isolation and characterization of peptides with antihypertensive activity in foodstuffs.</v>
          </cell>
          <cell r="K601" t="str">
            <v>10.1080/10408398.2012.664829</v>
          </cell>
          <cell r="L601" t="str">
            <v>24915368</v>
          </cell>
        </row>
        <row r="602">
          <cell r="F602" t="str">
            <v>ITT</v>
          </cell>
          <cell r="G602" t="str">
            <v/>
          </cell>
          <cell r="H602" t="str">
            <v/>
          </cell>
          <cell r="I602" t="str">
            <v/>
          </cell>
          <cell r="J602" t="str">
            <v>Structural requirements of Angiotensin I-converting enzyme inhibitory peptides: quantitative structure-activity relationship study of di- and tripeptides.; Peptide inhibitors for angiotensin I-converting enzyme from enzymatic hydrolysates of porcine skeletal muscle proteins.</v>
          </cell>
          <cell r="K602" t="str">
            <v>10.1021/jf051263l; 10.1016/s0309-1740(00)00108-x</v>
          </cell>
          <cell r="L602" t="str">
            <v>16448176 22061507</v>
          </cell>
        </row>
        <row r="603">
          <cell r="F603" t="str">
            <v>ITTNP</v>
          </cell>
          <cell r="G603" t="str">
            <v/>
          </cell>
          <cell r="H603" t="str">
            <v/>
          </cell>
          <cell r="I603" t="str">
            <v/>
          </cell>
          <cell r="J603" t="str">
            <v>Angiotensin-I converting enzyme inhibitory peptide derived from porcine skeletal muscle myosin and its antihypertensive activity in spontaneously hypertensive rats.; Angiotensin I-converting enzyme-inhibitory peptides obtained from chicken collagen hydrolysate.; Peptide inhibitors for angiotensin I-converting enzyme from enzymatic hydrolysates of porcine skeletal muscle proteins.; Antihypertensive peptides from food proteins: a review.; A new QSAR model, for angiotensin I-converting enzyme inhibitory oligopeptides.; Isolation and characterization of peptides with antihypertensive activity in foodstuffs.</v>
          </cell>
          <cell r="K603" t="str">
            <v>10.1111/j.1750-3841.2007.00571.x; 10.1021/jf072669w; 10.1016/s0309-1740(00)00108-x; 10.1039/c2fo10192k; 10.1016/j.foodchem.2012.09.092; 10.1080/10408398.2012.664829</v>
          </cell>
          <cell r="L603" t="str">
            <v>18034756 18808143 22061507 22249830 23194537 24915368</v>
          </cell>
        </row>
        <row r="604">
          <cell r="F604" t="str">
            <v>ITTNPY</v>
          </cell>
          <cell r="G604" t="str">
            <v/>
          </cell>
          <cell r="H604" t="str">
            <v/>
          </cell>
          <cell r="I604" t="str">
            <v/>
          </cell>
          <cell r="J604" t="str">
            <v>Angiotensin I-converting enzyme inhibitory peptides generated from in vitro gastrointestinal digestion of pork meat.</v>
          </cell>
          <cell r="K604" t="str">
            <v>10.1021/jf904204n</v>
          </cell>
          <cell r="L604" t="str">
            <v>20151679</v>
          </cell>
        </row>
        <row r="605">
          <cell r="F605" t="str">
            <v>IV</v>
          </cell>
          <cell r="G605" t="str">
            <v/>
          </cell>
          <cell r="H605" t="str">
            <v/>
          </cell>
          <cell r="I605" t="str">
            <v/>
          </cell>
          <cell r="J605" t="str">
            <v>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v>
          </cell>
          <cell r="K605" t="str">
            <v>10.1002/psc.800; 10.1002/psc.892</v>
          </cell>
          <cell r="L605" t="str">
            <v>17117396 17654623</v>
          </cell>
        </row>
        <row r="606">
          <cell r="F606" t="str">
            <v>IVF</v>
          </cell>
          <cell r="G606" t="str">
            <v/>
          </cell>
          <cell r="H606" t="str">
            <v/>
          </cell>
          <cell r="I606" t="str">
            <v/>
          </cell>
          <cell r="J606" t="str">
            <v>Antihypertensive peptides from food proteins: a review.</v>
          </cell>
          <cell r="K606" t="str">
            <v>10.1039/c2fo10192k</v>
          </cell>
          <cell r="L606" t="str">
            <v>22249830</v>
          </cell>
        </row>
        <row r="607">
          <cell r="F607" t="str">
            <v>IVGRPHQG</v>
          </cell>
          <cell r="G607" t="str">
            <v>chicken muscle</v>
          </cell>
          <cell r="H607" t="str">
            <v/>
          </cell>
          <cell r="I607" t="str">
            <v/>
          </cell>
          <cell r="J607" t="str">
            <v>Temporal gene expression and probiotic attributes of Lactobacillus acidophilus during growth in milk.</v>
          </cell>
          <cell r="K607" t="str">
            <v>10.3168/jds.2008-1457</v>
          </cell>
          <cell r="L607" t="str">
            <v>19233780</v>
          </cell>
        </row>
        <row r="608">
          <cell r="F608" t="str">
            <v>IVGRPR</v>
          </cell>
          <cell r="G608" t="str">
            <v/>
          </cell>
          <cell r="H608" t="str">
            <v/>
          </cell>
          <cell r="I608" t="str">
            <v/>
          </cell>
          <cell r="J608" t="str">
            <v>Antihypertensive peptides from food proteins: a review.; A new QSAR model, for angiotensin I-converting enzyme inhibitory oligopeptides.</v>
          </cell>
          <cell r="K608" t="str">
            <v>10.1039/c2fo10192k; 10.1016/j.foodchem.2012.09.092</v>
          </cell>
          <cell r="L608" t="str">
            <v>22249830 23194537</v>
          </cell>
        </row>
        <row r="609">
          <cell r="F609" t="str">
            <v>IVGRPRH</v>
          </cell>
          <cell r="G609" t="str">
            <v/>
          </cell>
          <cell r="H609" t="str">
            <v/>
          </cell>
          <cell r="I609" t="str">
            <v/>
          </cell>
          <cell r="J609" t="str">
            <v>Review on the angiotensin-I-converting enzyme (ACE) inhibitor peptides from marine proteins.</v>
          </cell>
          <cell r="K609" t="str">
            <v>10.1007/s12010-012-0024-y</v>
          </cell>
          <cell r="L609" t="str">
            <v>23271625</v>
          </cell>
        </row>
        <row r="610">
          <cell r="F610" t="str">
            <v>IVGRPRHQG</v>
          </cell>
          <cell r="G610" t="str">
            <v/>
          </cell>
          <cell r="H610" t="str">
            <v/>
          </cell>
          <cell r="I610" t="str">
            <v/>
          </cell>
          <cell r="J610" t="str">
            <v>Peptide inhibitors for angiotensin I-converting enzyme from thermolysin digest of dried bonito.; QSAR study on angiotensin-converting enzyme inhibitor oligopeptides based on a novel set of sequence information descriptors.; Antihypertensive peptides from food proteins: a review.; A new QSAR model, for angiotensin I-converting enzyme inhibitory oligopeptides.; Review on the angiotensin-I-converting enzyme (ACE) inhibitor peptides from marine proteins.; Isolation and characterization of peptides with antihypertensive activity in foodstuffs.</v>
          </cell>
          <cell r="K610" t="str">
            <v>10.1271/bbb.56.1541; 10.1007/s00894-010-0862-x; 10.1039/c2fo10192k; 10.1016/j.foodchem.2012.09.092; 10.1007/s12010-012-0024-y; 10.1080/10408398.2012.664829</v>
          </cell>
          <cell r="L610" t="str">
            <v>1369054 20941517 22249830 23194537 23271625 24915368</v>
          </cell>
        </row>
        <row r="611">
          <cell r="F611" t="str">
            <v>IVGRRRHQG</v>
          </cell>
          <cell r="G611" t="str">
            <v/>
          </cell>
          <cell r="H611" t="str">
            <v/>
          </cell>
          <cell r="I611" t="str">
            <v/>
          </cell>
          <cell r="J611" t="str">
            <v/>
          </cell>
          <cell r="K611" t="str">
            <v/>
          </cell>
          <cell r="L611" t="str">
            <v/>
          </cell>
        </row>
        <row r="612">
          <cell r="F612" t="str">
            <v>IVIF</v>
          </cell>
          <cell r="G612" t="str">
            <v/>
          </cell>
          <cell r="H612" t="str">
            <v/>
          </cell>
          <cell r="I612" t="str">
            <v/>
          </cell>
          <cell r="J612" t="str">
            <v>What are the ideal properties for functional food peptides with antihypertensive effect? A computational peptidology approach.</v>
          </cell>
          <cell r="K612" t="str">
            <v>10.1016/j.foodchem.2013.05.140</v>
          </cell>
          <cell r="L612" t="str">
            <v>23871047</v>
          </cell>
        </row>
        <row r="613">
          <cell r="F613" t="str">
            <v>IVPNSVEQKH</v>
          </cell>
          <cell r="G613" t="str">
            <v/>
          </cell>
          <cell r="H613" t="str">
            <v/>
          </cell>
          <cell r="I613" t="str">
            <v/>
          </cell>
          <cell r="J613" t="str">
            <v>Casein fermentate of Lactobacillus animalis DPC6134 contains a range of novel propeptide angiotensin-converting enzyme inhibitors.</v>
          </cell>
          <cell r="K613" t="str">
            <v>10.1128/AEM.00096-07</v>
          </cell>
          <cell r="L613" t="str">
            <v>17483275</v>
          </cell>
        </row>
        <row r="614">
          <cell r="F614" t="str">
            <v>IVQ</v>
          </cell>
          <cell r="G614" t="str">
            <v/>
          </cell>
          <cell r="H614" t="str">
            <v/>
          </cell>
          <cell r="I614" t="str">
            <v/>
          </cell>
          <cell r="J614" t="str">
            <v>Structural requirements of Angiotensin I-converting enzyme inhibitory peptides: quantitative structure-activity relationship study of di- and tripeptides.</v>
          </cell>
          <cell r="K614" t="str">
            <v>10.1021/jf051263l</v>
          </cell>
          <cell r="L614" t="str">
            <v>16448176</v>
          </cell>
        </row>
        <row r="615">
          <cell r="F615" t="str">
            <v>IVVE</v>
          </cell>
          <cell r="G615" t="str">
            <v/>
          </cell>
          <cell r="H615" t="str">
            <v/>
          </cell>
          <cell r="I615" t="str">
            <v/>
          </cell>
          <cell r="J615" t="str">
            <v>Review on the angiotensin-I-converting enzyme (ACE) inhibitor peptides from marine proteins.; Vegetable foods: a cheap source of proteins and peptides with antihypertensive, antioxidant, and other less occurrence bioactivities.</v>
          </cell>
          <cell r="K615" t="str">
            <v>10.1007/s12010-012-0024-y; 10.1016/j.talanta.2012.12.041</v>
          </cell>
          <cell r="L615" t="str">
            <v>23271625 23598136</v>
          </cell>
        </row>
        <row r="616">
          <cell r="F616" t="str">
            <v>IVY</v>
          </cell>
          <cell r="G616" t="str">
            <v/>
          </cell>
          <cell r="H616" t="str">
            <v/>
          </cell>
          <cell r="I616" t="str">
            <v/>
          </cell>
          <cell r="J616" t="str">
            <v>Determination of antihypertensive small peptides, Val-Tyr and Ile-Val-Tyr, by fluorometric high-performance liquid chromatography combined with a double heart-cut column-switching technique.; Structural requirements of Angiotensin I-converting enzyme inhibitory peptides: quantitative structure-activity relationship study of di- and tripeptides.; Antihypertensive effect of angiotensin I-converting enzyme inhibitory peptides from a sesame protein hydrolysate in spontaneously hypertensive rats.; Inhibition strength of short peptides derived from an ACE inhibitory peptide.; Vegetable foods: a cheap source of proteins and peptides with antihypertensive, antioxidant, and other less occurrence bioactivities.; What are the ideal properties for functional food peptides with antihypertensive effect? A computational peptidology approach.; Comparison of analytical methods to assay inhibitors of angiotensin I-converting enzyme.; Isolation and characterization of peptides with antihypertensive activity in foodstuffs.</v>
          </cell>
          <cell r="K616" t="str">
            <v>10.2116/analsci.21.997; 10.1021/jf051263l; 10.1271/bbb.70.1118; 10.1021/jf202902r; 10.1016/j.talanta.2012.12.041; 10.1016/j.foodchem.2013.05.140; 10.1016/j.foodchem.2013.06.048; 10.1080/10408398.2012.664829</v>
          </cell>
          <cell r="L616" t="str">
            <v>16122175 16448176 16717411 21923188 23598136 23871047 23993489 24915368</v>
          </cell>
        </row>
        <row r="617">
          <cell r="F617" t="str">
            <v>IW</v>
          </cell>
          <cell r="G617" t="str">
            <v/>
          </cell>
          <cell r="H617" t="str">
            <v/>
          </cell>
          <cell r="I617" t="str">
            <v/>
          </cell>
          <cell r="J617" t="str">
            <v>Angiotensin I-converting enzyme inhibitory peptides derived from wakame (Undaria pinnatifida) and their antihypertensive effect in spontaneously hypertensive rats.; Antihypertensive effects of Undaria pinnatifida (wakame) peptide on blood pressure in spontaneously hypertensive rats.;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Inhibition strength of short peptides derived from an ACE inhibitory peptide.; Antihypertensive peptides from food proteins: a review.;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617" t="str">
            <v>10.1021/jf020482t; 10.1016/j.jnutbio.2003.11.004; 10.1021/jf051263l; 10.1002/psc.892; 10.1007/s00894-010-0862-x; 10.1021/jf202902r; 10.1039/c2fo10192k; 10.1007/s12010-012-0024-y; 10.1016/j.talanta.2012.12.041; 10.1016/j.foodchem.2013.05.140; 10.1080/10408398.2012.664829</v>
          </cell>
          <cell r="L617" t="str">
            <v>12358510 15135150 16448176 17654623 20941517 21923188 22249830 23271625 23598136 23871047 24915368</v>
          </cell>
        </row>
        <row r="618">
          <cell r="F618" t="str">
            <v>IWH</v>
          </cell>
          <cell r="G618" t="str">
            <v/>
          </cell>
          <cell r="H618" t="str">
            <v/>
          </cell>
          <cell r="I618" t="str">
            <v/>
          </cell>
          <cell r="J618" t="str">
            <v>Structural requirements of Angiotensin I-converting enzyme inhibitory peptides: quantitative structure-activity relationship study of di- and tripeptides.; Antihypertensive peptides from food proteins: a review.; Review on the angiotensin-I-converting enzyme (ACE) inhibitor peptides from marine proteins.</v>
          </cell>
          <cell r="K618" t="str">
            <v>10.1021/jf051263l; 10.1039/c2fo10192k; 10.1007/s12010-012-0024-y</v>
          </cell>
          <cell r="L618" t="str">
            <v>16448176 22249830 23271625</v>
          </cell>
        </row>
        <row r="619">
          <cell r="F619" t="str">
            <v>IWHHT</v>
          </cell>
          <cell r="G619" t="str">
            <v/>
          </cell>
          <cell r="H619" t="str">
            <v/>
          </cell>
          <cell r="I619" t="str">
            <v/>
          </cell>
          <cell r="J619" t="str">
            <v>Peptide inhibitors for angiotensin I-converting enzyme from thermolysin digest of dried bonito.; Antihypertensive peptides from food proteins: a review.; A new QSAR model, for angiotensin I-converting enzyme inhibitory oligopeptides.; Review on the angiotensin-I-converting enzyme (ACE) inhibitor peptides from marine proteins.</v>
          </cell>
          <cell r="K619" t="str">
            <v>10.1271/bbb.56.1541; 10.1039/c2fo10192k; 10.1016/j.foodchem.2012.09.092; 10.1007/s12010-012-0024-y</v>
          </cell>
          <cell r="L619" t="str">
            <v>1369054 22249830 23194537 23271625</v>
          </cell>
        </row>
        <row r="620">
          <cell r="F620" t="str">
            <v>IY</v>
          </cell>
          <cell r="G620" t="str">
            <v>pea vicilin</v>
          </cell>
          <cell r="H620" t="str">
            <v/>
          </cell>
          <cell r="I620" t="str">
            <v/>
          </cell>
          <cell r="J620" t="str">
            <v>Peptide inhibitors for angiotensin I-converting enzyme from thermolysin digest of dried bonito.; Angiotensin I-converting enzyme inhibitory peptides in an alkaline protease hydrolyzate derived from sardine muscle.; Angiotensin I-converting enzyme inhibitory peptides derived from wakame (Undaria pinnatifida) and their antihypertensive effect in spontaneously hypertensive rats.; New antihypertensive peptides isolated from rapeseed.; Antihypertensive effects of Undaria pinnatifida (wakame) peptide on blood pressure in spontaneously hypertensive rats.;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Bioactive peptides in amaranth (Amaranthus hypochondriacus) seed.; Model of the exofacial substrate-binding site and helical folding of the human Glut1 glucose transporter based on scanning mutagenesis.; Angiotensin I converting enzyme inhibitory peptides produced by autolysis reactions from wheat bran.; Antihypertensive peptides from food proteins: a review.; Review on the angiotensin-I-converting enzyme (ACE) inhibitor peptides from marine proteins.;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Glycinyl-histidinyl-serine (GHS), a novel rapeseed protein-derived peptide has blood pressure-lowering effect in spontaneously hypertensive rats.; Isolation and characterization of peptides with antihypertensive activity in foodstuffs.</v>
          </cell>
          <cell r="K620" t="str">
            <v>10.1271/bbb.56.1541; 10.1271/bbb.58.2244; 10.1021/jf020482t; 10.1016/s0196-9781(03)00174-8; 10.1016/j.jnutbio.2003.11.004; 10.1021/jf051263l; 10.1002/psc.892; 10.1021/jf072911z; 10.1021/bi900521n; 10.1021/jf900857w; 10.1039/c2fo10192k; 10.1007/s12010-012-0024-y; 10.1016/j.talanta.2012.12.041; 10.1016/j.jprot.2013.06.023; 10.1016/j.foodchem.2013.05.140; 10.1021/jf400865m; 10.1080/10408398.2012.664829</v>
          </cell>
          <cell r="L620" t="str">
            <v>1369054 7765718 12358510 12948830 15135150 16448176 17654623 18211015 19449892 19572648 22249830 23271625 23598136 23806758 23871047 23919612 24915368</v>
          </cell>
        </row>
        <row r="621">
          <cell r="F621" t="str">
            <v>IYEGY</v>
          </cell>
          <cell r="G621" t="str">
            <v/>
          </cell>
          <cell r="H621" t="str">
            <v/>
          </cell>
          <cell r="I621" t="str">
            <v/>
          </cell>
          <cell r="J621" t="str">
            <v/>
          </cell>
          <cell r="K621" t="str">
            <v/>
          </cell>
          <cell r="L621" t="str">
            <v/>
          </cell>
        </row>
        <row r="622">
          <cell r="F622" t="str">
            <v>IYK</v>
          </cell>
          <cell r="G622" t="str">
            <v/>
          </cell>
          <cell r="H622" t="str">
            <v/>
          </cell>
          <cell r="I622" t="str">
            <v/>
          </cell>
          <cell r="J622" t="str">
            <v/>
          </cell>
          <cell r="K622" t="str">
            <v/>
          </cell>
          <cell r="L622" t="str">
            <v/>
          </cell>
        </row>
        <row r="623">
          <cell r="F623" t="str">
            <v>IYLL</v>
          </cell>
          <cell r="G623" t="str">
            <v/>
          </cell>
          <cell r="H623" t="str">
            <v/>
          </cell>
          <cell r="I623" t="str">
            <v/>
          </cell>
          <cell r="J623" t="str">
            <v>Vegetable foods: a cheap source of proteins and peptides with antihypertensive, antioxidant, and other less occurrence bioactivities.; Isolation and characterization of peptides with antihypertensive activity in foodstuffs.</v>
          </cell>
          <cell r="K623" t="str">
            <v>10.1016/j.talanta.2012.12.041; 10.1080/10408398.2012.664829</v>
          </cell>
          <cell r="L623" t="str">
            <v>23598136 24915368</v>
          </cell>
        </row>
        <row r="624">
          <cell r="F624" t="str">
            <v>IYP</v>
          </cell>
          <cell r="G624" t="str">
            <v/>
          </cell>
          <cell r="H624" t="str">
            <v/>
          </cell>
          <cell r="I624" t="str">
            <v/>
          </cell>
          <cell r="J624" t="str">
            <v>The potential role of milk-derived peptides in cardiovascular disease.; What are the ideal properties for functional food peptides with antihypertensive effect? A computational peptidology approach.</v>
          </cell>
          <cell r="K624" t="str">
            <v>10.1039/c1fo10017c; 10.1016/j.foodchem.2013.05.140</v>
          </cell>
          <cell r="L624" t="str">
            <v>21779574 23871047</v>
          </cell>
        </row>
        <row r="625">
          <cell r="F625" t="str">
            <v>IYPR</v>
          </cell>
          <cell r="G625" t="str">
            <v/>
          </cell>
          <cell r="H625" t="str">
            <v/>
          </cell>
          <cell r="I625" t="str">
            <v/>
          </cell>
          <cell r="J625" t="str">
            <v>Structure and activity of angiotensin I converting enzyme inhibitory peptides from sake and sake lees.</v>
          </cell>
          <cell r="K625" t="str">
            <v>10.1271/bbb.58.1767</v>
          </cell>
          <cell r="L625" t="str">
            <v>7765503</v>
          </cell>
        </row>
        <row r="626">
          <cell r="F626" t="str">
            <v>IYPRY</v>
          </cell>
          <cell r="G626" t="str">
            <v/>
          </cell>
          <cell r="H626" t="str">
            <v/>
          </cell>
          <cell r="I626" t="str">
            <v/>
          </cell>
          <cell r="J626" t="str">
            <v>Structure and activity of angiotensin I converting enzyme inhibitory peptides from sake and sake lees.; A new QSAR model, for angiotensin I-converting enzyme inhibitory oligopeptides.; Vegetable foods: a cheap source of proteins and peptides with antihypertensive, antioxidant, and other less occurrence bioactivities.</v>
          </cell>
          <cell r="K626" t="str">
            <v>10.1271/bbb.58.1767; 10.1016/j.foodchem.2012.09.092; 10.1016/j.talanta.2012.12.041</v>
          </cell>
          <cell r="L626" t="str">
            <v>7765503 23194537 23598136</v>
          </cell>
        </row>
        <row r="627">
          <cell r="F627" t="str">
            <v>IYPSFQPQPLIYP</v>
          </cell>
          <cell r="G627" t="str">
            <v/>
          </cell>
          <cell r="H627" t="str">
            <v/>
          </cell>
          <cell r="I627" t="str">
            <v/>
          </cell>
          <cell r="J627" t="str">
            <v/>
          </cell>
          <cell r="K627" t="str">
            <v/>
          </cell>
          <cell r="L627" t="str">
            <v/>
          </cell>
        </row>
        <row r="628">
          <cell r="F628" t="str">
            <v>IYSNN</v>
          </cell>
          <cell r="G628" t="str">
            <v/>
          </cell>
          <cell r="H628" t="str">
            <v/>
          </cell>
          <cell r="I628" t="str">
            <v/>
          </cell>
          <cell r="J628" t="str">
            <v/>
          </cell>
          <cell r="K628" t="str">
            <v/>
          </cell>
          <cell r="L628" t="str">
            <v/>
          </cell>
        </row>
        <row r="629">
          <cell r="F629" t="str">
            <v>JEWPPGHHIPP</v>
          </cell>
          <cell r="G629" t="str">
            <v/>
          </cell>
          <cell r="H629" t="str">
            <v/>
          </cell>
          <cell r="I629" t="str">
            <v/>
          </cell>
          <cell r="J629" t="str">
            <v>Identification of novel bradykinin-potentiating peptides and C-type natriuretic peptide from Lachesis muta venom.</v>
          </cell>
          <cell r="K629" t="str">
            <v>10.1016/j.toxicon.2005.03.006</v>
          </cell>
          <cell r="L629" t="str">
            <v>15876444</v>
          </cell>
        </row>
        <row r="630">
          <cell r="F630" t="str">
            <v>JGGWPRPGPEIPP</v>
          </cell>
          <cell r="G630" t="str">
            <v/>
          </cell>
          <cell r="H630" t="str">
            <v/>
          </cell>
          <cell r="I630" t="str">
            <v/>
          </cell>
          <cell r="J630" t="str">
            <v>Angiotensin-converting enzyme inhibitors from the venom of Bothrops jararaca. Isolation, elucidation of structure, and synthesis.</v>
          </cell>
          <cell r="K630" t="str">
            <v>10.1021/bi00798a004</v>
          </cell>
          <cell r="L630" t="str">
            <v>4334402</v>
          </cell>
        </row>
        <row r="631">
          <cell r="F631" t="str">
            <v>JGLPPGPPIPP</v>
          </cell>
          <cell r="G631" t="str">
            <v/>
          </cell>
          <cell r="H631" t="str">
            <v/>
          </cell>
          <cell r="I631" t="str">
            <v/>
          </cell>
          <cell r="J631" t="str">
            <v>Bradykinin-potentiating peptides from the venom of Agkistrodon halys blomhoffi. Isolation of five bradykinin potentiators and the amino acid sequences of two of them, potentiators B and C.</v>
          </cell>
          <cell r="K631" t="str">
            <v>10.1021/bi00782a007</v>
          </cell>
          <cell r="L631" t="str">
            <v>4323853</v>
          </cell>
        </row>
        <row r="632">
          <cell r="F632" t="str">
            <v>JGLPPGPVIPP</v>
          </cell>
          <cell r="G632" t="str">
            <v/>
          </cell>
          <cell r="H632" t="str">
            <v/>
          </cell>
          <cell r="I632" t="str">
            <v/>
          </cell>
          <cell r="J632" t="str">
            <v>Inhibition of angiotensin-coverting enzyme by analogs of peptides from Bothrops jararaca venom.</v>
          </cell>
          <cell r="K632" t="str">
            <v>10.1007/BF01930447</v>
          </cell>
          <cell r="L632" t="str">
            <v>4354751</v>
          </cell>
        </row>
        <row r="633">
          <cell r="F633" t="str">
            <v>JGLPPRPKIPP</v>
          </cell>
          <cell r="G633" t="str">
            <v/>
          </cell>
          <cell r="H633" t="str">
            <v/>
          </cell>
          <cell r="I633" t="str">
            <v/>
          </cell>
          <cell r="J633" t="str">
            <v/>
          </cell>
          <cell r="K633" t="str">
            <v/>
          </cell>
          <cell r="L633" t="str">
            <v/>
          </cell>
        </row>
        <row r="634">
          <cell r="F634" t="str">
            <v>JGRPPGPPIP</v>
          </cell>
          <cell r="G634" t="str">
            <v/>
          </cell>
          <cell r="H634" t="str">
            <v/>
          </cell>
          <cell r="I634" t="str">
            <v/>
          </cell>
          <cell r="J634" t="str">
            <v>Structure of potentiator A, one of the five bradykinin potentiating peptides from the venom of Agkistrodon halys blomhoffii.</v>
          </cell>
          <cell r="K634" t="str">
            <v>10.1007/BF01926673</v>
          </cell>
          <cell r="L634" t="str">
            <v>4730295</v>
          </cell>
        </row>
        <row r="635">
          <cell r="F635" t="str">
            <v>JKKWPPGHHIPP</v>
          </cell>
          <cell r="G635" t="str">
            <v/>
          </cell>
          <cell r="H635" t="str">
            <v/>
          </cell>
          <cell r="I635" t="str">
            <v/>
          </cell>
          <cell r="J635" t="str">
            <v>Identification of novel bradykinin-potentiating peptides and C-type natriuretic peptide from Lachesis muta venom.</v>
          </cell>
          <cell r="K635" t="str">
            <v>10.1016/j.toxicon.2005.03.006</v>
          </cell>
          <cell r="L635" t="str">
            <v>15876444</v>
          </cell>
        </row>
        <row r="636">
          <cell r="F636" t="str">
            <v>JKPWPPGHHIPP</v>
          </cell>
          <cell r="G636" t="str">
            <v/>
          </cell>
          <cell r="H636" t="str">
            <v/>
          </cell>
          <cell r="I636" t="str">
            <v/>
          </cell>
          <cell r="J636" t="str">
            <v>Identification of novel bradykinin-potentiating peptides and C-type natriuretic peptide from Lachesis muta venom.</v>
          </cell>
          <cell r="K636" t="str">
            <v>10.1016/j.toxicon.2005.03.006</v>
          </cell>
          <cell r="L636" t="str">
            <v>15876444</v>
          </cell>
        </row>
        <row r="637">
          <cell r="F637" t="str">
            <v>JKW</v>
          </cell>
          <cell r="G637" t="str">
            <v/>
          </cell>
          <cell r="H637" t="str">
            <v/>
          </cell>
          <cell r="I637" t="str">
            <v/>
          </cell>
          <cell r="J637" t="str">
            <v>Primary structure and biological activity of bradykinin potentiating peptides from Bothrops insularis snake venom.</v>
          </cell>
          <cell r="K637" t="str">
            <v>10.1007/BF01025312</v>
          </cell>
          <cell r="L637" t="str">
            <v>2386615</v>
          </cell>
        </row>
        <row r="638">
          <cell r="F638" t="str">
            <v>JKWALPKVPP</v>
          </cell>
          <cell r="G638" t="str">
            <v/>
          </cell>
          <cell r="H638" t="str">
            <v/>
          </cell>
          <cell r="I638" t="str">
            <v/>
          </cell>
          <cell r="J638" t="str">
            <v>High throughput screening of bradykinin-potentiating peptides in Bothrops moojeni snake venom using precursor ion mass spectrometry.</v>
          </cell>
          <cell r="K638" t="str">
            <v>10.1016/j.toxicon.2008.02.019</v>
          </cell>
          <cell r="L638" t="str">
            <v>18471845</v>
          </cell>
        </row>
        <row r="639">
          <cell r="F639" t="str">
            <v>JKWAP</v>
          </cell>
          <cell r="G639" t="str">
            <v/>
          </cell>
          <cell r="H639" t="str">
            <v/>
          </cell>
          <cell r="I639" t="str">
            <v/>
          </cell>
          <cell r="J639" t="str">
            <v>Isolation of bradykinin-potentiating peptides from Bothrops jararaca venom.</v>
          </cell>
          <cell r="K639" t="str">
            <v>10.1021/bi00815a005</v>
          </cell>
          <cell r="L639" t="str">
            <v>4317874</v>
          </cell>
        </row>
        <row r="640">
          <cell r="F640" t="str">
            <v>JKWDPPPISPP</v>
          </cell>
          <cell r="G640" t="str">
            <v/>
          </cell>
          <cell r="H640" t="str">
            <v/>
          </cell>
          <cell r="I640" t="str">
            <v/>
          </cell>
          <cell r="J640" t="str">
            <v>Identification of novel bradykinin-potentiating peptides and C-type natriuretic peptide from Lachesis muta venom.</v>
          </cell>
          <cell r="K640" t="str">
            <v>10.1016/j.toxicon.2005.03.006</v>
          </cell>
          <cell r="L640" t="str">
            <v>15876444</v>
          </cell>
        </row>
        <row r="641">
          <cell r="F641" t="str">
            <v>JKWDPPPPSPP</v>
          </cell>
          <cell r="G641" t="str">
            <v/>
          </cell>
          <cell r="H641" t="str">
            <v/>
          </cell>
          <cell r="I641" t="str">
            <v/>
          </cell>
          <cell r="J641" t="str">
            <v>Inhibition of angiotensin-coverting enzyme by analogs of peptides from Bothrops jararaca venom.</v>
          </cell>
          <cell r="K641" t="str">
            <v>10.1007/BF01930447</v>
          </cell>
          <cell r="L641" t="str">
            <v>4354751</v>
          </cell>
        </row>
        <row r="642">
          <cell r="F642" t="str">
            <v>JKWDPPPVSPP</v>
          </cell>
          <cell r="G642" t="str">
            <v/>
          </cell>
          <cell r="H642" t="str">
            <v/>
          </cell>
          <cell r="I642" t="str">
            <v/>
          </cell>
          <cell r="J642" t="str">
            <v>Structure of bradykinin-potentiating peptide containing tryptophan from the venom of Agkistrodon halys blomhoffii.</v>
          </cell>
          <cell r="K642" t="str">
            <v>10.1007/BF01897966</v>
          </cell>
          <cell r="L642" t="str">
            <v>5530287</v>
          </cell>
        </row>
        <row r="643">
          <cell r="F643" t="str">
            <v>JKWHRNPEIP</v>
          </cell>
          <cell r="G643" t="str">
            <v/>
          </cell>
          <cell r="H643" t="str">
            <v/>
          </cell>
          <cell r="I643" t="str">
            <v/>
          </cell>
          <cell r="J643" t="str">
            <v>High throughput screening of bradykinin-potentiating peptides in Bothrops moojeni snake venom using precursor ion mass spectrometry.</v>
          </cell>
          <cell r="K643" t="str">
            <v>10.1016/j.toxicon.2008.02.019</v>
          </cell>
          <cell r="L643" t="str">
            <v>18471845</v>
          </cell>
        </row>
        <row r="644">
          <cell r="F644" t="str">
            <v>JKWP</v>
          </cell>
          <cell r="G644" t="str">
            <v/>
          </cell>
          <cell r="H644" t="str">
            <v/>
          </cell>
          <cell r="I644" t="str">
            <v/>
          </cell>
          <cell r="J644" t="str">
            <v>High throughput screening of bradykinin-potentiating peptides in Bothrops moojeni snake venom using precursor ion mass spectrometry.</v>
          </cell>
          <cell r="K644" t="str">
            <v>10.1016/j.toxicon.2008.02.019</v>
          </cell>
          <cell r="L644" t="str">
            <v>18471845</v>
          </cell>
        </row>
        <row r="645">
          <cell r="F645" t="str">
            <v>JKWPGPK</v>
          </cell>
          <cell r="G645" t="str">
            <v/>
          </cell>
          <cell r="H645" t="str">
            <v/>
          </cell>
          <cell r="I645" t="str">
            <v/>
          </cell>
          <cell r="J645" t="str">
            <v>High throughput screening of bradykinin-potentiating peptides in Bothrops moojeni snake venom using precursor ion mass spectrometry.</v>
          </cell>
          <cell r="K645" t="str">
            <v>10.1016/j.toxicon.2008.02.019</v>
          </cell>
          <cell r="L645" t="str">
            <v>18471845</v>
          </cell>
        </row>
        <row r="646">
          <cell r="F646" t="str">
            <v>JKWPGPKVP</v>
          </cell>
          <cell r="G646" t="str">
            <v/>
          </cell>
          <cell r="H646" t="str">
            <v/>
          </cell>
          <cell r="I646" t="str">
            <v/>
          </cell>
          <cell r="J646" t="str">
            <v>High throughput screening of bradykinin-potentiating peptides in Bothrops moojeni snake venom using precursor ion mass spectrometry.</v>
          </cell>
          <cell r="K646" t="str">
            <v>10.1016/j.toxicon.2008.02.019</v>
          </cell>
          <cell r="L646" t="str">
            <v>18471845</v>
          </cell>
        </row>
        <row r="647">
          <cell r="F647" t="str">
            <v>JKWPHEHPP</v>
          </cell>
          <cell r="G647" t="str">
            <v/>
          </cell>
          <cell r="H647" t="str">
            <v/>
          </cell>
          <cell r="I647" t="str">
            <v/>
          </cell>
          <cell r="J647" t="str">
            <v>High throughput screening of bradykinin-potentiating peptides in Bothrops moojeni snake venom using precursor ion mass spectrometry.</v>
          </cell>
          <cell r="K647" t="str">
            <v>10.1016/j.toxicon.2008.02.019</v>
          </cell>
          <cell r="L647" t="str">
            <v>18471845</v>
          </cell>
        </row>
        <row r="648">
          <cell r="F648" t="str">
            <v>JKWPKGPLPP</v>
          </cell>
          <cell r="G648" t="str">
            <v/>
          </cell>
          <cell r="H648" t="str">
            <v/>
          </cell>
          <cell r="I648" t="str">
            <v/>
          </cell>
          <cell r="J648" t="str">
            <v>High throughput screening of bradykinin-potentiating peptides in Bothrops moojeni snake venom using precursor ion mass spectrometry.</v>
          </cell>
          <cell r="K648" t="str">
            <v>10.1016/j.toxicon.2008.02.019</v>
          </cell>
          <cell r="L648" t="str">
            <v>18471845</v>
          </cell>
        </row>
        <row r="649">
          <cell r="F649" t="str">
            <v>JKWPPGKVPP</v>
          </cell>
          <cell r="G649" t="str">
            <v/>
          </cell>
          <cell r="H649" t="str">
            <v/>
          </cell>
          <cell r="I649" t="str">
            <v/>
          </cell>
          <cell r="J649" t="str">
            <v>High throughput screening of bradykinin-potentiating peptides in Bothrops moojeni snake venom using precursor ion mass spectrometry.</v>
          </cell>
          <cell r="K649" t="str">
            <v>10.1016/j.toxicon.2008.02.019</v>
          </cell>
          <cell r="L649" t="str">
            <v>18471845</v>
          </cell>
        </row>
        <row r="650">
          <cell r="F650" t="str">
            <v>JKWPRP</v>
          </cell>
          <cell r="G650" t="str">
            <v/>
          </cell>
          <cell r="H650" t="str">
            <v/>
          </cell>
          <cell r="I650" t="str">
            <v/>
          </cell>
          <cell r="J650" t="str">
            <v>High throughput screening of bradykinin-potentiating peptides in Bothrops moojeni snake venom using precursor ion mass spectrometry.</v>
          </cell>
          <cell r="K650" t="str">
            <v>10.1016/j.toxicon.2008.02.019</v>
          </cell>
          <cell r="L650" t="str">
            <v>18471845</v>
          </cell>
        </row>
        <row r="651">
          <cell r="F651" t="str">
            <v>JKWPRPGPEIPP</v>
          </cell>
          <cell r="G651" t="str">
            <v/>
          </cell>
          <cell r="H651" t="str">
            <v/>
          </cell>
          <cell r="I651" t="str">
            <v/>
          </cell>
          <cell r="J651" t="str">
            <v>High throughput screening of bradykinin-potentiating peptides in Bothrops moojeni snake venom using precursor ion mass spectrometry.</v>
          </cell>
          <cell r="K651" t="str">
            <v>10.1016/j.toxicon.2008.02.019</v>
          </cell>
          <cell r="L651" t="str">
            <v>18471845</v>
          </cell>
        </row>
        <row r="652">
          <cell r="F652" t="str">
            <v>JNWKSP</v>
          </cell>
          <cell r="G652" t="str">
            <v/>
          </cell>
          <cell r="H652" t="str">
            <v/>
          </cell>
          <cell r="I652" t="str">
            <v/>
          </cell>
          <cell r="J652" t="str">
            <v>A novel peptide from the ACEI/BPP-CNP precursor in the venom of Crotalus durissus collilineatus.</v>
          </cell>
          <cell r="K652" t="str">
            <v>10.1016/j.cbpc.2006.04.006</v>
          </cell>
          <cell r="L652" t="str">
            <v>16979945</v>
          </cell>
        </row>
        <row r="653">
          <cell r="F653" t="str">
            <v>JNWPRPGPEIP</v>
          </cell>
          <cell r="G653" t="str">
            <v/>
          </cell>
          <cell r="H653" t="str">
            <v/>
          </cell>
          <cell r="I653" t="str">
            <v/>
          </cell>
          <cell r="J653" t="str">
            <v>High throughput screening of bradykinin-potentiating peptides in Bothrops moojeni snake venom using precursor ion mass spectrometry.</v>
          </cell>
          <cell r="K653" t="str">
            <v>10.1016/j.toxicon.2008.02.019</v>
          </cell>
          <cell r="L653" t="str">
            <v>18471845</v>
          </cell>
        </row>
        <row r="654">
          <cell r="F654" t="str">
            <v>JNWPRPQIPP</v>
          </cell>
          <cell r="G654" t="str">
            <v/>
          </cell>
          <cell r="H654" t="str">
            <v/>
          </cell>
          <cell r="I654" t="str">
            <v/>
          </cell>
          <cell r="J654" t="str">
            <v>Angiotensin-converting enzyme inhibitors from the venom of Bothrops jararaca. Isolation, elucidation of structure, and synthesis.</v>
          </cell>
          <cell r="K654" t="str">
            <v>10.1021/bi00798a004</v>
          </cell>
          <cell r="L654" t="str">
            <v>4334402</v>
          </cell>
        </row>
        <row r="655">
          <cell r="F655" t="str">
            <v>JRWPHLEIPP</v>
          </cell>
          <cell r="G655" t="str">
            <v/>
          </cell>
          <cell r="H655" t="str">
            <v/>
          </cell>
          <cell r="I655" t="str">
            <v/>
          </cell>
          <cell r="J655" t="str">
            <v>A novel peptide from the ACEI/BPP-CNP precursor in the venom of Crotalus durissus collilineatus.</v>
          </cell>
          <cell r="K655" t="str">
            <v>10.1016/j.cbpc.2006.04.006</v>
          </cell>
          <cell r="L655" t="str">
            <v>16979945</v>
          </cell>
        </row>
        <row r="656">
          <cell r="F656" t="str">
            <v>JSWP</v>
          </cell>
          <cell r="G656" t="str">
            <v/>
          </cell>
          <cell r="H656" t="str">
            <v/>
          </cell>
          <cell r="I656" t="str">
            <v/>
          </cell>
          <cell r="J656" t="str">
            <v>High throughput screening of bradykinin-potentiating peptides in Bothrops moojeni snake venom using precursor ion mass spectrometry.</v>
          </cell>
          <cell r="K656" t="str">
            <v>10.1016/j.toxicon.2008.02.019</v>
          </cell>
          <cell r="L656" t="str">
            <v>18471845</v>
          </cell>
        </row>
        <row r="657">
          <cell r="F657" t="str">
            <v>JSWPGPNIPP</v>
          </cell>
          <cell r="G657" t="str">
            <v/>
          </cell>
          <cell r="H657" t="str">
            <v/>
          </cell>
          <cell r="I657" t="str">
            <v/>
          </cell>
          <cell r="J657" t="str">
            <v>Angiotensin-converting enzyme inhibitors from the venom of Bothrops jararaca. Isolation, elucidation of structure, and synthesis.</v>
          </cell>
          <cell r="K657" t="str">
            <v>10.1021/bi00798a004</v>
          </cell>
          <cell r="L657" t="str">
            <v>4334402</v>
          </cell>
        </row>
        <row r="658">
          <cell r="F658" t="str">
            <v>JTNW</v>
          </cell>
          <cell r="G658" t="str">
            <v/>
          </cell>
          <cell r="H658" t="str">
            <v/>
          </cell>
          <cell r="I658" t="str">
            <v/>
          </cell>
          <cell r="J658" t="str">
            <v>High throughput screening of bradykinin-potentiating peptides in Bothrops moojeni snake venom using precursor ion mass spectrometry.</v>
          </cell>
          <cell r="K658" t="str">
            <v>10.1016/j.toxicon.2008.02.019</v>
          </cell>
          <cell r="L658" t="str">
            <v>18471845</v>
          </cell>
        </row>
        <row r="659">
          <cell r="F659" t="str">
            <v>JWPRPQIPP</v>
          </cell>
          <cell r="G659" t="str">
            <v/>
          </cell>
          <cell r="H659" t="str">
            <v/>
          </cell>
          <cell r="I659" t="str">
            <v/>
          </cell>
          <cell r="J659" t="str">
            <v>Angiotensin-converting enzyme inhibitors from the venom of Bothrops jararaca. Isolation, elucidation of structure, and synthesis.</v>
          </cell>
          <cell r="K659" t="str">
            <v>10.1021/bi00798a004</v>
          </cell>
          <cell r="L659" t="str">
            <v>4334402</v>
          </cell>
        </row>
        <row r="660">
          <cell r="F660" t="str">
            <v>JWPRPTPQIPP</v>
          </cell>
          <cell r="G660" t="str">
            <v/>
          </cell>
          <cell r="H660" t="str">
            <v/>
          </cell>
          <cell r="I660" t="str">
            <v/>
          </cell>
          <cell r="J660" t="str">
            <v>Angiotensin-converting enzyme inhibitors from the venom of Bothrops jararaca. Isolation, elucidation of structure, and synthesis.</v>
          </cell>
          <cell r="K660" t="str">
            <v>10.1021/bi00798a004</v>
          </cell>
          <cell r="L660" t="str">
            <v>4334402</v>
          </cell>
        </row>
        <row r="661">
          <cell r="F661" t="str">
            <v>KA</v>
          </cell>
          <cell r="G661" t="str">
            <v/>
          </cell>
          <cell r="H661" t="str">
            <v/>
          </cell>
          <cell r="I661" t="str">
            <v/>
          </cell>
          <cell r="J661" t="str">
            <v>Three-dimensional holograph vector of atomic interaction field (3D-HoVAIF): a novel rotation-translation invariant 3D structure descriptor and its applications to peptides.;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661" t="str">
            <v>10.1002/psc.892; 10.1016/j.jprot.2013.06.023; 10.1016/j.foodchem.2013.05.140</v>
          </cell>
          <cell r="L661" t="str">
            <v>17654623 23806758 23871047</v>
          </cell>
        </row>
        <row r="662">
          <cell r="F662" t="str">
            <v>KAFR</v>
          </cell>
          <cell r="G662" t="str">
            <v/>
          </cell>
          <cell r="H662" t="str">
            <v/>
          </cell>
          <cell r="I662" t="str">
            <v/>
          </cell>
          <cell r="J662" t="str">
            <v>Purification, activity and sequence of angiotensin I converting enzyme inhibitory peptide from alcalase hydrolysate of peanut flour.</v>
          </cell>
          <cell r="K662" t="str">
            <v>10.1021/jf901787e</v>
          </cell>
          <cell r="L662" t="str">
            <v>19886677</v>
          </cell>
        </row>
        <row r="663">
          <cell r="F663" t="str">
            <v>KAPVA</v>
          </cell>
          <cell r="G663" t="str">
            <v/>
          </cell>
          <cell r="H663" t="str">
            <v/>
          </cell>
          <cell r="I663" t="str">
            <v/>
          </cell>
          <cell r="J663" t="str">
            <v>Angiotensin I-converting enzyme inhibitory peptides generated from in vitro gastrointestinal digestion of pork meat.; A new QSAR model, for angiotensin I-converting enzyme inhibitory oligopeptides.; Isolation and characterization of peptides with antihypertensive activity in foodstuffs.</v>
          </cell>
          <cell r="K663" t="str">
            <v>10.1021/jf904204n; 10.1016/j.foodchem.2012.09.092; 10.1080/10408398.2012.664829</v>
          </cell>
          <cell r="L663" t="str">
            <v>20151679 23194537 24915368</v>
          </cell>
        </row>
        <row r="664">
          <cell r="F664" t="str">
            <v>KAVPYPQ</v>
          </cell>
          <cell r="G664" t="str">
            <v/>
          </cell>
          <cell r="H664" t="str">
            <v/>
          </cell>
          <cell r="I664" t="str">
            <v/>
          </cell>
          <cell r="J664" t="str">
            <v>Identification of angiotensin-I-converting enzyme inhibitory peptides derived from sodium caseinate hydrolysates produced by Lactobacillus helveticus NCC 2765.</v>
          </cell>
          <cell r="K664" t="str">
            <v>10.1021/jf049510t</v>
          </cell>
          <cell r="L664" t="str">
            <v>15537298</v>
          </cell>
        </row>
        <row r="665">
          <cell r="F665" t="str">
            <v>KDERF</v>
          </cell>
          <cell r="G665" t="str">
            <v/>
          </cell>
          <cell r="H665" t="str">
            <v/>
          </cell>
          <cell r="I665" t="str">
            <v/>
          </cell>
          <cell r="J665" t="str">
            <v>Identification of novel angiotensin-converting enzyme-inhibitory peptides from ovine milk proteins by CE-MS and chromatographic techniques.; Isolation and characterization of peptides with antihypertensive activity in foodstuffs.</v>
          </cell>
          <cell r="K665" t="str">
            <v>10.1002/elps.200700324; 10.1080/10408398.2012.664829</v>
          </cell>
          <cell r="L665" t="str">
            <v>17948260 24915368</v>
          </cell>
        </row>
        <row r="666">
          <cell r="F666" t="str">
            <v>KDI</v>
          </cell>
          <cell r="G666" t="str">
            <v/>
          </cell>
          <cell r="H666" t="str">
            <v/>
          </cell>
          <cell r="I666" t="str">
            <v/>
          </cell>
          <cell r="J666" t="str">
            <v>Hot topic: Changes in angiotensin-converting enzyme inhibition and concentrations of the tripeptides Val-Pro-Pro and Ile-Pro-Pro during ripening of different Swiss cheese varieties.</v>
          </cell>
          <cell r="K666" t="str">
            <v>10.3168/jds.2008-1531</v>
          </cell>
          <cell r="L666" t="str">
            <v>19233775</v>
          </cell>
        </row>
        <row r="667">
          <cell r="F667" t="str">
            <v>KDYRL</v>
          </cell>
          <cell r="G667" t="str">
            <v/>
          </cell>
          <cell r="H667" t="str">
            <v/>
          </cell>
          <cell r="I667" t="str">
            <v/>
          </cell>
          <cell r="J667" t="str">
            <v>Novel angiotensin I-converting enzyme inhibitory peptides isolated from Alcalase hydrolysate of mung bean protein.; Vegetable foods: a cheap source of proteins and peptides with antihypertensive, antioxidant, and other less occurrence bioactivities.</v>
          </cell>
          <cell r="K667" t="str">
            <v>10.1002/psc.758; 10.1016/j.talanta.2012.12.041</v>
          </cell>
          <cell r="L667" t="str">
            <v>16680798 23598136</v>
          </cell>
        </row>
        <row r="668">
          <cell r="F668" t="str">
            <v>KE</v>
          </cell>
          <cell r="G668" t="str">
            <v/>
          </cell>
          <cell r="H668" t="str">
            <v/>
          </cell>
          <cell r="I668" t="str">
            <v/>
          </cell>
          <cell r="J668" t="str">
            <v>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ell>
          <cell r="K668" t="str">
            <v>10.1007/s00216-008-1990-3; 10.1016/j.jprot.2013.06.023</v>
          </cell>
          <cell r="L668" t="str">
            <v>18392815 23806758</v>
          </cell>
        </row>
        <row r="669">
          <cell r="F669" t="str">
            <v>KEIW</v>
          </cell>
          <cell r="G669" t="str">
            <v/>
          </cell>
          <cell r="H669" t="str">
            <v/>
          </cell>
          <cell r="I669" t="str">
            <v/>
          </cell>
          <cell r="J669" t="str">
            <v>[Purification and identification of a novel ACE inhibitory peptide derived from the mud snail Bellamya purificata by RP-HPLC/MALDI-TOF MS].</v>
          </cell>
          <cell r="K669" t="str">
            <v/>
          </cell>
          <cell r="L669" t="str">
            <v>17432577</v>
          </cell>
        </row>
        <row r="670">
          <cell r="F670" t="str">
            <v>KEKV</v>
          </cell>
          <cell r="G670" t="str">
            <v/>
          </cell>
          <cell r="H670" t="str">
            <v/>
          </cell>
          <cell r="I670" t="str">
            <v/>
          </cell>
          <cell r="J670" t="str">
            <v>Hot topic: Changes in angiotensin-converting enzyme inhibition and concentrations of the tripeptides Val-Pro-Pro and Ile-Pro-Pro during ripening of different Swiss cheese varieties.</v>
          </cell>
          <cell r="K670" t="str">
            <v>10.3168/jds.2008-1531</v>
          </cell>
          <cell r="L670" t="str">
            <v>19233775</v>
          </cell>
        </row>
        <row r="671">
          <cell r="F671" t="str">
            <v>KF</v>
          </cell>
          <cell r="G671" t="str">
            <v/>
          </cell>
          <cell r="H671" t="str">
            <v/>
          </cell>
          <cell r="I671" t="str">
            <v/>
          </cell>
          <cell r="J671" t="str">
            <v>Antihypertensive effects of Undaria pinnatifida (wakame) peptide on blood pressure in spontaneously hypertensive rats.;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Inhibition strength of short peptides derived from an ACE inhibitory peptide.;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ell>
          <cell r="K671" t="str">
            <v>10.1016/j.jnutbio.2003.11.004; 10.1021/jf051263l; 10.1002/psc.800; 10.1021/jf202902r; 10.1016/j.jprot.2013.06.023; 10.1016/j.foodchem.2013.05.140; 10.1080/10408398.2012.664829</v>
          </cell>
          <cell r="L671" t="str">
            <v>15135150 16448176 17117396 21923188 23806758 23871047 24915368</v>
          </cell>
        </row>
        <row r="672">
          <cell r="F672" t="str">
            <v>KFAR</v>
          </cell>
          <cell r="G672" t="str">
            <v/>
          </cell>
          <cell r="H672" t="str">
            <v/>
          </cell>
          <cell r="I672" t="str">
            <v/>
          </cell>
          <cell r="J672" t="str">
            <v>Purification, activity and sequence of angiotensin I converting enzyme inhibitory peptide from alcalase hydrolysate of peanut flour.</v>
          </cell>
          <cell r="K672" t="str">
            <v>10.1021/jf901787e</v>
          </cell>
          <cell r="L672" t="str">
            <v>19886677</v>
          </cell>
        </row>
        <row r="673">
          <cell r="F673" t="str">
            <v>KFAWPQ</v>
          </cell>
          <cell r="G673" t="str">
            <v/>
          </cell>
          <cell r="H673" t="str">
            <v/>
          </cell>
          <cell r="I673" t="str">
            <v/>
          </cell>
          <cell r="J673" t="str">
            <v>Angiotensin-converting enzyme inhibitory activity of peptides derived from caprine kefir.</v>
          </cell>
          <cell r="K673" t="str">
            <v>10.3168/jds.S0022-0302(05)73032-0</v>
          </cell>
          <cell r="L673" t="str">
            <v>16162521</v>
          </cell>
        </row>
        <row r="674">
          <cell r="F674" t="str">
            <v>KFAYPQ</v>
          </cell>
          <cell r="G674" t="str">
            <v/>
          </cell>
          <cell r="H674" t="str">
            <v/>
          </cell>
          <cell r="I674" t="str">
            <v/>
          </cell>
          <cell r="J674" t="str">
            <v/>
          </cell>
          <cell r="K674" t="str">
            <v/>
          </cell>
          <cell r="L674" t="str">
            <v/>
          </cell>
        </row>
        <row r="675">
          <cell r="F675" t="str">
            <v>KFYG</v>
          </cell>
          <cell r="G675" t="str">
            <v/>
          </cell>
          <cell r="H675" t="str">
            <v/>
          </cell>
          <cell r="I675" t="str">
            <v/>
          </cell>
          <cell r="J675" t="str">
            <v>Identification of an antihypertensive peptide from peptic digest of wakame (Undaria pinnatifida).;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675" t="str">
            <v>10.1016/s0955-2863(00)00110-8; 10.1007/s12010-012-0024-y; 10.1016/j.talanta.2012.12.041; 10.1016/j.foodchem.2013.05.140; 10.1080/10408398.2012.664829</v>
          </cell>
          <cell r="L675" t="str">
            <v>11091100 23271625 23598136 23871047 24915368</v>
          </cell>
        </row>
        <row r="676">
          <cell r="F676" t="str">
            <v>KG</v>
          </cell>
          <cell r="G676" t="str">
            <v/>
          </cell>
          <cell r="H676" t="str">
            <v/>
          </cell>
          <cell r="I676" t="str">
            <v/>
          </cell>
          <cell r="J676"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676" t="str">
            <v>10.1021/jf051263l; 10.1002/psc.892; 10.1007/s00894-010-0862-x; 10.1016/j.jprot.2013.06.023; 10.1016/j.foodchem.2013.05.140</v>
          </cell>
          <cell r="L676" t="str">
            <v>6243277 16448176 17654623 20941517 23806758 23871047</v>
          </cell>
        </row>
        <row r="677">
          <cell r="F677" t="str">
            <v>KGYGGVSL</v>
          </cell>
          <cell r="G677" t="str">
            <v/>
          </cell>
          <cell r="H677" t="str">
            <v/>
          </cell>
          <cell r="I677" t="str">
            <v/>
          </cell>
          <cell r="J677" t="str">
            <v>A new QSAR model, for angiotensin I-converting enzyme inhibitory oligopeptides.</v>
          </cell>
          <cell r="K677" t="str">
            <v>10.1016/j.foodchem.2012.09.092</v>
          </cell>
          <cell r="L677" t="str">
            <v>23194537</v>
          </cell>
        </row>
        <row r="678">
          <cell r="F678" t="str">
            <v>KGYGGVSLPEW</v>
          </cell>
          <cell r="G678" t="str">
            <v/>
          </cell>
          <cell r="H678" t="str">
            <v/>
          </cell>
          <cell r="I678" t="str">
            <v/>
          </cell>
          <cell r="J678" t="str">
            <v>A new QSAR model, for angiotensin I-converting enzyme inhibitory oligopeptides.</v>
          </cell>
          <cell r="K678" t="str">
            <v>10.1016/j.foodchem.2012.09.092</v>
          </cell>
          <cell r="L678" t="str">
            <v>23194537</v>
          </cell>
        </row>
        <row r="679">
          <cell r="F679" t="str">
            <v>KHIQKEDVPSER</v>
          </cell>
          <cell r="G679" t="str">
            <v/>
          </cell>
          <cell r="H679" t="str">
            <v/>
          </cell>
          <cell r="I679" t="str">
            <v/>
          </cell>
          <cell r="J679" t="str">
            <v>Casein fermentate of Lactobacillus animalis DPC6134 contains a range of novel propeptide angiotensin-converting enzyme inhibitors.</v>
          </cell>
          <cell r="K679" t="str">
            <v>10.1128/AEM.00096-07</v>
          </cell>
          <cell r="L679" t="str">
            <v>17483275</v>
          </cell>
        </row>
        <row r="680">
          <cell r="F680" t="str">
            <v>KHLPLP</v>
          </cell>
          <cell r="G680" t="str">
            <v/>
          </cell>
          <cell r="H680" t="str">
            <v/>
          </cell>
          <cell r="I680" t="str">
            <v/>
          </cell>
          <cell r="J680" t="str">
            <v/>
          </cell>
          <cell r="K680" t="str">
            <v/>
          </cell>
          <cell r="L680" t="str">
            <v/>
          </cell>
        </row>
        <row r="681">
          <cell r="F681" t="str">
            <v>KIEL</v>
          </cell>
          <cell r="G681" t="str">
            <v/>
          </cell>
          <cell r="H681" t="str">
            <v/>
          </cell>
          <cell r="I681" t="str">
            <v/>
          </cell>
          <cell r="J681" t="str">
            <v/>
          </cell>
          <cell r="K681" t="str">
            <v/>
          </cell>
          <cell r="L681" t="str">
            <v/>
          </cell>
        </row>
        <row r="682">
          <cell r="F682" t="str">
            <v>KIHPFAQAQ</v>
          </cell>
          <cell r="G682" t="str">
            <v/>
          </cell>
          <cell r="H682" t="str">
            <v/>
          </cell>
          <cell r="I682" t="str">
            <v/>
          </cell>
          <cell r="J682" t="str">
            <v>Angiotensin-converting enzyme inhibitory activity of peptides derived from caprine kefir.</v>
          </cell>
          <cell r="K682" t="str">
            <v>10.3168/jds.S0022-0302(05)73032-0</v>
          </cell>
          <cell r="L682" t="str">
            <v>16162521</v>
          </cell>
        </row>
        <row r="683">
          <cell r="F683" t="str">
            <v>KIHPFAQTQSLVYP</v>
          </cell>
          <cell r="G683" t="str">
            <v/>
          </cell>
          <cell r="H683" t="str">
            <v/>
          </cell>
          <cell r="I683" t="str">
            <v/>
          </cell>
          <cell r="J683" t="str">
            <v>Inhibition of angiotensin-converting enzyme by synthetic peptide fragments of various beta-caseins.; Evaluation of the allergenicity of goat milk, cow milk, and their lactosera in a guinea pig model.</v>
          </cell>
          <cell r="K683" t="str">
            <v>10.3168/jds.2008-1125</v>
          </cell>
          <cell r="L683" t="str">
            <v>1368548 19233776</v>
          </cell>
        </row>
        <row r="684">
          <cell r="F684" t="str">
            <v>KIYPSFQPQPLIYP</v>
          </cell>
          <cell r="G684" t="str">
            <v/>
          </cell>
          <cell r="H684" t="str">
            <v/>
          </cell>
          <cell r="I684" t="str">
            <v/>
          </cell>
          <cell r="J684" t="str">
            <v>Inhibition of angiotensin-converting enzyme by synthetic peptide fragments of various beta-caseins.</v>
          </cell>
          <cell r="K684" t="str">
            <v/>
          </cell>
          <cell r="L684" t="str">
            <v>1368548</v>
          </cell>
        </row>
        <row r="685">
          <cell r="F685" t="str">
            <v>KKIATYQER</v>
          </cell>
          <cell r="G685" t="str">
            <v/>
          </cell>
          <cell r="H685" t="str">
            <v/>
          </cell>
          <cell r="I685" t="str">
            <v/>
          </cell>
          <cell r="J685" t="str">
            <v/>
          </cell>
          <cell r="K685" t="str">
            <v/>
          </cell>
          <cell r="L685" t="str">
            <v/>
          </cell>
        </row>
        <row r="686">
          <cell r="F686" t="str">
            <v>KKY</v>
          </cell>
          <cell r="G686" t="str">
            <v/>
          </cell>
          <cell r="H686" t="str">
            <v/>
          </cell>
          <cell r="I686" t="str">
            <v/>
          </cell>
          <cell r="J686" t="str">
            <v/>
          </cell>
          <cell r="K686" t="str">
            <v/>
          </cell>
          <cell r="L686" t="str">
            <v/>
          </cell>
        </row>
        <row r="687">
          <cell r="F687" t="str">
            <v>KKYMVPQL</v>
          </cell>
          <cell r="G687" t="str">
            <v/>
          </cell>
          <cell r="H687" t="str">
            <v/>
          </cell>
          <cell r="I687" t="str">
            <v/>
          </cell>
          <cell r="J687" t="str">
            <v>Antihypertensive peptides: production, bioavailability and incorporation into foods.</v>
          </cell>
          <cell r="K687" t="str">
            <v>10.1016/j.cis.2010.11.001</v>
          </cell>
          <cell r="L687" t="str">
            <v>21185549</v>
          </cell>
        </row>
        <row r="688">
          <cell r="F688" t="str">
            <v>KKYNVPQL</v>
          </cell>
          <cell r="G688" t="str">
            <v/>
          </cell>
          <cell r="H688" t="str">
            <v/>
          </cell>
          <cell r="I688" t="str">
            <v/>
          </cell>
          <cell r="J688" t="str">
            <v>Changes in arterial blood pressure after single oral administration of milk-casein-derived peptides in spontaneously hypertensive rats.</v>
          </cell>
          <cell r="K688" t="str">
            <v>10.1002/mnfr.200900448</v>
          </cell>
          <cell r="L688" t="str">
            <v>20397194</v>
          </cell>
        </row>
        <row r="689">
          <cell r="F689" t="str">
            <v>KL</v>
          </cell>
          <cell r="G689" t="str">
            <v/>
          </cell>
          <cell r="H689" t="str">
            <v/>
          </cell>
          <cell r="I689" t="str">
            <v/>
          </cell>
          <cell r="J689" t="str">
            <v>Peptides with angiotensin I converting enzyme (ACE) inhibitory activity generated from porcine skeletal muscle proteins by the action of meat-borne Lactobacillus.</v>
          </cell>
          <cell r="K689" t="str">
            <v>10.1016/j.jprot.2013.06.023</v>
          </cell>
          <cell r="L689" t="str">
            <v>23806758</v>
          </cell>
        </row>
        <row r="690">
          <cell r="F690" t="str">
            <v>KLKFV</v>
          </cell>
          <cell r="G690" t="str">
            <v/>
          </cell>
          <cell r="H690" t="str">
            <v/>
          </cell>
          <cell r="I690" t="str">
            <v/>
          </cell>
          <cell r="J690" t="str">
            <v>A new QSAR model, for angiotensin I-converting enzyme inhibitory oligopeptides.</v>
          </cell>
          <cell r="K690" t="str">
            <v>10.1016/j.foodchem.2012.09.092</v>
          </cell>
          <cell r="L690" t="str">
            <v>23194537</v>
          </cell>
        </row>
        <row r="691">
          <cell r="F691" t="str">
            <v>KLP</v>
          </cell>
          <cell r="G691" t="str">
            <v/>
          </cell>
          <cell r="H691" t="str">
            <v/>
          </cell>
          <cell r="I691" t="str">
            <v/>
          </cell>
          <cell r="J691" t="str">
            <v>Angiotensin I-converting enzyme inhibitory peptides generated from in vitro gastrointestinal digestion of pork meat.; What are the ideal properties for functional food peptides with antihypertensive effect? A computational peptidology approach.; Isolation and characterization of peptides with antihypertensive activity in foodstuffs.</v>
          </cell>
          <cell r="K691" t="str">
            <v>10.1021/jf904204n; 10.1016/j.foodchem.2013.05.140; 10.1080/10408398.2012.664829</v>
          </cell>
          <cell r="L691" t="str">
            <v>20151679 23871047 24915368</v>
          </cell>
        </row>
        <row r="692">
          <cell r="F692" t="str">
            <v>KLPAGTLF</v>
          </cell>
          <cell r="G692" t="str">
            <v/>
          </cell>
          <cell r="H692" t="str">
            <v/>
          </cell>
          <cell r="I692" t="str">
            <v/>
          </cell>
          <cell r="J692" t="str">
            <v>Novel angiotensin I-converting enzyme inhibitory peptides isolated from Alcalase hydrolysate of mung bean protein.; Isolation and characterization of peptides with antihypertensive activity in foodstuffs.</v>
          </cell>
          <cell r="K692" t="str">
            <v>10.1002/psc.758; 10.1080/10408398.2012.664829</v>
          </cell>
          <cell r="L692" t="str">
            <v>16680798 24915368</v>
          </cell>
        </row>
        <row r="693">
          <cell r="F693" t="str">
            <v>KP</v>
          </cell>
          <cell r="G693" t="str">
            <v/>
          </cell>
          <cell r="H693" t="str">
            <v/>
          </cell>
          <cell r="I693" t="str">
            <v/>
          </cell>
          <cell r="J693" t="str">
            <v>Angiotensin I-converting enzyme inhibitory activity and insulin secretion stimulative activity of fermented fish sauce.;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Review on the angiotensin-I-converting enzyme (ACE) inhibitor peptides from marine proteins.;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693" t="str">
            <v>10.1016/S1389-1723(03)70138-8; 10.1021/jf051263l; 10.1002/psc.800; 10.1007/s12010-012-0024-y; 10.1016/j.jprot.2013.06.023; 10.1016/j.foodchem.2013.05.140</v>
          </cell>
          <cell r="L693" t="str">
            <v>16233562 16448176 17117396 23271625 23806758 23871047</v>
          </cell>
        </row>
        <row r="694">
          <cell r="F694" t="str">
            <v>KPF</v>
          </cell>
          <cell r="G694" t="str">
            <v/>
          </cell>
          <cell r="H694" t="str">
            <v/>
          </cell>
          <cell r="I694" t="str">
            <v/>
          </cell>
          <cell r="J694"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694" t="str">
            <v>10.1002/psc.800; 10.1007/s00894-010-0862-x; 10.1016/j.foodchem.2013.05.140</v>
          </cell>
          <cell r="L694" t="str">
            <v>17117396 20941517 23871047</v>
          </cell>
        </row>
        <row r="695">
          <cell r="F695" t="str">
            <v>KPK</v>
          </cell>
          <cell r="G695" t="str">
            <v/>
          </cell>
          <cell r="H695" t="str">
            <v/>
          </cell>
          <cell r="I695" t="str">
            <v/>
          </cell>
          <cell r="J695"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695" t="str">
            <v>10.1002/psc.800; 10.1007/s00894-010-0862-x; 10.1016/j.foodchem.2013.05.140</v>
          </cell>
          <cell r="L695" t="str">
            <v>17117396 20941517 23871047</v>
          </cell>
        </row>
        <row r="696">
          <cell r="F696" t="str">
            <v>KPPETV</v>
          </cell>
          <cell r="G696" t="str">
            <v/>
          </cell>
          <cell r="H696" t="str">
            <v/>
          </cell>
          <cell r="I696" t="str">
            <v/>
          </cell>
          <cell r="J696" t="str">
            <v>Analysis of novel angiotensin-I-converting enzyme inhibitory peptides from protease-hydrolyzed marine shrimp Acetes chinensis.; Review on the angiotensin-I-converting enzyme (ACE) inhibitor peptides from marine proteins.</v>
          </cell>
          <cell r="K696" t="str">
            <v>10.1002/psc.789; 10.1007/s12010-012-0024-y</v>
          </cell>
          <cell r="L696" t="str">
            <v>16981241 23271625</v>
          </cell>
        </row>
        <row r="697">
          <cell r="F697" t="str">
            <v>KPVAL</v>
          </cell>
          <cell r="G697" t="str">
            <v/>
          </cell>
          <cell r="H697" t="str">
            <v/>
          </cell>
          <cell r="I697" t="str">
            <v/>
          </cell>
          <cell r="J697" t="str">
            <v/>
          </cell>
          <cell r="K697" t="str">
            <v/>
          </cell>
          <cell r="L697" t="str">
            <v/>
          </cell>
        </row>
        <row r="698">
          <cell r="F698" t="str">
            <v>KQMK</v>
          </cell>
          <cell r="G698" t="str">
            <v/>
          </cell>
          <cell r="H698" t="str">
            <v/>
          </cell>
          <cell r="I698" t="str">
            <v/>
          </cell>
          <cell r="J698" t="str">
            <v/>
          </cell>
          <cell r="K698" t="str">
            <v/>
          </cell>
          <cell r="L698" t="str">
            <v/>
          </cell>
        </row>
        <row r="699">
          <cell r="F699" t="str">
            <v>KR</v>
          </cell>
          <cell r="G699" t="str">
            <v/>
          </cell>
          <cell r="H699" t="str">
            <v/>
          </cell>
          <cell r="I699" t="str">
            <v/>
          </cell>
          <cell r="J699" t="str">
            <v>Peptides with angiotensin I converting enzyme (ACE) inhibitory activity generated from porcine skeletal muscle proteins by the action of meat-borne Lactobacillus.</v>
          </cell>
          <cell r="K699" t="str">
            <v>10.1016/j.jprot.2013.06.023</v>
          </cell>
          <cell r="L699" t="str">
            <v>23806758</v>
          </cell>
        </row>
        <row r="700">
          <cell r="F700" t="str">
            <v>KRQKYDI</v>
          </cell>
          <cell r="G700" t="str">
            <v/>
          </cell>
          <cell r="H700" t="str">
            <v/>
          </cell>
          <cell r="I700" t="str">
            <v/>
          </cell>
          <cell r="J700" t="str">
            <v>Porcine skeletal muscle troponin is a good source of peptides with Angiotensin-I converting enzyme inhibitory activity and antihypertensive effects in spontaneously hypertensive rats.; Antihypertensive peptides from food proteins: a review.; Isolation and characterization of peptides with antihypertensive activity in foodstuffs.</v>
          </cell>
          <cell r="K700" t="str">
            <v>10.1021/jf071408j; 10.1039/c2fo10192k; 10.1080/10408398.2012.664829</v>
          </cell>
          <cell r="L700" t="str">
            <v>18163567 22249830 24915368</v>
          </cell>
        </row>
        <row r="701">
          <cell r="F701" t="str">
            <v>KRVIQY</v>
          </cell>
          <cell r="G701" t="str">
            <v/>
          </cell>
          <cell r="H701" t="str">
            <v/>
          </cell>
          <cell r="I701" t="str">
            <v/>
          </cell>
          <cell r="J701" t="str">
            <v>Antihypertensive peptides from food proteins: a review.; Isolation and characterization of peptides with antihypertensive activity in foodstuffs.</v>
          </cell>
          <cell r="K701" t="str">
            <v>10.1039/c2fo10192k; 10.1080/10408398.2012.664829</v>
          </cell>
          <cell r="L701" t="str">
            <v>22249830 24915368</v>
          </cell>
        </row>
        <row r="702">
          <cell r="F702" t="str">
            <v>KTAP</v>
          </cell>
          <cell r="G702" t="str">
            <v/>
          </cell>
          <cell r="H702" t="str">
            <v/>
          </cell>
          <cell r="I702" t="str">
            <v/>
          </cell>
          <cell r="J702" t="str">
            <v>Inhibition of angiotensin-converting enzyme by synthetic peptide fragments of human kappa-casein.; What are the ideal properties for functional food peptides with antihypertensive effect? A computational peptidology approach.</v>
          </cell>
          <cell r="K702" t="str">
            <v>10.1016/j.foodchem.2013.05.140</v>
          </cell>
          <cell r="L702" t="str">
            <v>1368540 23871047</v>
          </cell>
        </row>
        <row r="703">
          <cell r="F703" t="str">
            <v>KVAGPK</v>
          </cell>
          <cell r="G703" t="str">
            <v/>
          </cell>
          <cell r="H703" t="str">
            <v/>
          </cell>
          <cell r="I703" t="str">
            <v/>
          </cell>
          <cell r="J703" t="str">
            <v>Novel angiotensin I-converting enzyme inhibitory peptides derived from edible mushroom Agaricus bisporus (J.E. Lange) Imbach identified by LC-MS/MS.</v>
          </cell>
          <cell r="K703" t="str">
            <v>10.1016/j.foodchem.2013.10.053</v>
          </cell>
          <cell r="L703" t="str">
            <v>24262574</v>
          </cell>
        </row>
        <row r="704">
          <cell r="F704" t="str">
            <v>KVGTKCCAKP</v>
          </cell>
          <cell r="G704" t="str">
            <v/>
          </cell>
          <cell r="H704" t="str">
            <v/>
          </cell>
          <cell r="I704" t="str">
            <v/>
          </cell>
          <cell r="J704" t="str">
            <v/>
          </cell>
          <cell r="K704" t="str">
            <v/>
          </cell>
          <cell r="L704" t="str">
            <v/>
          </cell>
        </row>
        <row r="705">
          <cell r="F705" t="str">
            <v>KVHSSIQSQPQAFT</v>
          </cell>
          <cell r="G705" t="str">
            <v/>
          </cell>
          <cell r="H705" t="str">
            <v/>
          </cell>
          <cell r="I705" t="str">
            <v/>
          </cell>
          <cell r="J705" t="str">
            <v/>
          </cell>
          <cell r="K705" t="str">
            <v/>
          </cell>
          <cell r="L705" t="str">
            <v/>
          </cell>
        </row>
        <row r="706">
          <cell r="F706" t="str">
            <v>KVLAGM</v>
          </cell>
          <cell r="G706" t="str">
            <v>sardine</v>
          </cell>
          <cell r="H706" t="str">
            <v/>
          </cell>
          <cell r="I706" t="str">
            <v/>
          </cell>
          <cell r="J706" t="str">
            <v>A new QSAR model, for angiotensin I-converting enzyme inhibitory oligopeptides.</v>
          </cell>
          <cell r="K706" t="str">
            <v>10.1016/j.foodchem.2012.09.092</v>
          </cell>
          <cell r="L706" t="str">
            <v>23194537</v>
          </cell>
        </row>
        <row r="707">
          <cell r="F707" t="str">
            <v>KVLILA</v>
          </cell>
          <cell r="G707" t="str">
            <v/>
          </cell>
          <cell r="H707" t="str">
            <v/>
          </cell>
          <cell r="I707" t="str">
            <v/>
          </cell>
          <cell r="J707" t="str">
            <v/>
          </cell>
          <cell r="K707" t="str">
            <v/>
          </cell>
          <cell r="L707" t="str">
            <v/>
          </cell>
        </row>
        <row r="708">
          <cell r="F708" t="str">
            <v>KVLPLP</v>
          </cell>
          <cell r="G708" t="str">
            <v/>
          </cell>
          <cell r="H708" t="str">
            <v/>
          </cell>
          <cell r="I708" t="str">
            <v/>
          </cell>
          <cell r="J708" t="str">
            <v/>
          </cell>
          <cell r="K708" t="str">
            <v/>
          </cell>
          <cell r="L708" t="str">
            <v/>
          </cell>
        </row>
        <row r="709">
          <cell r="F709" t="str">
            <v>KVLPVP</v>
          </cell>
          <cell r="G709" t="str">
            <v/>
          </cell>
          <cell r="H709" t="str">
            <v/>
          </cell>
          <cell r="I709" t="str">
            <v/>
          </cell>
          <cell r="J709" t="str">
            <v>Identification of an antihypertensive peptide from casein hydrolysate produced by a proteinase from Lactobacillus helveticus CP790.; Evaluation of the allergenicity of goat milk, cow milk, and their lactosera in a guinea pig model.; Ala-Val-Phe and Val-Phe: ACE inhibitory peptides derived from insect protein with antihypertensive activity in spontaneously hypertensive rats.; Antihypertensive peptides: production, bioavailability and incorporation into foods.; Antihypertensive peptides from food proteins: a review.; A new QSAR model, for angiotensin I-converting enzyme inhibitory oligopeptides.</v>
          </cell>
          <cell r="K709" t="str">
            <v>10.3168/jds.S0022-0302(96)76487-1; 10.3168/jds.2008-1125; 10.1016/j.peptides.2009.05.029; 10.1016/j.cis.2010.11.001; 10.1039/c2fo10192k; 10.1016/j.foodchem.2012.09.092</v>
          </cell>
          <cell r="L709" t="str">
            <v>8880454 19233776 19524628 21185549 22249830 23194537</v>
          </cell>
        </row>
        <row r="710">
          <cell r="F710" t="str">
            <v>KVLPVPE</v>
          </cell>
          <cell r="G710" t="str">
            <v/>
          </cell>
          <cell r="H710" t="str">
            <v/>
          </cell>
          <cell r="I710" t="str">
            <v/>
          </cell>
          <cell r="J710" t="str">
            <v/>
          </cell>
          <cell r="K710" t="str">
            <v/>
          </cell>
          <cell r="L710" t="str">
            <v/>
          </cell>
        </row>
        <row r="711">
          <cell r="F711" t="str">
            <v>KVLPVPQ</v>
          </cell>
          <cell r="G711" t="str">
            <v/>
          </cell>
          <cell r="H711" t="str">
            <v/>
          </cell>
          <cell r="I711" t="str">
            <v/>
          </cell>
          <cell r="J711" t="str">
            <v>Identification of an antihypertensive peptide from casein hydrolysate produced by a proteinase from Lactobacillus helveticus CP790.; Identification of angiotensin-I-converting enzyme inhibitory peptides derived from sodium caseinate hydrolysates produced by Lactobacillus helveticus NCC 2765.; Evaluation of the allergenicity of goat milk, cow milk, and their lactosera in a guinea pig model.; Ala-Val-Phe and Val-Phe: ACE inhibitory peptides derived from insect protein with antihypertensive activity in spontaneously hypertensive rats.; Antihypertensive peptides: production, bioavailability and incorporation into foods.; Bioactive peptides derived from milk proteins and their health beneficial potentials: an update.; Antihypertensive peptides from food proteins: a review.; A new QSAR model, for angiotensin I-converting enzyme inhibitory oligopeptides.; VPPIPP and IPPVPP: two hexapeptides innovated to exert antihypertensive activity.</v>
          </cell>
          <cell r="K711" t="str">
            <v>10.3168/jds.S0022-0302(96)76487-1; 10.1021/jf049510t; 10.3168/jds.2008-1125; 10.1016/j.peptides.2009.05.029; 10.1016/j.cis.2010.11.001; 10.1039/c0fo00016g; 10.1039/c2fo10192k; 10.1016/j.foodchem.2012.09.092; 10.1371/journal.pone.0062384</v>
          </cell>
          <cell r="L711" t="str">
            <v>8880454 15537298 19233776 19524628 21185549 21773582 22249830 23194537 23638059</v>
          </cell>
        </row>
        <row r="712">
          <cell r="F712" t="str">
            <v>KVREEY</v>
          </cell>
          <cell r="G712" t="str">
            <v/>
          </cell>
          <cell r="H712" t="str">
            <v/>
          </cell>
          <cell r="I712" t="str">
            <v/>
          </cell>
          <cell r="J712" t="str">
            <v/>
          </cell>
          <cell r="K712" t="str">
            <v/>
          </cell>
          <cell r="L712" t="str">
            <v/>
          </cell>
        </row>
        <row r="713">
          <cell r="F713" t="str">
            <v>KVREGGY</v>
          </cell>
          <cell r="G713" t="str">
            <v/>
          </cell>
          <cell r="H713" t="str">
            <v/>
          </cell>
          <cell r="I713" t="str">
            <v/>
          </cell>
          <cell r="J713" t="str">
            <v/>
          </cell>
          <cell r="K713" t="str">
            <v/>
          </cell>
          <cell r="L713" t="str">
            <v/>
          </cell>
        </row>
        <row r="714">
          <cell r="F714" t="str">
            <v>KVREGT</v>
          </cell>
          <cell r="G714" t="str">
            <v/>
          </cell>
          <cell r="H714" t="str">
            <v/>
          </cell>
          <cell r="I714" t="str">
            <v/>
          </cell>
          <cell r="J714" t="str">
            <v>A new QSAR model, for angiotensin I-converting enzyme inhibitory oligopeptides.</v>
          </cell>
          <cell r="K714" t="str">
            <v>10.1016/j.foodchem.2012.09.092</v>
          </cell>
          <cell r="L714" t="str">
            <v>23194537</v>
          </cell>
        </row>
        <row r="715">
          <cell r="F715" t="str">
            <v>KVREGTTY</v>
          </cell>
          <cell r="G715" t="str">
            <v>Ovotransferrin|Ovalbumin</v>
          </cell>
          <cell r="H715" t="str">
            <v/>
          </cell>
          <cell r="I715" t="str">
            <v/>
          </cell>
          <cell r="J715" t="str">
            <v>Glutamine pretreatment reduces IL-8 production in human intestinal epithelial cells by limiting IkappaBalpha ubiquitination.; A new QSAR model, for angiotensin I-converting enzyme inhibitory oligopeptides.; Isolation and characterization of peptides with antihypertensive activity in foodstuffs.</v>
          </cell>
          <cell r="K715" t="str">
            <v>10.1093/jn/136.6.1461; 10.1016/j.foodchem.2012.09.092; 10.1080/10408398.2012.664829</v>
          </cell>
          <cell r="L715" t="str">
            <v>16702304 23194537 24915368</v>
          </cell>
        </row>
        <row r="716">
          <cell r="F716" t="str">
            <v>KVYPFPGPIPNSLPQNIPP</v>
          </cell>
          <cell r="G716" t="str">
            <v/>
          </cell>
          <cell r="H716" t="str">
            <v/>
          </cell>
          <cell r="I716" t="str">
            <v/>
          </cell>
          <cell r="J716" t="str">
            <v/>
          </cell>
          <cell r="K716" t="str">
            <v/>
          </cell>
          <cell r="L716" t="str">
            <v/>
          </cell>
        </row>
        <row r="717">
          <cell r="F717" t="str">
            <v>KW</v>
          </cell>
          <cell r="G717" t="str">
            <v/>
          </cell>
          <cell r="H717" t="str">
            <v/>
          </cell>
          <cell r="I717" t="str">
            <v/>
          </cell>
          <cell r="J717" t="str">
            <v>Angiotensin I-converting enzyme inhibitory peptides in an alkaline protease hydrolyzate derived from sardine muscle.; Antihypertensive effects of Undaria pinnatifida (wakame) peptide on blood pressure in spontaneously hypertensive rats.; Structural requirements of Angiotensin I-converting enzyme inhibitory peptides: quantitative structure-activity relationship study of di- and tripeptides.; Inhibition strength of short peptides derived from an ACE inhibitory peptide.; Peptides with angiotensin I converting enzyme (ACE) inhibitory activity generated from porcine skeletal muscle proteins by the action of meat-borne Lactobacillus.; Isolation and characterization of peptides with antihypertensive activity in foodstuffs.</v>
          </cell>
          <cell r="K717" t="str">
            <v>10.1271/bbb.58.2244; 10.1016/j.jnutbio.2003.11.004; 10.1021/jf051263l; 10.1021/jf202902r; 10.1016/j.jprot.2013.06.023; 10.1080/10408398.2012.664829</v>
          </cell>
          <cell r="L717" t="str">
            <v>7765718 15135150 16448176 21923188 23806758 24915368</v>
          </cell>
        </row>
        <row r="718">
          <cell r="F718" t="str">
            <v>KWL</v>
          </cell>
          <cell r="G718" t="str">
            <v/>
          </cell>
          <cell r="H718" t="str">
            <v/>
          </cell>
          <cell r="I718" t="str">
            <v/>
          </cell>
          <cell r="J718" t="str">
            <v>Inhibition strength of short peptides derived from an ACE inhibitory peptide.</v>
          </cell>
          <cell r="K718" t="str">
            <v>10.1021/jf202902r</v>
          </cell>
          <cell r="L718" t="str">
            <v>21923188</v>
          </cell>
        </row>
        <row r="719">
          <cell r="F719" t="str">
            <v>KWLP</v>
          </cell>
          <cell r="G719" t="str">
            <v/>
          </cell>
          <cell r="H719" t="str">
            <v/>
          </cell>
          <cell r="I719" t="str">
            <v/>
          </cell>
          <cell r="J719" t="str">
            <v>Inhibition strength of short peptides derived from an ACE inhibitory peptide.</v>
          </cell>
          <cell r="K719" t="str">
            <v>10.1021/jf202902r</v>
          </cell>
          <cell r="L719" t="str">
            <v>21923188</v>
          </cell>
        </row>
        <row r="720">
          <cell r="F720" t="str">
            <v>KY</v>
          </cell>
          <cell r="G720" t="str">
            <v/>
          </cell>
          <cell r="H720" t="str">
            <v/>
          </cell>
          <cell r="I720" t="str">
            <v/>
          </cell>
          <cell r="J720" t="str">
            <v>Antihypertensive effects of Undaria pinnatifida (wakame) peptide on blood pressure in spontaneously hypertensive rats.; Structural requirements of Angiotensin I-converting enzyme inhibitory peptides: quantitative structure-activity relationship study of di- and tripeptides.; Antihypertensive peptides from food proteins: a review.; Review on the angiotensin-I-converting enzyme (ACE) inhibitor peptides from marine proteins.;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ell>
          <cell r="K720" t="str">
            <v>10.1016/j.jnutbio.2003.11.004; 10.1021/jf051263l; 10.1039/c2fo10192k; 10.1007/s12010-012-0024-y; 10.1016/j.talanta.2012.12.041; 10.1016/j.jprot.2013.06.023; 10.1016/j.foodchem.2013.05.140; 10.1080/10408398.2012.664829</v>
          </cell>
          <cell r="L720" t="str">
            <v>15135150 16448176 22249830 23271625 23598136 23806758 23871047 24915368</v>
          </cell>
        </row>
        <row r="721">
          <cell r="F721" t="str">
            <v>KYP</v>
          </cell>
          <cell r="G721" t="str">
            <v/>
          </cell>
          <cell r="H721" t="str">
            <v/>
          </cell>
          <cell r="I721" t="str">
            <v/>
          </cell>
          <cell r="J721" t="str">
            <v/>
          </cell>
          <cell r="K721" t="str">
            <v/>
          </cell>
          <cell r="L721" t="str">
            <v/>
          </cell>
        </row>
        <row r="722">
          <cell r="F722" t="str">
            <v>KYPVEPFTESQSLTL</v>
          </cell>
          <cell r="G722" t="str">
            <v>Casein</v>
          </cell>
          <cell r="H722" t="str">
            <v>Casein (75 g/L) was dissolved in pH 7.0, 0.04 mol/L phosphate buffer. Hydrolysis was initiated by addition of AS1.398 neutral protease at 45 degree Celsius and the enzyme concentration was fixed at 5% (w/w protein). The pH value was kept at 7.0 by continuous addition of 1 mol/L NaOH. After the hydrolysis reaction, the protein hydrolysates were heated at 95 degree Celsius for 20 min to inactivate this enzyme and then centrifuged at 4000g for 20 min at 4 degree Celsius. Subsequently, the supernatants were ultrafiltrated through a 3-kDa molecular weight cut-off membrane (Millipore Co., USA) at 35 degree Celsius under a pressure of 3 MPa. The resulting permeates were collected and lyophilised to obtain the bovine casein-derived ACE inhibitory peptides.</v>
          </cell>
          <cell r="I722" t="str">
            <v>Beta-casein Antibody | Casein (Bovine) Antibody</v>
          </cell>
          <cell r="J722" t="str">
            <v>Antihypertensive effect of the peptides derived from casein by an extracellular proteinase from Lactobacillus helveticus CP790.</v>
          </cell>
          <cell r="K722" t="str">
            <v>10.3168/jds.S0022-0302(94)77026-0</v>
          </cell>
          <cell r="L722" t="str">
            <v>8201050</v>
          </cell>
        </row>
        <row r="723">
          <cell r="F723" t="str">
            <v>KYPVEPFTESQSLTLTDVENLHL</v>
          </cell>
          <cell r="G723" t="str">
            <v/>
          </cell>
          <cell r="H723" t="str">
            <v/>
          </cell>
          <cell r="I723" t="str">
            <v/>
          </cell>
          <cell r="J723" t="str">
            <v>Identification of angiotensin-I-converting enzyme inhibitory peptides derived from sodium caseinate hydrolysates produced by Lactobacillus helveticus NCC 2765.</v>
          </cell>
          <cell r="K723" t="str">
            <v>10.1021/jf049510t</v>
          </cell>
          <cell r="L723" t="str">
            <v>15537298</v>
          </cell>
        </row>
        <row r="724">
          <cell r="F724" t="str">
            <v>KYPVQPFTESQSLTL</v>
          </cell>
          <cell r="G724" t="str">
            <v/>
          </cell>
          <cell r="H724" t="str">
            <v/>
          </cell>
          <cell r="I724" t="str">
            <v/>
          </cell>
          <cell r="J724" t="str">
            <v>A new QSAR model, for angiotensin I-converting enzyme inhibitory oligopeptides.</v>
          </cell>
          <cell r="K724" t="str">
            <v>10.1016/j.foodchem.2012.09.092</v>
          </cell>
          <cell r="L724" t="str">
            <v>23194537</v>
          </cell>
        </row>
        <row r="725">
          <cell r="F725" t="str">
            <v>KYY</v>
          </cell>
          <cell r="G725" t="str">
            <v/>
          </cell>
          <cell r="H725" t="str">
            <v/>
          </cell>
          <cell r="I725" t="str">
            <v/>
          </cell>
          <cell r="J725" t="str">
            <v/>
          </cell>
          <cell r="K725" t="str">
            <v/>
          </cell>
          <cell r="L725" t="str">
            <v/>
          </cell>
        </row>
        <row r="726">
          <cell r="F726" t="str">
            <v>LA</v>
          </cell>
          <cell r="G726" t="str">
            <v/>
          </cell>
          <cell r="H726" t="str">
            <v/>
          </cell>
          <cell r="I726" t="str">
            <v/>
          </cell>
          <cell r="J726" t="str">
            <v>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What are the ideal properties for functional food peptides with antihypertensive effect? A computational peptidology approach.</v>
          </cell>
          <cell r="K726" t="str">
            <v>10.1002/psc.892; 10.1007/s00894-010-0862-x; 10.1016/j.foodchem.2013.05.140</v>
          </cell>
          <cell r="L726" t="str">
            <v>17654623 20941517 23871047</v>
          </cell>
        </row>
        <row r="727">
          <cell r="F727" t="str">
            <v>LAA</v>
          </cell>
          <cell r="G727" t="str">
            <v/>
          </cell>
          <cell r="H727" t="str">
            <v/>
          </cell>
          <cell r="I727" t="str">
            <v/>
          </cell>
          <cell r="J727" t="str">
            <v>Structures and activity of angiotensin-converting enzyme inhibitors in an alpha-zein hydrolysate.; Structural requirements of Angiotensin I-converting enzyme inhibitory peptides: quantitative structure-activity relationship study of di- and tripeptides.; Bioactive peptides in amaranth (Amaranthus hypochondriacus) seed.; Cellular membrane disruption by amyloid fibrils involved intermolecular disulfide cross-linking.; What are the ideal properties for functional food peptides with antihypertensive effect? A computational peptidology approach.</v>
          </cell>
          <cell r="K727" t="str">
            <v>10.1021/jf051263l; 10.1021/jf072911z; 10.1021/bi900219c; 10.1016/j.foodchem.2013.05.140</v>
          </cell>
          <cell r="L727" t="str">
            <v>1368684 16448176 18211015 19449893 23871047</v>
          </cell>
        </row>
        <row r="728">
          <cell r="F728" t="str">
            <v>LAHKAL</v>
          </cell>
          <cell r="G728" t="str">
            <v/>
          </cell>
          <cell r="H728" t="str">
            <v/>
          </cell>
          <cell r="I728" t="str">
            <v/>
          </cell>
          <cell r="J728" t="str">
            <v>Use of beta-cyclodextrin to decrease the level of cholesterol in milk fat.; A new QSAR model, for angiotensin I-converting enzyme inhibitory oligopeptides.</v>
          </cell>
          <cell r="K728" t="str">
            <v>10.3168/jds.2008-1452; 10.1016/j.foodchem.2012.09.092</v>
          </cell>
          <cell r="L728" t="str">
            <v>19233779 23194537</v>
          </cell>
        </row>
        <row r="729">
          <cell r="F729" t="str">
            <v>LAIPVNKP</v>
          </cell>
          <cell r="G729" t="str">
            <v/>
          </cell>
          <cell r="H729" t="str">
            <v/>
          </cell>
          <cell r="I729" t="str">
            <v/>
          </cell>
          <cell r="J729" t="str">
            <v/>
          </cell>
          <cell r="K729" t="str">
            <v/>
          </cell>
          <cell r="L729" t="str">
            <v/>
          </cell>
        </row>
        <row r="730">
          <cell r="F730" t="str">
            <v>LALPP</v>
          </cell>
          <cell r="G730" t="str">
            <v/>
          </cell>
          <cell r="H730" t="str">
            <v/>
          </cell>
          <cell r="I730" t="str">
            <v/>
          </cell>
          <cell r="J730" t="str">
            <v>Inhibition of angiotensin-converting enzyme by synthetic peptide fragments of various beta-caseins.; A new QSAR model, for angiotensin I-converting enzyme inhibitory oligopeptides.</v>
          </cell>
          <cell r="K730" t="str">
            <v>10.1016/j.foodchem.2012.09.092</v>
          </cell>
          <cell r="L730" t="str">
            <v>1368548 23194537</v>
          </cell>
        </row>
        <row r="731">
          <cell r="F731" t="str">
            <v>LAMA</v>
          </cell>
          <cell r="G731" t="str">
            <v/>
          </cell>
          <cell r="H731" t="str">
            <v/>
          </cell>
          <cell r="I731" t="str">
            <v/>
          </cell>
          <cell r="J731" t="str">
            <v>Bioactive peptides in amaranth (Amaranthus hypochondriacus) seed.</v>
          </cell>
          <cell r="K731" t="str">
            <v>10.1021/jf072911z</v>
          </cell>
          <cell r="L731" t="str">
            <v>18211015</v>
          </cell>
        </row>
        <row r="732">
          <cell r="F732" t="str">
            <v>LANVST</v>
          </cell>
          <cell r="G732" t="str">
            <v/>
          </cell>
          <cell r="H732" t="str">
            <v/>
          </cell>
          <cell r="I732" t="str">
            <v/>
          </cell>
          <cell r="J732" t="str">
            <v>Isolation and characterization of a bradykinin-potentiating peptide from a bovine peptic hemoglobin hydrolysate.</v>
          </cell>
          <cell r="K732" t="str">
            <v>10.1016/0014-5793(92)80104-o</v>
          </cell>
          <cell r="L732" t="str">
            <v>1544478</v>
          </cell>
        </row>
        <row r="733">
          <cell r="F733" t="str">
            <v>LAP</v>
          </cell>
          <cell r="G733" t="str">
            <v>chicken muscle</v>
          </cell>
          <cell r="H733" t="str">
            <v/>
          </cell>
          <cell r="I733" t="str">
            <v/>
          </cell>
          <cell r="J733" t="str">
            <v>Structural requirements of Angiotensin I-converting enzyme inhibitory peptides: quantitative structure-activity relationship study of di- and tripeptides.; Temporal gene expression and probiotic attributes of Lactobacillus acidophilus during growth in milk.; Vegetable foods: a cheap source of proteins and peptides with antihypertensive, antioxidant, and other less occurrence bioactivities.; Rational design of angiotensin-I-converting enzyme inhibitory peptides by integrating in silico modeling and an in vitro assay.; Isolation and characterization of peptides with antihypertensive activity in foodstuffs.</v>
          </cell>
          <cell r="K733" t="str">
            <v>10.1021/jf051263l; 10.3168/jds.2008-1457; 10.1016/j.talanta.2012.12.041; 10.1002/cmdc.201300132; 10.1080/10408398.2012.664829</v>
          </cell>
          <cell r="L733" t="str">
            <v>16448176 19233780 23598136 23740817 24915368</v>
          </cell>
        </row>
        <row r="734">
          <cell r="F734" t="str">
            <v>LAQ</v>
          </cell>
          <cell r="G734" t="str">
            <v/>
          </cell>
          <cell r="H734" t="str">
            <v/>
          </cell>
          <cell r="I734" t="str">
            <v/>
          </cell>
          <cell r="J734" t="str">
            <v>Isolation from alpha-zein of thermolysin peptides with angiotensin I-converting enzyme inhibitory activity.; Cellular membrane disruption by amyloid fibrils involved intermolecular disulfide cross-linking.</v>
          </cell>
          <cell r="K734" t="str">
            <v>10.1271/bbb.60.661; 10.1021/bi900219c</v>
          </cell>
          <cell r="L734" t="str">
            <v>8829536 19449893</v>
          </cell>
        </row>
        <row r="735">
          <cell r="F735" t="str">
            <v>LAY</v>
          </cell>
          <cell r="G735" t="str">
            <v/>
          </cell>
          <cell r="H735" t="str">
            <v/>
          </cell>
          <cell r="I735" t="str">
            <v/>
          </cell>
          <cell r="J735" t="str">
            <v>Structures and activity of angiotensin-converting enzyme inhibitors in an alpha-zein hydrolysate.; Isolation from alpha-zein of thermolysin peptides with angiotensin I-converting enzyme inhibitory activity.; Structural requirements of Angiotensin I-converting enzyme inhibitory peptides: quantitative structure-activity relationship study of di- and tripeptides.; Bioactive peptides in amaranth (Amaranthus hypochondriacus) seed.; What are the ideal properties for functional food peptides with antihypertensive effect? A computational peptidology approach.</v>
          </cell>
          <cell r="K735" t="str">
            <v>10.1271/bbb.60.661; 10.1021/jf051263l; 10.1021/jf072911z; 10.1016/j.foodchem.2013.05.140</v>
          </cell>
          <cell r="L735" t="str">
            <v>1368684 8829536 16448176 18211015 23871047</v>
          </cell>
        </row>
        <row r="736">
          <cell r="F736" t="str">
            <v>LAYFYP</v>
          </cell>
          <cell r="G736" t="str">
            <v/>
          </cell>
          <cell r="H736" t="str">
            <v/>
          </cell>
          <cell r="I736" t="str">
            <v/>
          </cell>
          <cell r="J736" t="str">
            <v/>
          </cell>
          <cell r="K736" t="str">
            <v/>
          </cell>
          <cell r="L736" t="str">
            <v/>
          </cell>
        </row>
        <row r="737">
          <cell r="F737" t="str">
            <v>LAYFYPEL</v>
          </cell>
          <cell r="G737" t="str">
            <v/>
          </cell>
          <cell r="H737" t="str">
            <v/>
          </cell>
          <cell r="I737" t="str">
            <v/>
          </cell>
          <cell r="J737" t="str">
            <v/>
          </cell>
          <cell r="K737" t="str">
            <v/>
          </cell>
          <cell r="L737" t="str">
            <v/>
          </cell>
        </row>
        <row r="738">
          <cell r="F738" t="str">
            <v>LCNGS</v>
          </cell>
          <cell r="G738" t="str">
            <v/>
          </cell>
          <cell r="H738" t="str">
            <v/>
          </cell>
          <cell r="I738" t="str">
            <v/>
          </cell>
          <cell r="J738" t="str">
            <v/>
          </cell>
          <cell r="K738" t="str">
            <v/>
          </cell>
          <cell r="L738" t="str">
            <v/>
          </cell>
        </row>
        <row r="739">
          <cell r="F739" t="str">
            <v>LDAQSAPLR</v>
          </cell>
          <cell r="G739" t="str">
            <v/>
          </cell>
          <cell r="H739" t="str">
            <v/>
          </cell>
          <cell r="I739" t="str">
            <v/>
          </cell>
          <cell r="J739" t="str">
            <v>Angiotensin I-converting enzyme inhibitory properties of whey protein digests: concentration and characterization of active peptides.; A new QSAR model, for angiotensin I-converting enzyme inhibitory oligopeptides.</v>
          </cell>
          <cell r="K739" t="str">
            <v>10.1017/s0022029999003982; 10.1016/j.foodchem.2012.09.092</v>
          </cell>
          <cell r="L739" t="str">
            <v>10717843 23194537</v>
          </cell>
        </row>
        <row r="740">
          <cell r="F740" t="str">
            <v>LDIQK</v>
          </cell>
          <cell r="G740" t="str">
            <v/>
          </cell>
          <cell r="H740" t="str">
            <v/>
          </cell>
          <cell r="I740" t="str">
            <v/>
          </cell>
          <cell r="J740" t="str">
            <v>A new QSAR model, for angiotensin I-converting enzyme inhibitory oligopeptides.</v>
          </cell>
          <cell r="K740" t="str">
            <v>10.1016/j.foodchem.2012.09.092</v>
          </cell>
          <cell r="L740" t="str">
            <v>23194537</v>
          </cell>
        </row>
        <row r="741">
          <cell r="F741" t="str">
            <v>LDL</v>
          </cell>
          <cell r="G741" t="str">
            <v/>
          </cell>
          <cell r="H741" t="str">
            <v/>
          </cell>
          <cell r="I741" t="str">
            <v/>
          </cell>
          <cell r="J741"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741" t="str">
            <v>10.1002/psc.800; 10.1007/s00894-010-0862-x; 10.1016/j.foodchem.2013.05.140</v>
          </cell>
          <cell r="L741" t="str">
            <v>17117396 20941517 23871047</v>
          </cell>
        </row>
        <row r="742">
          <cell r="F742" t="str">
            <v>LE</v>
          </cell>
          <cell r="G742" t="str">
            <v/>
          </cell>
          <cell r="H742" t="str">
            <v/>
          </cell>
          <cell r="I742" t="str">
            <v/>
          </cell>
          <cell r="J742" t="str">
            <v>Quantitative structure-activity relationship study of bitter di- and tri-peptides including relationship with angiotensin I-converting enzyme inhibitory activity.</v>
          </cell>
          <cell r="K742" t="str">
            <v>10.1002/psc.800</v>
          </cell>
          <cell r="L742" t="str">
            <v>17117396</v>
          </cell>
        </row>
        <row r="743">
          <cell r="F743" t="str">
            <v>LEE</v>
          </cell>
          <cell r="G743" t="str">
            <v/>
          </cell>
          <cell r="H743" t="str">
            <v/>
          </cell>
          <cell r="I743" t="str">
            <v/>
          </cell>
          <cell r="J743" t="str">
            <v>Structural requirements of Angiotensin I-converting enzyme inhibitory peptides: quantitative structure-activity relationship study of di- and tripeptides.</v>
          </cell>
          <cell r="K743" t="str">
            <v>10.1021/jf051263l</v>
          </cell>
          <cell r="L743" t="str">
            <v>16448176</v>
          </cell>
        </row>
        <row r="744">
          <cell r="F744" t="str">
            <v>LEF</v>
          </cell>
          <cell r="G744" t="str">
            <v/>
          </cell>
          <cell r="H744" t="str">
            <v/>
          </cell>
          <cell r="I744" t="str">
            <v/>
          </cell>
          <cell r="J744" t="str">
            <v>LC-MS/MS coupled with QSAR modeling in characterising of angiotensin I-converting enzyme inhibitory peptides from soybean proteins.</v>
          </cell>
          <cell r="K744" t="str">
            <v>10.1016/j.foodchem.2013.04.064</v>
          </cell>
          <cell r="L744" t="str">
            <v>23871011</v>
          </cell>
        </row>
        <row r="745">
          <cell r="F745" t="str">
            <v>LEFNQ</v>
          </cell>
          <cell r="G745" t="str">
            <v/>
          </cell>
          <cell r="H745" t="str">
            <v/>
          </cell>
          <cell r="I745" t="str">
            <v/>
          </cell>
          <cell r="J745" t="str">
            <v/>
          </cell>
          <cell r="K745" t="str">
            <v/>
          </cell>
          <cell r="L745" t="str">
            <v/>
          </cell>
        </row>
        <row r="746">
          <cell r="F746" t="str">
            <v>LEIAKNGLSTTSNPKR</v>
          </cell>
          <cell r="G746" t="str">
            <v/>
          </cell>
          <cell r="H746" t="str">
            <v/>
          </cell>
          <cell r="I746" t="str">
            <v/>
          </cell>
          <cell r="J746" t="str">
            <v>High throughput screening of bradykinin-potentiating peptides in Bothrops moojeni snake venom using precursor ion mass spectrometry.</v>
          </cell>
          <cell r="K746" t="str">
            <v>10.1016/j.toxicon.2008.02.019</v>
          </cell>
          <cell r="L746" t="str">
            <v>18471845</v>
          </cell>
        </row>
        <row r="747">
          <cell r="F747" t="str">
            <v>LEIVPK</v>
          </cell>
          <cell r="G747" t="str">
            <v/>
          </cell>
          <cell r="H747" t="str">
            <v/>
          </cell>
          <cell r="I747" t="str">
            <v/>
          </cell>
          <cell r="J747" t="str">
            <v>Angiotensin-converting enzyme inhibitory activity of peptides derived from caprine kefir.; Enterococcus faecalis strains from food, environmental, and clinical origin produce ACE-inhibitory peptides and other bioactive peptides during growth in bovine skim milk.</v>
          </cell>
          <cell r="K747" t="str">
            <v>10.3168/jds.S0022-0302(05)73032-0; 10.1016/j.ijfoodmicro.2013.06.019</v>
          </cell>
          <cell r="L747" t="str">
            <v>16162521 23845432</v>
          </cell>
        </row>
        <row r="748">
          <cell r="F748" t="str">
            <v>LEK</v>
          </cell>
          <cell r="G748" t="str">
            <v/>
          </cell>
          <cell r="H748" t="str">
            <v/>
          </cell>
          <cell r="I748" t="str">
            <v/>
          </cell>
          <cell r="J748" t="str">
            <v>Structural requirements of Angiotensin I-converting enzyme inhibitory peptides: quantitative structure-activity relationship study of di- and tripeptides.; Inhibition strength of short peptides derived from an ACE inhibitory peptide.</v>
          </cell>
          <cell r="K748" t="str">
            <v>10.1021/jf051263l; 10.1021/jf202902r</v>
          </cell>
          <cell r="L748" t="str">
            <v>16448176 21923188</v>
          </cell>
        </row>
        <row r="749">
          <cell r="F749" t="str">
            <v>LEKTG</v>
          </cell>
          <cell r="G749" t="str">
            <v/>
          </cell>
          <cell r="H749" t="str">
            <v/>
          </cell>
          <cell r="I749" t="str">
            <v/>
          </cell>
          <cell r="J749" t="str">
            <v/>
          </cell>
          <cell r="K749" t="str">
            <v/>
          </cell>
          <cell r="L749" t="str">
            <v/>
          </cell>
        </row>
        <row r="750">
          <cell r="F750" t="str">
            <v>LEL</v>
          </cell>
          <cell r="G750" t="str">
            <v/>
          </cell>
          <cell r="H750" t="str">
            <v/>
          </cell>
          <cell r="I750" t="str">
            <v/>
          </cell>
          <cell r="J750"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750" t="str">
            <v>10.1002/psc.800; 10.1007/s00894-010-0862-x; 10.1016/j.foodchem.2013.05.140</v>
          </cell>
          <cell r="L750" t="str">
            <v>17117396 20941517 23871047</v>
          </cell>
        </row>
        <row r="751">
          <cell r="F751" t="str">
            <v>LELNQ</v>
          </cell>
          <cell r="G751" t="str">
            <v/>
          </cell>
          <cell r="H751" t="str">
            <v/>
          </cell>
          <cell r="I751" t="str">
            <v/>
          </cell>
          <cell r="J751" t="str">
            <v/>
          </cell>
          <cell r="K751" t="str">
            <v/>
          </cell>
          <cell r="L751" t="str">
            <v/>
          </cell>
        </row>
        <row r="752">
          <cell r="F752" t="str">
            <v>LENLHLP</v>
          </cell>
          <cell r="G752" t="str">
            <v/>
          </cell>
          <cell r="H752" t="str">
            <v/>
          </cell>
          <cell r="I752" t="str">
            <v/>
          </cell>
          <cell r="J752" t="str">
            <v>Inhibition of angiotensin-converting enzyme by synthetic peptide fragments of various beta-caseins.</v>
          </cell>
          <cell r="K752" t="str">
            <v/>
          </cell>
          <cell r="L752" t="str">
            <v>1368548</v>
          </cell>
        </row>
        <row r="753">
          <cell r="F753" t="str">
            <v>LENLHLPLP</v>
          </cell>
          <cell r="G753" t="str">
            <v/>
          </cell>
          <cell r="H753" t="str">
            <v/>
          </cell>
          <cell r="I753" t="str">
            <v/>
          </cell>
          <cell r="J753" t="str">
            <v>Inhibition of angiotensin-converting enzyme by synthetic peptide fragments of various beta-caseins.</v>
          </cell>
          <cell r="K753" t="str">
            <v/>
          </cell>
          <cell r="L753" t="str">
            <v>1368548</v>
          </cell>
        </row>
        <row r="754">
          <cell r="F754" t="str">
            <v>LEP</v>
          </cell>
          <cell r="G754" t="str">
            <v/>
          </cell>
          <cell r="H754" t="str">
            <v/>
          </cell>
          <cell r="I754" t="str">
            <v/>
          </cell>
          <cell r="J754" t="str">
            <v>Structural requirements of Angiotensin I-converting enzyme inhibitory peptides: quantitative structure-activity relationship study of di- and tripeptides.; ACE inhibitory tetrapeptides from Amaranthus hypochondriacus 11S globulin.</v>
          </cell>
          <cell r="K754" t="str">
            <v>10.1021/jf051263l; 10.1016/j.phytochem.2009.04.006</v>
          </cell>
          <cell r="L754" t="str">
            <v>16448176 19443002</v>
          </cell>
        </row>
        <row r="755">
          <cell r="F755" t="str">
            <v>LEPP</v>
          </cell>
          <cell r="G755" t="str">
            <v/>
          </cell>
          <cell r="H755" t="str">
            <v/>
          </cell>
          <cell r="I755" t="str">
            <v/>
          </cell>
          <cell r="J755" t="str">
            <v>What are the ideal properties for functional food peptides with antihypertensive effect? A computational peptidology approach.</v>
          </cell>
          <cell r="K755" t="str">
            <v>10.1016/j.foodchem.2013.05.140</v>
          </cell>
          <cell r="L755" t="str">
            <v>23871047</v>
          </cell>
        </row>
        <row r="756">
          <cell r="F756" t="str">
            <v>LEQL</v>
          </cell>
          <cell r="G756" t="str">
            <v/>
          </cell>
          <cell r="H756" t="str">
            <v/>
          </cell>
          <cell r="I756" t="str">
            <v/>
          </cell>
          <cell r="J756" t="str">
            <v/>
          </cell>
          <cell r="K756" t="str">
            <v/>
          </cell>
          <cell r="L756" t="str">
            <v/>
          </cell>
        </row>
        <row r="757">
          <cell r="F757" t="str">
            <v>LEY</v>
          </cell>
          <cell r="G757" t="str">
            <v/>
          </cell>
          <cell r="H757" t="str">
            <v/>
          </cell>
          <cell r="I757" t="str">
            <v/>
          </cell>
          <cell r="J757" t="str">
            <v/>
          </cell>
          <cell r="K757" t="str">
            <v/>
          </cell>
          <cell r="L757" t="str">
            <v/>
          </cell>
        </row>
        <row r="758">
          <cell r="F758" t="str">
            <v>LF</v>
          </cell>
          <cell r="G758" t="str">
            <v/>
          </cell>
          <cell r="H758" t="str">
            <v/>
          </cell>
          <cell r="I758" t="str">
            <v/>
          </cell>
          <cell r="J758" t="str">
            <v>Isolation from alpha-zein of thermolysin peptides with angiotensin I-converting enzyme inhibitory activity.; Angiotensin I-converting enzyme inhibitory peptides in a hydrolyzed chicken breast muscle extract.;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Bioactive peptides in amaranth (Amaranthus hypochondriacus) seed.; Quality and acceptability of a set-type yogurt made from camel milk.; Use of beta-cyclodextrin to decrease the level of cholesterol in milk fat.; Peptides with angiotensin I converting enzyme (ACE) inhibitory activity generated from porcine skeletal muscle proteins by the action of meat-borne Lactobacillus.; Isolation and characterization of peptides with antihypertensive activity in foodstuffs.</v>
          </cell>
          <cell r="K758" t="str">
            <v>10.1271/bbb.60.661; 10.1021/jf020604h; 10.1021/jf051263l; 10.1002/psc.800; 10.1002/psc.892; 10.1021/jf072911z; 10.3168/jds.2008-1408; 10.3168/jds.2008-1452; 10.1016/j.jprot.2013.06.023; 10.1080/10408398.2012.664829</v>
          </cell>
          <cell r="L758" t="str">
            <v>8829536 12617616 16448176 17117396 17654623 18211015 19233778 19233779 23806758 24915368</v>
          </cell>
        </row>
        <row r="759">
          <cell r="F759" t="str">
            <v>LFDKPVSPL</v>
          </cell>
          <cell r="G759" t="str">
            <v/>
          </cell>
          <cell r="H759" t="str">
            <v/>
          </cell>
          <cell r="I759" t="str">
            <v/>
          </cell>
          <cell r="J759" t="str">
            <v>Angiotensin I-converting enzyme inhibitory peptides generated from in vitro gastrointestinal digestion of pork meat.</v>
          </cell>
          <cell r="K759" t="str">
            <v>10.1021/jf904204n</v>
          </cell>
          <cell r="L759" t="str">
            <v>20151679</v>
          </cell>
        </row>
        <row r="760">
          <cell r="F760" t="str">
            <v>LFRQ</v>
          </cell>
          <cell r="G760" t="str">
            <v/>
          </cell>
          <cell r="H760" t="str">
            <v/>
          </cell>
          <cell r="I760" t="str">
            <v/>
          </cell>
          <cell r="J760" t="str">
            <v/>
          </cell>
          <cell r="K760" t="str">
            <v/>
          </cell>
          <cell r="L760" t="str">
            <v/>
          </cell>
        </row>
        <row r="761">
          <cell r="F761" t="str">
            <v>LG</v>
          </cell>
          <cell r="G761" t="str">
            <v/>
          </cell>
          <cell r="H761" t="str">
            <v/>
          </cell>
          <cell r="I761" t="str">
            <v/>
          </cell>
          <cell r="J761"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761" t="str">
            <v>10.1021/jf051263l; 10.1002/psc.800; 10.1002/psc.892; 10.1007/s00894-010-0862-x; 10.1016/j.jprot.2013.06.023; 10.1016/j.foodchem.2013.05.140</v>
          </cell>
          <cell r="L761" t="str">
            <v>6243277 16448176 17117396 17654623 20941517 23806758 23871047</v>
          </cell>
        </row>
        <row r="762">
          <cell r="F762" t="str">
            <v>LGFPTTKTYFPHF</v>
          </cell>
          <cell r="G762" t="str">
            <v/>
          </cell>
          <cell r="H762" t="str">
            <v/>
          </cell>
          <cell r="I762" t="str">
            <v/>
          </cell>
          <cell r="J762" t="str">
            <v>Novel angiotensin I-converting enzyme inhibitory peptides derived from an edible mushroom, Pleurotus cystidiosus O.K. Miller identified by LC-MS/MS.; Isolation and characterization of peptides with antihypertensive activity in foodstuffs.</v>
          </cell>
          <cell r="K762" t="str">
            <v>10.1186/1472-6882-13-313; 10.1080/10408398.2012.664829</v>
          </cell>
          <cell r="L762" t="str">
            <v>24215325 24915368</v>
          </cell>
        </row>
        <row r="763">
          <cell r="F763" t="str">
            <v>LGG</v>
          </cell>
          <cell r="G763" t="str">
            <v/>
          </cell>
          <cell r="H763" t="str">
            <v/>
          </cell>
          <cell r="I763" t="str">
            <v/>
          </cell>
          <cell r="J763"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763" t="str">
            <v>10.1002/psc.800; 10.1007/s00894-010-0862-x; 10.1016/j.foodchem.2013.05.140</v>
          </cell>
          <cell r="L763" t="str">
            <v>17117396 20941517 23871047</v>
          </cell>
        </row>
        <row r="764">
          <cell r="F764" t="str">
            <v>LGGC</v>
          </cell>
          <cell r="G764" t="str">
            <v/>
          </cell>
          <cell r="H764" t="str">
            <v/>
          </cell>
          <cell r="I764" t="str">
            <v/>
          </cell>
          <cell r="J764" t="str">
            <v/>
          </cell>
          <cell r="K764" t="str">
            <v/>
          </cell>
          <cell r="L764" t="str">
            <v/>
          </cell>
        </row>
        <row r="765">
          <cell r="F765" t="str">
            <v>LGI</v>
          </cell>
          <cell r="G765" t="str">
            <v/>
          </cell>
          <cell r="H765" t="str">
            <v/>
          </cell>
          <cell r="I765" t="str">
            <v/>
          </cell>
          <cell r="J765" t="str">
            <v>Structural requirements of Angiotensin I-converting enzyme inhibitory peptides: quantitative structure-activity relationship study of di- and tripeptides.; Isolation and characterization of peptides with antihypertensive activity in foodstuffs.</v>
          </cell>
          <cell r="K765" t="str">
            <v>10.1021/jf051263l; 10.1080/10408398.2012.664829</v>
          </cell>
          <cell r="L765" t="str">
            <v>16448176 24915368</v>
          </cell>
        </row>
        <row r="766">
          <cell r="F766" t="str">
            <v>LGL</v>
          </cell>
          <cell r="G766" t="str">
            <v/>
          </cell>
          <cell r="H766" t="str">
            <v/>
          </cell>
          <cell r="I766" t="str">
            <v/>
          </cell>
          <cell r="J766"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766" t="str">
            <v>10.1002/psc.800; 10.1007/s00894-010-0862-x; 10.1016/j.foodchem.2013.05.140</v>
          </cell>
          <cell r="L766" t="str">
            <v>17117396 20941517 23871047</v>
          </cell>
        </row>
        <row r="767">
          <cell r="F767" t="str">
            <v>LGP</v>
          </cell>
          <cell r="G767" t="str">
            <v>pea albumin</v>
          </cell>
          <cell r="H767" t="str">
            <v/>
          </cell>
          <cell r="I767" t="str">
            <v/>
          </cell>
          <cell r="J767" t="str">
            <v>Structure and activity of angiotensin I converting enzyme inhibitory peptides derived from Alaskan pollack skin.; Assessing the dependence of (51)V A(z) value on the aromatic ring orientation of V(IV)O(2+) pyridine complexes.</v>
          </cell>
          <cell r="K767" t="str">
            <v>10.5483/bmbrep.2002.35.2.239; 10.1021/ic9001779</v>
          </cell>
          <cell r="L767" t="str">
            <v>12297036 19449891</v>
          </cell>
        </row>
        <row r="768">
          <cell r="F768" t="str">
            <v>LGPLGHQ</v>
          </cell>
          <cell r="G768" t="str">
            <v/>
          </cell>
          <cell r="H768" t="str">
            <v/>
          </cell>
          <cell r="I768" t="str">
            <v/>
          </cell>
          <cell r="J768" t="str">
            <v>Active peptides from skate (Okamejei kenojei) skin gelatin diminish angiotensin-I converting enzyme activity and intracellular free radical-mediated oxidation.</v>
          </cell>
          <cell r="K768" t="str">
            <v>10.1016/j.foodchem.2013.07.067</v>
          </cell>
          <cell r="L768" t="str">
            <v>24054237</v>
          </cell>
        </row>
        <row r="769">
          <cell r="F769" t="str">
            <v>LGPVRGPFPI</v>
          </cell>
          <cell r="G769" t="str">
            <v/>
          </cell>
          <cell r="H769" t="str">
            <v/>
          </cell>
          <cell r="I769" t="str">
            <v/>
          </cell>
          <cell r="J769" t="str">
            <v>Identification of angiotensin-I-converting enzyme inhibitory peptides derived from sodium caseinate hydrolysates produced by Lactobacillus helveticus NCC 2765.</v>
          </cell>
          <cell r="K769" t="str">
            <v>10.1021/jf049510t</v>
          </cell>
          <cell r="L769" t="str">
            <v>15537298</v>
          </cell>
        </row>
        <row r="770">
          <cell r="F770" t="str">
            <v>LGQTPTK</v>
          </cell>
          <cell r="G770" t="str">
            <v/>
          </cell>
          <cell r="H770" t="str">
            <v/>
          </cell>
          <cell r="I770" t="str">
            <v/>
          </cell>
          <cell r="J770" t="str">
            <v>Inhibitory profile of nonapeptide derived from porcine troponin C against angiotensin I-converting enzyme.</v>
          </cell>
          <cell r="K770" t="str">
            <v>10.1021/jf0350865</v>
          </cell>
          <cell r="L770" t="str">
            <v>14969529</v>
          </cell>
        </row>
        <row r="771">
          <cell r="F771" t="str">
            <v>LGTQY</v>
          </cell>
          <cell r="G771" t="str">
            <v/>
          </cell>
          <cell r="H771" t="str">
            <v/>
          </cell>
          <cell r="I771" t="str">
            <v/>
          </cell>
          <cell r="J771" t="str">
            <v>Enterococcus faecalis strains from food, environmental, and clinical origin produce ACE-inhibitory peptides and other bioactive peptides during growth in bovine skim milk.</v>
          </cell>
          <cell r="K771" t="str">
            <v>10.1016/j.ijfoodmicro.2013.06.019</v>
          </cell>
          <cell r="L771" t="str">
            <v>23845432</v>
          </cell>
        </row>
        <row r="772">
          <cell r="F772" t="str">
            <v>LGTQYTDAPSFSDIPNPIGSENSEK</v>
          </cell>
          <cell r="G772" t="str">
            <v/>
          </cell>
          <cell r="H772" t="str">
            <v/>
          </cell>
          <cell r="I772" t="str">
            <v/>
          </cell>
          <cell r="J772" t="str">
            <v>Angiotensin I-converting-enzyme-inhibitory and antibacterial peptides from Lactobacillus helveticus PR4 proteinase-hydrolyzed caseins of milk from six species.</v>
          </cell>
          <cell r="K772" t="str">
            <v>10.1128/AEM.69.9.5297-5305.2003</v>
          </cell>
          <cell r="L772" t="str">
            <v>12957917</v>
          </cell>
        </row>
        <row r="773">
          <cell r="F773" t="str">
            <v>LGYL</v>
          </cell>
          <cell r="G773" t="str">
            <v/>
          </cell>
          <cell r="H773" t="str">
            <v/>
          </cell>
          <cell r="I773" t="str">
            <v/>
          </cell>
          <cell r="J773" t="str">
            <v/>
          </cell>
          <cell r="K773" t="str">
            <v/>
          </cell>
          <cell r="L773" t="str">
            <v/>
          </cell>
        </row>
        <row r="774">
          <cell r="F774" t="str">
            <v>LHEPG</v>
          </cell>
          <cell r="G774" t="str">
            <v/>
          </cell>
          <cell r="H774" t="str">
            <v/>
          </cell>
          <cell r="I774" t="str">
            <v/>
          </cell>
          <cell r="J774" t="str">
            <v/>
          </cell>
          <cell r="K774" t="str">
            <v/>
          </cell>
          <cell r="L774" t="str">
            <v/>
          </cell>
        </row>
        <row r="775">
          <cell r="F775" t="str">
            <v>LHGPYP</v>
          </cell>
          <cell r="G775" t="str">
            <v/>
          </cell>
          <cell r="H775" t="str">
            <v/>
          </cell>
          <cell r="I775" t="str">
            <v/>
          </cell>
          <cell r="J775" t="str">
            <v>Rational design of angiotensin-I-converting enzyme inhibitory peptides by integrating in silico modeling and an in vitro assay.</v>
          </cell>
          <cell r="K775" t="str">
            <v>10.1002/cmdc.201300132</v>
          </cell>
          <cell r="L775" t="str">
            <v>23740817</v>
          </cell>
        </row>
        <row r="776">
          <cell r="F776" t="str">
            <v>LHLP</v>
          </cell>
          <cell r="G776" t="str">
            <v/>
          </cell>
          <cell r="H776" t="str">
            <v/>
          </cell>
          <cell r="I776" t="str">
            <v/>
          </cell>
          <cell r="J776" t="str">
            <v>Inhibition of angiotensin-converting enzyme by synthetic peptide fragments of various beta-caseins.; What are the ideal properties for functional food peptides with antihypertensive effect? A computational peptidology approach.</v>
          </cell>
          <cell r="K776" t="str">
            <v>10.1016/j.foodchem.2013.05.140</v>
          </cell>
          <cell r="L776" t="str">
            <v>1368548 23871047</v>
          </cell>
        </row>
        <row r="777">
          <cell r="F777" t="str">
            <v>LHLPAP</v>
          </cell>
          <cell r="G777" t="str">
            <v/>
          </cell>
          <cell r="H777" t="str">
            <v/>
          </cell>
          <cell r="I777" t="str">
            <v/>
          </cell>
          <cell r="J777" t="str">
            <v>Stability to gastrointestinal enzymes and structure-activity relationship of beta-casein-peptides with antihypertensive properties.; Rational design of angiotensin-I-converting enzyme inhibitory peptides by integrating in silico modeling and an in vitro assay.</v>
          </cell>
          <cell r="K777" t="str">
            <v>10.1016/j.peptides.2009.06.031; 10.1002/cmdc.201300132</v>
          </cell>
          <cell r="L777" t="str">
            <v>19591889 23740817</v>
          </cell>
        </row>
        <row r="778">
          <cell r="F778" t="str">
            <v>LHLPGP</v>
          </cell>
          <cell r="G778" t="str">
            <v/>
          </cell>
          <cell r="H778" t="str">
            <v/>
          </cell>
          <cell r="I778" t="str">
            <v/>
          </cell>
          <cell r="J778" t="str">
            <v>Stability to gastrointestinal enzymes and structure-activity relationship of beta-casein-peptides with antihypertensive properties.</v>
          </cell>
          <cell r="K778" t="str">
            <v>10.1016/j.peptides.2009.06.031</v>
          </cell>
          <cell r="L778" t="str">
            <v>19591889</v>
          </cell>
        </row>
        <row r="779">
          <cell r="F779" t="str">
            <v>LHLPLL</v>
          </cell>
          <cell r="G779" t="str">
            <v/>
          </cell>
          <cell r="H779" t="str">
            <v/>
          </cell>
          <cell r="I779" t="str">
            <v/>
          </cell>
          <cell r="J779" t="str">
            <v>Stability to gastrointestinal enzymes and structure-activity relationship of beta-casein-peptides with antihypertensive properties.</v>
          </cell>
          <cell r="K779" t="str">
            <v>10.1016/j.peptides.2009.06.031</v>
          </cell>
          <cell r="L779" t="str">
            <v>19591889</v>
          </cell>
        </row>
        <row r="780">
          <cell r="F780" t="str">
            <v>LHLPLP</v>
          </cell>
          <cell r="G780" t="str">
            <v/>
          </cell>
          <cell r="H780" t="str">
            <v/>
          </cell>
          <cell r="I780" t="str">
            <v/>
          </cell>
          <cell r="J780" t="str">
            <v>Inhibition of angiotensin-converting enzyme by synthetic peptide fragments of various beta-caseins.; Stability to gastrointestinal enzymes and structure-activity relationship of beta-casein-peptides with antihypertensive properties.; Antihypertensive peptides: production, bioavailability and incorporation into foods.; The potential role of milk-derived peptides in cardiovascular disease.; Enterococcus faecalis strains from food, environmental, and clinical origin produce ACE-inhibitory peptides and other bioactive peptides during growth in bovine skim milk.</v>
          </cell>
          <cell r="K780" t="str">
            <v>10.1016/j.peptides.2009.06.031; 10.1016/j.cis.2010.11.001; 10.1039/c1fo10017c; 10.1016/j.ijfoodmicro.2013.06.019</v>
          </cell>
          <cell r="L780" t="str">
            <v>1368548 19591889 21185549 21779574 23845432</v>
          </cell>
        </row>
        <row r="781">
          <cell r="F781" t="str">
            <v>LHLPLPL</v>
          </cell>
          <cell r="G781" t="str">
            <v/>
          </cell>
          <cell r="H781" t="str">
            <v/>
          </cell>
          <cell r="I781" t="str">
            <v/>
          </cell>
          <cell r="J781" t="str">
            <v>Antihypertensive effect of peptides obtained from Enterococcus faecalis-fermented milk in rats.; Antihypertensive peptides: production, bioavailability and incorporation into foods.; Antihypertensive peptides from food proteins: a review.; A new QSAR model, for angiotensin I-converting enzyme inhibitory oligopeptides.; Enterococcus faecalis strains from food, environmental, and clinical origin produce ACE-inhibitory peptides and other bioactive peptides during growth in bovine skim milk.</v>
          </cell>
          <cell r="K781" t="str">
            <v>10.3168/jds.S0022-0302(06)72372-4; 10.1016/j.cis.2010.11.001; 10.1039/c2fo10192k; 10.1016/j.foodchem.2012.09.092; 10.1016/j.ijfoodmicro.2013.06.019</v>
          </cell>
          <cell r="L781" t="str">
            <v>16899668 21185549 22249830 23194537 23845432</v>
          </cell>
        </row>
        <row r="782">
          <cell r="F782" t="str">
            <v>LHLPLPLL</v>
          </cell>
          <cell r="G782" t="str">
            <v/>
          </cell>
          <cell r="H782" t="str">
            <v/>
          </cell>
          <cell r="I782" t="str">
            <v/>
          </cell>
          <cell r="J782" t="str">
            <v>Identification of angiotensin-I-converting enzyme inhibitory peptides derived from sodium caseinate hydrolysates produced by Lactobacillus helveticus NCC 2765.; Enterococcus faecalis strains from food, environmental, and clinical origin produce ACE-inhibitory peptides and other bioactive peptides during growth in bovine skim milk.</v>
          </cell>
          <cell r="K782" t="str">
            <v>10.1021/jf049510t; 10.1016/j.ijfoodmicro.2013.06.019</v>
          </cell>
          <cell r="L782" t="str">
            <v>15537298 23845432</v>
          </cell>
        </row>
        <row r="783">
          <cell r="F783" t="str">
            <v>LHLPLR</v>
          </cell>
          <cell r="G783" t="str">
            <v/>
          </cell>
          <cell r="H783" t="str">
            <v/>
          </cell>
          <cell r="I783" t="str">
            <v/>
          </cell>
          <cell r="J783" t="str">
            <v>Stability to gastrointestinal enzymes and structure-activity relationship of beta-casein-peptides with antihypertensive properties.</v>
          </cell>
          <cell r="K783" t="str">
            <v>10.1016/j.peptides.2009.06.031</v>
          </cell>
          <cell r="L783" t="str">
            <v>19591889</v>
          </cell>
        </row>
        <row r="784">
          <cell r="F784" t="str">
            <v>LHLPS</v>
          </cell>
          <cell r="G784" t="str">
            <v/>
          </cell>
          <cell r="H784" t="str">
            <v/>
          </cell>
          <cell r="I784" t="str">
            <v/>
          </cell>
          <cell r="J784" t="str">
            <v/>
          </cell>
          <cell r="K784" t="str">
            <v/>
          </cell>
          <cell r="L784" t="str">
            <v/>
          </cell>
        </row>
        <row r="785">
          <cell r="F785" t="str">
            <v>LHLPYP</v>
          </cell>
          <cell r="G785" t="str">
            <v/>
          </cell>
          <cell r="H785" t="str">
            <v/>
          </cell>
          <cell r="I785" t="str">
            <v/>
          </cell>
          <cell r="J785" t="str">
            <v>Stability to gastrointestinal enzymes and structure-activity relationship of beta-casein-peptides with antihypertensive properties.</v>
          </cell>
          <cell r="K785" t="str">
            <v>10.1016/j.peptides.2009.06.031</v>
          </cell>
          <cell r="L785" t="str">
            <v>19591889</v>
          </cell>
        </row>
        <row r="786">
          <cell r="F786" t="str">
            <v>LHLWLP</v>
          </cell>
          <cell r="G786" t="str">
            <v/>
          </cell>
          <cell r="H786" t="str">
            <v/>
          </cell>
          <cell r="I786" t="str">
            <v/>
          </cell>
          <cell r="J786" t="str">
            <v>Stability to gastrointestinal enzymes and structure-activity relationship of beta-casein-peptides with antihypertensive properties.</v>
          </cell>
          <cell r="K786" t="str">
            <v>10.1016/j.peptides.2009.06.031</v>
          </cell>
          <cell r="L786" t="str">
            <v>19591889</v>
          </cell>
        </row>
        <row r="787">
          <cell r="F787" t="str">
            <v>LHLYLP</v>
          </cell>
          <cell r="G787" t="str">
            <v/>
          </cell>
          <cell r="H787" t="str">
            <v/>
          </cell>
          <cell r="I787" t="str">
            <v/>
          </cell>
          <cell r="J787" t="str">
            <v>Stability to gastrointestinal enzymes and structure-activity relationship of beta-casein-peptides with antihypertensive properties.</v>
          </cell>
          <cell r="K787" t="str">
            <v>10.1016/j.peptides.2009.06.031</v>
          </cell>
          <cell r="L787" t="str">
            <v>19591889</v>
          </cell>
        </row>
        <row r="788">
          <cell r="F788" t="str">
            <v>LHP</v>
          </cell>
          <cell r="G788" t="str">
            <v/>
          </cell>
          <cell r="H788" t="str">
            <v/>
          </cell>
          <cell r="I788" t="str">
            <v/>
          </cell>
          <cell r="J788" t="str">
            <v>Antihypertensive peptides from food proteins: a review.; Vegetable foods: a cheap source of proteins and peptides with antihypertensive, antioxidant, and other less occurrence bioactivities.</v>
          </cell>
          <cell r="K788" t="str">
            <v>10.1039/c2fo10192k; 10.1016/j.talanta.2012.12.041</v>
          </cell>
          <cell r="L788" t="str">
            <v>22249830 23598136</v>
          </cell>
        </row>
        <row r="789">
          <cell r="F789" t="str">
            <v>LHREN</v>
          </cell>
          <cell r="G789" t="str">
            <v/>
          </cell>
          <cell r="H789" t="str">
            <v/>
          </cell>
          <cell r="I789" t="str">
            <v/>
          </cell>
          <cell r="J789" t="str">
            <v/>
          </cell>
          <cell r="K789" t="str">
            <v/>
          </cell>
          <cell r="L789" t="str">
            <v/>
          </cell>
        </row>
        <row r="790">
          <cell r="F790" t="str">
            <v>LHSMKEG</v>
          </cell>
          <cell r="G790" t="str">
            <v/>
          </cell>
          <cell r="H790" t="str">
            <v/>
          </cell>
          <cell r="I790" t="str">
            <v/>
          </cell>
          <cell r="J790" t="str">
            <v>Enterococcus faecalis strains from food, environmental, and clinical origin produce ACE-inhibitory peptides and other bioactive peptides during growth in bovine skim milk.</v>
          </cell>
          <cell r="K790" t="str">
            <v>10.1016/j.ijfoodmicro.2013.06.019</v>
          </cell>
          <cell r="L790" t="str">
            <v>23845432</v>
          </cell>
        </row>
        <row r="791">
          <cell r="F791" t="str">
            <v>LI</v>
          </cell>
          <cell r="G791" t="str">
            <v/>
          </cell>
          <cell r="H791" t="str">
            <v/>
          </cell>
          <cell r="I791" t="str">
            <v/>
          </cell>
          <cell r="J791" t="str">
            <v>Quantitative structure-activity relationship study of bitter di- and tri-peptides including relationship with angiotensin I-converting enzyme inhibitory activity.</v>
          </cell>
          <cell r="K791" t="str">
            <v>10.1002/psc.800</v>
          </cell>
          <cell r="L791" t="str">
            <v>17117396</v>
          </cell>
        </row>
        <row r="792">
          <cell r="F792" t="str">
            <v>LIPPGVPY</v>
          </cell>
          <cell r="G792" t="str">
            <v/>
          </cell>
          <cell r="H792" t="str">
            <v/>
          </cell>
          <cell r="I792" t="str">
            <v/>
          </cell>
          <cell r="J792" t="str">
            <v>A new QSAR model, for angiotensin I-converting enzyme inhibitory oligopeptides.; Vegetable foods: a cheap source of proteins and peptides with antihypertensive, antioxidant, and other less occurrence bioactivities.</v>
          </cell>
          <cell r="K792" t="str">
            <v>10.1016/j.foodchem.2012.09.092; 10.1016/j.talanta.2012.12.041</v>
          </cell>
          <cell r="L792" t="str">
            <v>23194537 23598136</v>
          </cell>
        </row>
        <row r="793">
          <cell r="F793" t="str">
            <v>LIQP</v>
          </cell>
          <cell r="G793" t="str">
            <v/>
          </cell>
          <cell r="H793" t="str">
            <v/>
          </cell>
          <cell r="I793" t="str">
            <v/>
          </cell>
          <cell r="J793" t="str">
            <v>Isolation from alpha-zein of thermolysin peptides with angiotensin I-converting enzyme inhibitory activity.</v>
          </cell>
          <cell r="K793" t="str">
            <v>10.1271/bbb.60.661</v>
          </cell>
          <cell r="L793" t="str">
            <v>8829536</v>
          </cell>
        </row>
        <row r="794">
          <cell r="F794" t="str">
            <v>LIWKL</v>
          </cell>
          <cell r="G794" t="str">
            <v/>
          </cell>
          <cell r="H794" t="str">
            <v/>
          </cell>
          <cell r="I794" t="str">
            <v/>
          </cell>
          <cell r="J794" t="str">
            <v/>
          </cell>
          <cell r="K794" t="str">
            <v/>
          </cell>
          <cell r="L794" t="str">
            <v/>
          </cell>
        </row>
        <row r="795">
          <cell r="F795" t="str">
            <v>LIY</v>
          </cell>
          <cell r="G795" t="str">
            <v/>
          </cell>
          <cell r="H795" t="str">
            <v/>
          </cell>
          <cell r="I795" t="str">
            <v/>
          </cell>
          <cell r="J795" t="str">
            <v>Structural requirements of Angiotensin I-converting enzyme inhibitory peptides: quantitative structure-activity relationship study of di- and tripeptides.; Inhibition strength of short peptides derived from an ACE inhibitory peptide.; Rational design of angiotensin-I-converting enzyme inhibitory peptides by integrating in silico modeling and an in vitro assay.</v>
          </cell>
          <cell r="K795" t="str">
            <v>10.1021/jf051263l; 10.1021/jf202902r; 10.1002/cmdc.201300132</v>
          </cell>
          <cell r="L795" t="str">
            <v>16448176 21923188 23740817</v>
          </cell>
        </row>
        <row r="796">
          <cell r="F796" t="str">
            <v>LIYP</v>
          </cell>
          <cell r="G796" t="str">
            <v/>
          </cell>
          <cell r="H796" t="str">
            <v/>
          </cell>
          <cell r="I796" t="str">
            <v/>
          </cell>
          <cell r="J796" t="str">
            <v>Inhibition of angiotensin-converting enzyme by synthetic peptide fragments of various beta-caseins.; The potential role of milk-derived peptides in cardiovascular disease.; What are the ideal properties for functional food peptides with antihypertensive effect? A computational peptidology approach.</v>
          </cell>
          <cell r="K796" t="str">
            <v>10.1039/c1fo10017c; 10.1016/j.foodchem.2013.05.140</v>
          </cell>
          <cell r="L796" t="str">
            <v>1368548 21779574 23871047</v>
          </cell>
        </row>
        <row r="797">
          <cell r="F797" t="str">
            <v>LKA</v>
          </cell>
          <cell r="G797" t="str">
            <v>chicken muscle</v>
          </cell>
          <cell r="H797" t="str">
            <v/>
          </cell>
          <cell r="I797" t="str">
            <v/>
          </cell>
          <cell r="J797" t="str">
            <v>Temporal gene expression and probiotic attributes of Lactobacillus acidophilus during growth in milk.; Isolation and characterization of peptides with antihypertensive activity in foodstuffs.</v>
          </cell>
          <cell r="K797" t="str">
            <v>10.3168/jds.2008-1457; 10.1080/10408398.2012.664829</v>
          </cell>
          <cell r="L797" t="str">
            <v>19233780 24915368</v>
          </cell>
        </row>
        <row r="798">
          <cell r="F798" t="str">
            <v>LKC</v>
          </cell>
          <cell r="G798" t="str">
            <v/>
          </cell>
          <cell r="H798" t="str">
            <v/>
          </cell>
          <cell r="I798" t="str">
            <v/>
          </cell>
          <cell r="J798" t="str">
            <v/>
          </cell>
          <cell r="K798" t="str">
            <v/>
          </cell>
          <cell r="L798" t="str">
            <v/>
          </cell>
        </row>
        <row r="799">
          <cell r="F799" t="str">
            <v>LKD</v>
          </cell>
          <cell r="G799" t="str">
            <v/>
          </cell>
          <cell r="H799" t="str">
            <v/>
          </cell>
          <cell r="I799" t="str">
            <v/>
          </cell>
          <cell r="J799" t="str">
            <v/>
          </cell>
          <cell r="K799" t="str">
            <v/>
          </cell>
          <cell r="L799" t="str">
            <v/>
          </cell>
        </row>
        <row r="800">
          <cell r="F800" t="str">
            <v>LKDTQ</v>
          </cell>
          <cell r="G800" t="str">
            <v/>
          </cell>
          <cell r="H800" t="str">
            <v/>
          </cell>
          <cell r="I800" t="str">
            <v/>
          </cell>
          <cell r="J800" t="str">
            <v/>
          </cell>
          <cell r="K800" t="str">
            <v/>
          </cell>
          <cell r="L800" t="str">
            <v/>
          </cell>
        </row>
        <row r="801">
          <cell r="F801" t="str">
            <v>LKELQ</v>
          </cell>
          <cell r="G801" t="str">
            <v/>
          </cell>
          <cell r="H801" t="str">
            <v/>
          </cell>
          <cell r="I801" t="str">
            <v/>
          </cell>
          <cell r="J801" t="str">
            <v/>
          </cell>
          <cell r="K801" t="str">
            <v/>
          </cell>
          <cell r="L801" t="str">
            <v/>
          </cell>
        </row>
        <row r="802">
          <cell r="F802" t="str">
            <v>LKGYGGVSLPEW</v>
          </cell>
          <cell r="G802" t="str">
            <v/>
          </cell>
          <cell r="H802" t="str">
            <v/>
          </cell>
          <cell r="I802" t="str">
            <v/>
          </cell>
          <cell r="J802" t="str">
            <v/>
          </cell>
          <cell r="K802" t="str">
            <v/>
          </cell>
          <cell r="L802" t="str">
            <v/>
          </cell>
        </row>
        <row r="803">
          <cell r="F803" t="str">
            <v>LKKISQ</v>
          </cell>
          <cell r="G803" t="str">
            <v/>
          </cell>
          <cell r="H803" t="str">
            <v/>
          </cell>
          <cell r="I803" t="str">
            <v/>
          </cell>
          <cell r="J803" t="str">
            <v/>
          </cell>
          <cell r="K803" t="str">
            <v/>
          </cell>
          <cell r="L803" t="str">
            <v/>
          </cell>
        </row>
        <row r="804">
          <cell r="F804" t="str">
            <v>LKKYKVPQ</v>
          </cell>
          <cell r="G804" t="str">
            <v/>
          </cell>
          <cell r="H804" t="str">
            <v/>
          </cell>
          <cell r="I804" t="str">
            <v/>
          </cell>
          <cell r="J804" t="str">
            <v>Enterococcus faecalis strains from food, environmental, and clinical origin produce ACE-inhibitory peptides and other bioactive peptides during growth in bovine skim milk.</v>
          </cell>
          <cell r="K804" t="str">
            <v>10.1016/j.ijfoodmicro.2013.06.019</v>
          </cell>
          <cell r="L804" t="str">
            <v>23845432</v>
          </cell>
        </row>
        <row r="805">
          <cell r="F805" t="str">
            <v>LKL</v>
          </cell>
          <cell r="G805" t="str">
            <v>sardine</v>
          </cell>
          <cell r="H805" t="str">
            <v/>
          </cell>
          <cell r="I805" t="str">
            <v/>
          </cell>
          <cell r="J805" t="str">
            <v>Structural requirements of Angiotensin I-converting enzyme inhibitory peptides: quantitative structure-activity relationship study of di- and tripeptides.</v>
          </cell>
          <cell r="K805" t="str">
            <v>10.1021/jf051263l</v>
          </cell>
          <cell r="L805" t="str">
            <v>16448176</v>
          </cell>
        </row>
        <row r="806">
          <cell r="F806" t="str">
            <v>LKN</v>
          </cell>
          <cell r="G806" t="str">
            <v/>
          </cell>
          <cell r="H806" t="str">
            <v/>
          </cell>
          <cell r="I806" t="str">
            <v/>
          </cell>
          <cell r="J806" t="str">
            <v/>
          </cell>
          <cell r="K806" t="str">
            <v/>
          </cell>
          <cell r="L806" t="str">
            <v/>
          </cell>
        </row>
        <row r="807">
          <cell r="F807" t="str">
            <v>LKP</v>
          </cell>
          <cell r="G807" t="str">
            <v>chicken muscle|pea vicilin|Fish muscle protein|Meat muscle protein|</v>
          </cell>
          <cell r="H807" t="str">
            <v/>
          </cell>
          <cell r="I807" t="str">
            <v/>
          </cell>
          <cell r="J807" t="str">
            <v>ACE inhibitory peptides derived from enzymatic hydrolysates of animal muscle protein: a review.; Structural requirements of Angiotensin I-converting enzyme inhibitory peptides: quantitative structure-activity relationship study of di- and tripeptides.; Angiotensin converting enzyme inhibitory peptides derived from food proteins: biochemistry, bioactivity and production.; Temporal gene expression and probiotic attributes of Lactobacillus acidophilus during growth in milk.; Model of the exofacial substrate-binding site and helical folding of the human Glut1 glucose transporter based on scanning mutagenesis.; Inhibition strength of short peptides derived from an ACE inhibitory peptide.; Antihypertensive peptides from food proteins: a review.; Review on the angiotensin-I-converting enzyme (ACE) inhibitor peptides from marine proteins.; Vegetable foods: a cheap source of proteins and peptides with antihypertensive, antioxidant, and other less occurrence bioactivities.; Glycinyl-histidinyl-serine (GHS), a novel rapeseed protein-derived peptide has blood pressure-lowering effect in spontaneously hypertensive rats.; Comparison of analytical methods to assay inhibitors of angiotensin I-converting enzyme.; Isolation and characterization of peptides with antihypertensive activity in foodstuffs.</v>
          </cell>
          <cell r="K807" t="str">
            <v>10.1021/jf0508908; 10.1021/jf051263l; 10.2174/138161207780363068; 10.3168/jds.2008-1457; 10.1021/bi900521n; 10.1021/jf202902r; 10.1039/c2fo10192k; 10.1007/s12010-012-0024-y; 10.1016/j.talanta.2012.12.041; 10.1021/jf400865m; 10.1016/j.foodchem.2013.06.048; 10.1080/10408398.2012.664829</v>
          </cell>
          <cell r="L807" t="str">
            <v>16218651 16448176 17430180 19233780 19449892 21923188 22249830 23271625 23598136 23919612 23993489 24915368</v>
          </cell>
        </row>
        <row r="808">
          <cell r="F808" t="str">
            <v>LKPDM</v>
          </cell>
          <cell r="G808" t="str">
            <v/>
          </cell>
          <cell r="H808" t="str">
            <v/>
          </cell>
          <cell r="I808" t="str">
            <v/>
          </cell>
          <cell r="J808" t="str">
            <v>A new QSAR model, for angiotensin I-converting enzyme inhibitory oligopeptides.</v>
          </cell>
          <cell r="K808" t="str">
            <v>10.1016/j.foodchem.2012.09.092</v>
          </cell>
          <cell r="L808" t="str">
            <v>23194537</v>
          </cell>
        </row>
        <row r="809">
          <cell r="F809" t="str">
            <v>LKPI</v>
          </cell>
          <cell r="G809" t="str">
            <v/>
          </cell>
          <cell r="H809" t="str">
            <v/>
          </cell>
          <cell r="I809" t="str">
            <v/>
          </cell>
          <cell r="J809" t="str">
            <v/>
          </cell>
          <cell r="K809" t="str">
            <v/>
          </cell>
          <cell r="L809" t="str">
            <v/>
          </cell>
        </row>
        <row r="810">
          <cell r="F810" t="str">
            <v>LKPMN</v>
          </cell>
          <cell r="G810" t="str">
            <v/>
          </cell>
          <cell r="H810" t="str">
            <v/>
          </cell>
          <cell r="I810" t="str">
            <v/>
          </cell>
          <cell r="J810" t="str">
            <v>A new QSAR model, for angiotensin I-converting enzyme inhibitory oligopeptides.</v>
          </cell>
          <cell r="K810" t="str">
            <v>10.1016/j.foodchem.2012.09.092</v>
          </cell>
          <cell r="L810" t="str">
            <v>23194537</v>
          </cell>
        </row>
        <row r="811">
          <cell r="F811" t="str">
            <v>LKPNM</v>
          </cell>
          <cell r="G811" t="str">
            <v/>
          </cell>
          <cell r="H811" t="str">
            <v/>
          </cell>
          <cell r="I811" t="str">
            <v/>
          </cell>
          <cell r="J811" t="str">
            <v>Peptide inhibitors for angiotensin I-converting enzyme from thermolysin digest of dried bonito.; LKPNM: a prodrug-type ACE-inhibitory peptide derived from fish protein.; Antihypertensive peptides from food proteins: a review.; Review on the angiotensin-I-converting enzyme (ACE) inhibitor peptides from marine proteins.; Comparison of analytical methods to assay inhibitors of angiotensin I-converting enzyme.; Novel angiotensin I-converting enzyme inhibitory peptides derived from an edible mushroom, Pleurotus cystidiosus O.K. Miller identified by LC-MS/MS.</v>
          </cell>
          <cell r="K811" t="str">
            <v>10.1271/bbb.56.1541; 10.1016/s0162-3109(99)00118-6; 10.1039/c2fo10192k; 10.1007/s12010-012-0024-y; 10.1016/j.foodchem.2013.06.048; 10.1186/1472-6882-13-313</v>
          </cell>
          <cell r="L811" t="str">
            <v>1369054 10604535 22249830 23271625 23993489 24215325</v>
          </cell>
        </row>
        <row r="812">
          <cell r="F812" t="str">
            <v>LKPTPEGN</v>
          </cell>
          <cell r="G812" t="str">
            <v/>
          </cell>
          <cell r="H812" t="str">
            <v/>
          </cell>
          <cell r="I812" t="str">
            <v/>
          </cell>
          <cell r="J812" t="str">
            <v>A new QSAR model, for angiotensin I-converting enzyme inhibitory oligopeptides.</v>
          </cell>
          <cell r="K812" t="str">
            <v>10.1016/j.foodchem.2012.09.092</v>
          </cell>
          <cell r="L812" t="str">
            <v>23194537</v>
          </cell>
        </row>
        <row r="813">
          <cell r="F813" t="str">
            <v>LKPTPQGN</v>
          </cell>
          <cell r="G813" t="str">
            <v/>
          </cell>
          <cell r="H813" t="str">
            <v/>
          </cell>
          <cell r="I813" t="str">
            <v/>
          </cell>
          <cell r="J813" t="str">
            <v/>
          </cell>
          <cell r="K813" t="str">
            <v/>
          </cell>
          <cell r="L813" t="str">
            <v/>
          </cell>
        </row>
        <row r="814">
          <cell r="F814" t="str">
            <v>LKSQQ</v>
          </cell>
          <cell r="G814" t="str">
            <v/>
          </cell>
          <cell r="H814" t="str">
            <v/>
          </cell>
          <cell r="I814" t="str">
            <v/>
          </cell>
          <cell r="J814" t="str">
            <v/>
          </cell>
          <cell r="K814" t="str">
            <v/>
          </cell>
          <cell r="L814" t="str">
            <v/>
          </cell>
        </row>
        <row r="815">
          <cell r="F815" t="str">
            <v>LKVGKQY</v>
          </cell>
          <cell r="G815" t="str">
            <v>sardine</v>
          </cell>
          <cell r="H815" t="str">
            <v/>
          </cell>
          <cell r="I815" t="str">
            <v/>
          </cell>
          <cell r="J815" t="str">
            <v/>
          </cell>
          <cell r="K815" t="str">
            <v/>
          </cell>
          <cell r="L815" t="str">
            <v>[Ref. Article]</v>
          </cell>
        </row>
        <row r="816">
          <cell r="F816" t="str">
            <v>LKVGVKQY</v>
          </cell>
          <cell r="G816" t="str">
            <v/>
          </cell>
          <cell r="H816" t="str">
            <v/>
          </cell>
          <cell r="I816" t="str">
            <v/>
          </cell>
          <cell r="J816" t="str">
            <v>A new QSAR model, for angiotensin I-converting enzyme inhibitory oligopeptides.</v>
          </cell>
          <cell r="K816" t="str">
            <v>10.1016/j.foodchem.2012.09.092</v>
          </cell>
          <cell r="L816" t="str">
            <v>23194537</v>
          </cell>
        </row>
        <row r="817">
          <cell r="F817" t="str">
            <v>LKY</v>
          </cell>
          <cell r="G817" t="str">
            <v/>
          </cell>
          <cell r="H817" t="str">
            <v/>
          </cell>
          <cell r="I817" t="str">
            <v/>
          </cell>
          <cell r="J817" t="str">
            <v>Isolation and identification of antihypertensive peptides from antarctic krill tail meat hydrolysate.;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817" t="str">
            <v>10.1111/j.1750-3841.2009.01138.x; 10.1016/j.talanta.2012.12.041; 10.1016/j.foodchem.2013.05.140; 10.1080/10408398.2012.664829</v>
          </cell>
          <cell r="L817" t="str">
            <v>19490329 23598136 23871047 24915368</v>
          </cell>
        </row>
        <row r="818">
          <cell r="F818" t="str">
            <v>LL</v>
          </cell>
          <cell r="G818" t="str">
            <v/>
          </cell>
          <cell r="H818" t="str">
            <v/>
          </cell>
          <cell r="I818" t="str">
            <v/>
          </cell>
          <cell r="J818" t="str">
            <v>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v>
          </cell>
          <cell r="K818" t="str">
            <v>10.1002/psc.800; 10.1002/psc.892</v>
          </cell>
          <cell r="L818" t="str">
            <v>17117396 17654623</v>
          </cell>
        </row>
        <row r="819">
          <cell r="F819" t="str">
            <v>LLF</v>
          </cell>
          <cell r="G819" t="str">
            <v/>
          </cell>
          <cell r="H819" t="str">
            <v/>
          </cell>
          <cell r="I819" t="str">
            <v/>
          </cell>
          <cell r="J819" t="str">
            <v>Camel (camelus dromedarius) milk PP3: evidence for an insertion in the amino-terminal sequence of the camel milk whey protein.; Structural requirements of Angiotensin I-converting enzyme inhibitory peptides: quantitative structure-activity relationship study of di- and tripeptides.; Angiotensin converting enzyme inhibitory peptides derived from food proteins: biochemistry, bioactivity and production.; Effect of simulated gastrointestinal digestion on the antihypertensive properties of synthetic beta-lactoglobulin peptide sequences.; Antihypertensive peptides: production, bioavailability and incorporation into foods.; Antihypertensive peptides from food proteins: a review.; LC-MS/MS coupled with QSAR modeling in characterising of angiotensin I-converting enzyme inhibitory peptides from soybean proteins.; What are the ideal properties for functional food peptides with antihypertensive effect? A computational peptidology approach.</v>
          </cell>
          <cell r="K819" t="str">
            <v>10.1139/o99-067; 10.1021/jf051263l; 10.2174/138161207780363068; 10.1017/S0022029907002609; 10.1016/j.cis.2010.11.001; 10.1039/c2fo10192k; 10.1016/j.foodchem.2013.04.064; 10.1016/j.foodchem.2013.05.140</v>
          </cell>
          <cell r="L819" t="str">
            <v>10735560 16448176 17430180 17466121 21185549 22249830 23871011 23871047</v>
          </cell>
        </row>
        <row r="820">
          <cell r="F820" t="str">
            <v>LLG</v>
          </cell>
          <cell r="G820" t="str">
            <v/>
          </cell>
          <cell r="H820" t="str">
            <v/>
          </cell>
          <cell r="I820" t="str">
            <v/>
          </cell>
          <cell r="J820"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820" t="str">
            <v>10.1002/psc.800; 10.1007/s00894-010-0862-x; 10.1016/j.foodchem.2013.05.140</v>
          </cell>
          <cell r="L820" t="str">
            <v>17117396 20941517 23871047</v>
          </cell>
        </row>
        <row r="821">
          <cell r="F821" t="str">
            <v>LLL</v>
          </cell>
          <cell r="G821" t="str">
            <v/>
          </cell>
          <cell r="H821" t="str">
            <v/>
          </cell>
          <cell r="I821" t="str">
            <v/>
          </cell>
          <cell r="J821"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821" t="str">
            <v>10.1002/psc.800; 10.1007/s00894-010-0862-x; 10.1016/j.foodchem.2013.05.140</v>
          </cell>
          <cell r="L821" t="str">
            <v>17117396 20941517 23871047</v>
          </cell>
        </row>
        <row r="822">
          <cell r="F822" t="str">
            <v>LLLAHLL</v>
          </cell>
          <cell r="G822" t="str">
            <v/>
          </cell>
          <cell r="H822" t="str">
            <v/>
          </cell>
          <cell r="I822" t="str">
            <v/>
          </cell>
          <cell r="J822" t="str">
            <v>Identification of angiotensin I-converting enzyme inhibitory peptides from koumiss, a traditional fermented mare's milk.</v>
          </cell>
          <cell r="K822" t="str">
            <v>10.3168/jds.2009-2672</v>
          </cell>
          <cell r="L822" t="str">
            <v>20172208</v>
          </cell>
        </row>
        <row r="823">
          <cell r="F823" t="str">
            <v>LLMLDNDLPP</v>
          </cell>
          <cell r="G823" t="str">
            <v/>
          </cell>
          <cell r="H823" t="str">
            <v/>
          </cell>
          <cell r="I823" t="str">
            <v/>
          </cell>
          <cell r="J823" t="str">
            <v/>
          </cell>
          <cell r="K823" t="str">
            <v/>
          </cell>
          <cell r="L823" t="str">
            <v/>
          </cell>
        </row>
        <row r="824">
          <cell r="F824" t="str">
            <v>LLNP</v>
          </cell>
          <cell r="G824" t="str">
            <v/>
          </cell>
          <cell r="H824" t="str">
            <v/>
          </cell>
          <cell r="I824" t="str">
            <v/>
          </cell>
          <cell r="J824" t="str">
            <v>Inhibition of angiotensin-converting enzyme by synthetic peptide fragments of various beta-caseins.</v>
          </cell>
          <cell r="K824" t="str">
            <v/>
          </cell>
          <cell r="L824" t="str">
            <v>1368548</v>
          </cell>
        </row>
        <row r="825">
          <cell r="F825" t="str">
            <v>LLNPPHQIYP</v>
          </cell>
          <cell r="G825" t="str">
            <v/>
          </cell>
          <cell r="H825" t="str">
            <v/>
          </cell>
          <cell r="I825" t="str">
            <v/>
          </cell>
          <cell r="J825" t="str">
            <v>Inhibition of angiotensin-converting enzyme by synthetic peptide fragments of various beta-caseins.</v>
          </cell>
          <cell r="K825" t="str">
            <v/>
          </cell>
          <cell r="L825" t="str">
            <v>1368548</v>
          </cell>
        </row>
        <row r="826">
          <cell r="F826" t="str">
            <v>LLP</v>
          </cell>
          <cell r="G826" t="str">
            <v/>
          </cell>
          <cell r="H826" t="str">
            <v/>
          </cell>
          <cell r="I826" t="str">
            <v/>
          </cell>
          <cell r="J826" t="str">
            <v>Structures and activity of angiotensin-converting enzyme inhibitors in an alpha-zein hydrolysate.; Structural requirements of Angiotensin I-converting enzyme inhibitory peptides: quantitative structure-activity relationship study of di- and tripeptides.; Bioactive peptides in amaranth (Amaranthus hypochondriacus) seed.; Cellular membrane disruption by amyloid fibrils involved intermolecular disulfide cross-linking.; LC-MS/MS quantification of bioactive angiotensin I-converting enzyme inhibitory peptides in rye malt sourdoughs.; What are the ideal properties for functional food peptides with antihypertensive effect? A computational peptidology approach.</v>
          </cell>
          <cell r="K826" t="str">
            <v>10.1021/jf051263l; 10.1021/jf072911z; 10.1021/bi900219c; 10.1021/jf2033329; 10.1016/j.foodchem.2013.05.140</v>
          </cell>
          <cell r="L826" t="str">
            <v>1368684 16448176 18211015 19449893 21985248 23871047</v>
          </cell>
        </row>
        <row r="827">
          <cell r="F827" t="str">
            <v>LLQSW</v>
          </cell>
          <cell r="G827" t="str">
            <v/>
          </cell>
          <cell r="H827" t="str">
            <v/>
          </cell>
          <cell r="I827" t="str">
            <v/>
          </cell>
          <cell r="J827" t="str">
            <v>Enterococcus faecalis strains from food, environmental, and clinical origin produce ACE-inhibitory peptides and other bioactive peptides during growth in bovine skim milk.</v>
          </cell>
          <cell r="K827" t="str">
            <v>10.1016/j.ijfoodmicro.2013.06.019</v>
          </cell>
          <cell r="L827" t="str">
            <v>23845432</v>
          </cell>
        </row>
        <row r="828">
          <cell r="F828" t="str">
            <v>LLR</v>
          </cell>
          <cell r="G828" t="str">
            <v/>
          </cell>
          <cell r="H828" t="str">
            <v/>
          </cell>
          <cell r="I828" t="str">
            <v/>
          </cell>
          <cell r="J828" t="str">
            <v/>
          </cell>
          <cell r="K828" t="str">
            <v/>
          </cell>
          <cell r="L828" t="str">
            <v/>
          </cell>
        </row>
        <row r="829">
          <cell r="F829" t="str">
            <v>LLRF</v>
          </cell>
          <cell r="G829" t="str">
            <v/>
          </cell>
          <cell r="H829" t="str">
            <v/>
          </cell>
          <cell r="I829" t="str">
            <v/>
          </cell>
          <cell r="J829" t="str">
            <v>Enterococcus faecalis strains from food, environmental, and clinical origin produce ACE-inhibitory peptides and other bioactive peptides during growth in bovine skim milk.</v>
          </cell>
          <cell r="K829" t="str">
            <v>10.1016/j.ijfoodmicro.2013.06.019</v>
          </cell>
          <cell r="L829" t="str">
            <v>23845432</v>
          </cell>
        </row>
        <row r="830">
          <cell r="F830" t="str">
            <v>LLYQEP</v>
          </cell>
          <cell r="G830" t="str">
            <v/>
          </cell>
          <cell r="H830" t="str">
            <v/>
          </cell>
          <cell r="I830" t="str">
            <v/>
          </cell>
          <cell r="J830" t="str">
            <v>Enterococcus faecalis strains from food, environmental, and clinical origin produce ACE-inhibitory peptides and other bioactive peptides during growth in bovine skim milk.</v>
          </cell>
          <cell r="K830" t="str">
            <v>10.1016/j.ijfoodmicro.2013.06.019</v>
          </cell>
          <cell r="L830" t="str">
            <v>23845432</v>
          </cell>
        </row>
        <row r="831">
          <cell r="F831" t="str">
            <v>LLYQEPVLGPVRGPFPIIV</v>
          </cell>
          <cell r="G831" t="str">
            <v/>
          </cell>
          <cell r="H831" t="str">
            <v/>
          </cell>
          <cell r="I831" t="str">
            <v/>
          </cell>
          <cell r="J831" t="str">
            <v>Antihypertensive effect of the peptides derived from casein by an extracellular proteinase from Lactobacillus helveticus CP790.</v>
          </cell>
          <cell r="K831" t="str">
            <v>10.3168/jds.S0022-0302(94)77026-0</v>
          </cell>
          <cell r="L831" t="str">
            <v>8201050</v>
          </cell>
        </row>
        <row r="832">
          <cell r="F832" t="str">
            <v>LLYQQPV</v>
          </cell>
          <cell r="G832" t="str">
            <v/>
          </cell>
          <cell r="H832" t="str">
            <v/>
          </cell>
          <cell r="I832" t="str">
            <v/>
          </cell>
          <cell r="J832" t="str">
            <v>A new QSAR model, for angiotensin I-converting enzyme inhibitory oligopeptides.</v>
          </cell>
          <cell r="K832" t="str">
            <v>10.1016/j.foodchem.2012.09.092</v>
          </cell>
          <cell r="L832" t="str">
            <v>23194537</v>
          </cell>
        </row>
        <row r="833">
          <cell r="F833" t="str">
            <v>LLYQQPVLGPVRGPFPIIV</v>
          </cell>
          <cell r="G833" t="str">
            <v/>
          </cell>
          <cell r="H833" t="str">
            <v/>
          </cell>
          <cell r="I833" t="str">
            <v/>
          </cell>
          <cell r="J833" t="str">
            <v>The potential role of milk-derived peptides in cardiovascular disease.</v>
          </cell>
          <cell r="K833" t="str">
            <v>10.1039/c1fo10017c</v>
          </cell>
          <cell r="L833" t="str">
            <v>21779574</v>
          </cell>
        </row>
        <row r="834">
          <cell r="F834" t="str">
            <v>LN</v>
          </cell>
          <cell r="G834" t="str">
            <v/>
          </cell>
          <cell r="H834" t="str">
            <v/>
          </cell>
          <cell r="I834" t="str">
            <v/>
          </cell>
          <cell r="J834" t="str">
            <v>Application of at-line two-dimensional liquid chromatography-mass spectrometry for identification of small hydrophilic angiotensin I-inhibiting peptides in milk hydrolysates.;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v>
          </cell>
          <cell r="K834" t="str">
            <v>10.1007/s00216-008-1990-3; 10.1016/j.talanta.2012.12.041; 10.1016/j.jprot.2013.06.023</v>
          </cell>
          <cell r="L834" t="str">
            <v>18392815 23598136 23806758</v>
          </cell>
        </row>
        <row r="835">
          <cell r="F835" t="str">
            <v>LNECQ</v>
          </cell>
          <cell r="G835" t="str">
            <v/>
          </cell>
          <cell r="H835" t="str">
            <v/>
          </cell>
          <cell r="I835" t="str">
            <v/>
          </cell>
          <cell r="J835" t="str">
            <v/>
          </cell>
          <cell r="K835" t="str">
            <v/>
          </cell>
          <cell r="L835" t="str">
            <v/>
          </cell>
        </row>
        <row r="836">
          <cell r="F836" t="str">
            <v>LNENLLRFFVAPFPEVFG</v>
          </cell>
          <cell r="G836" t="str">
            <v/>
          </cell>
          <cell r="H836" t="str">
            <v/>
          </cell>
          <cell r="I836" t="str">
            <v/>
          </cell>
          <cell r="J836" t="str">
            <v>Identification of angiotensin-I-converting enzyme inhibitory peptides derived from sodium caseinate hydrolysates produced by Lactobacillus helveticus NCC 2765.</v>
          </cell>
          <cell r="K836" t="str">
            <v>10.1021/jf049510t</v>
          </cell>
          <cell r="L836" t="str">
            <v>15537298</v>
          </cell>
        </row>
        <row r="837">
          <cell r="F837" t="str">
            <v>LNNSRAP</v>
          </cell>
          <cell r="G837" t="str">
            <v/>
          </cell>
          <cell r="H837" t="str">
            <v/>
          </cell>
          <cell r="I837" t="str">
            <v/>
          </cell>
          <cell r="J837" t="str">
            <v/>
          </cell>
          <cell r="K837" t="str">
            <v/>
          </cell>
          <cell r="L837" t="str">
            <v/>
          </cell>
        </row>
        <row r="838">
          <cell r="F838" t="str">
            <v>LNP</v>
          </cell>
          <cell r="G838" t="str">
            <v/>
          </cell>
          <cell r="H838" t="str">
            <v/>
          </cell>
          <cell r="I838" t="str">
            <v/>
          </cell>
          <cell r="J838" t="str">
            <v>Structures and activity of angiotensin-converting enzyme inhibitors in an alpha-zein hydrolysate.; Structural requirements of Angiotensin I-converting enzyme inhibitory peptides: quantitative structure-activity relationship study of di- and tripeptides.; Bioactive peptides in amaranth (Amaranthus hypochondriacus) seed.; Cellular membrane disruption by amyloid fibrils involved intermolecular disulfide cross-linking.; What are the ideal properties for functional food peptides with antihypertensive effect? A computational peptidology approach.</v>
          </cell>
          <cell r="K838" t="str">
            <v>10.1021/jf051263l; 10.1021/jf072911z; 10.1021/bi900219c; 10.1016/j.foodchem.2013.05.140</v>
          </cell>
          <cell r="L838" t="str">
            <v>1368684 16448176 18211015 19449893 23871047</v>
          </cell>
        </row>
        <row r="839">
          <cell r="F839" t="str">
            <v>LNPA</v>
          </cell>
          <cell r="G839" t="str">
            <v/>
          </cell>
          <cell r="H839" t="str">
            <v/>
          </cell>
          <cell r="I839" t="str">
            <v/>
          </cell>
          <cell r="J839" t="str">
            <v>Isolation from alpha-zein of thermolysin peptides with angiotensin I-converting enzyme inhibitory activity.; What are the ideal properties for functional food peptides with antihypertensive effect? A computational peptidology approach.</v>
          </cell>
          <cell r="K839" t="str">
            <v>10.1271/bbb.60.661; 10.1016/j.foodchem.2013.05.140</v>
          </cell>
          <cell r="L839" t="str">
            <v>8829536 23871047</v>
          </cell>
        </row>
        <row r="840">
          <cell r="F840" t="str">
            <v>LNPPHQIYP</v>
          </cell>
          <cell r="G840" t="str">
            <v/>
          </cell>
          <cell r="H840" t="str">
            <v/>
          </cell>
          <cell r="I840" t="str">
            <v/>
          </cell>
          <cell r="J840" t="str">
            <v>Inhibition of angiotensin-converting enzyme by synthetic peptide fragments of various beta-caseins.</v>
          </cell>
          <cell r="K840" t="str">
            <v/>
          </cell>
          <cell r="L840" t="str">
            <v>1368548</v>
          </cell>
        </row>
        <row r="841">
          <cell r="F841" t="str">
            <v>LNQ</v>
          </cell>
          <cell r="G841" t="str">
            <v/>
          </cell>
          <cell r="H841" t="str">
            <v/>
          </cell>
          <cell r="I841" t="str">
            <v/>
          </cell>
          <cell r="J841" t="str">
            <v>Isolation from alpha-zein of thermolysin peptides with angiotensin I-converting enzyme inhibitory activity.</v>
          </cell>
          <cell r="K841" t="str">
            <v>10.1271/bbb.60.661</v>
          </cell>
          <cell r="L841" t="str">
            <v>8829536</v>
          </cell>
        </row>
        <row r="842">
          <cell r="F842" t="str">
            <v>LNVPGE</v>
          </cell>
          <cell r="G842" t="str">
            <v/>
          </cell>
          <cell r="H842" t="str">
            <v/>
          </cell>
          <cell r="I842" t="str">
            <v/>
          </cell>
          <cell r="J842" t="str">
            <v/>
          </cell>
          <cell r="K842" t="str">
            <v/>
          </cell>
          <cell r="L842" t="str">
            <v/>
          </cell>
        </row>
        <row r="843">
          <cell r="F843" t="str">
            <v>LNVPGEIVE</v>
          </cell>
          <cell r="G843" t="str">
            <v/>
          </cell>
          <cell r="H843" t="str">
            <v/>
          </cell>
          <cell r="I843" t="str">
            <v/>
          </cell>
          <cell r="J843" t="str">
            <v>A new QSAR model, for angiotensin I-converting enzyme inhibitory oligopeptides.</v>
          </cell>
          <cell r="K843" t="str">
            <v>10.1016/j.foodchem.2012.09.092</v>
          </cell>
          <cell r="L843" t="str">
            <v>23194537</v>
          </cell>
        </row>
        <row r="844">
          <cell r="F844" t="str">
            <v>LNVVGETVE</v>
          </cell>
          <cell r="G844" t="str">
            <v/>
          </cell>
          <cell r="H844" t="str">
            <v/>
          </cell>
          <cell r="I844" t="str">
            <v/>
          </cell>
          <cell r="J844" t="str">
            <v>Angiotensin-converting enzyme inhibitory activity of peptides derived from caprine kefir.</v>
          </cell>
          <cell r="K844" t="str">
            <v>10.3168/jds.S0022-0302(05)73032-0</v>
          </cell>
          <cell r="L844" t="str">
            <v>16162521</v>
          </cell>
        </row>
        <row r="845">
          <cell r="F845" t="str">
            <v>LNY</v>
          </cell>
          <cell r="G845" t="str">
            <v/>
          </cell>
          <cell r="H845" t="str">
            <v/>
          </cell>
          <cell r="I845" t="str">
            <v/>
          </cell>
          <cell r="J845" t="str">
            <v>Structural requirements of Angiotensin I-converting enzyme inhibitory peptides: quantitative structure-activity relationship study of di- and tripeptides.</v>
          </cell>
          <cell r="K845" t="str">
            <v>10.1021/jf051263l</v>
          </cell>
          <cell r="L845" t="str">
            <v>16448176</v>
          </cell>
        </row>
        <row r="846">
          <cell r="F846" t="str">
            <v>LP</v>
          </cell>
          <cell r="G846" t="str">
            <v/>
          </cell>
          <cell r="H846" t="str">
            <v/>
          </cell>
          <cell r="I846" t="str">
            <v/>
          </cell>
          <cell r="J846" t="str">
            <v>Antihypertensive peptides derived from milk proteins.</v>
          </cell>
          <cell r="K846" t="str">
            <v>10.1002/(SICI)1521-3803(19990601)43:3&lt;159::AID-FOOD159&gt;3.0.CO;2-R</v>
          </cell>
          <cell r="L846" t="str">
            <v>10399348</v>
          </cell>
        </row>
        <row r="847">
          <cell r="F847" t="str">
            <v>LPF</v>
          </cell>
          <cell r="G847" t="str">
            <v/>
          </cell>
          <cell r="H847" t="str">
            <v/>
          </cell>
          <cell r="I847" t="str">
            <v/>
          </cell>
          <cell r="J847" t="str">
            <v>Structural requirements of Angiotensin I-converting enzyme inhibitory peptides: quantitative structure-activity relationship study of di- and tripeptides.; Isolation and characterization of peptides with antihypertensive activity in foodstuffs.</v>
          </cell>
          <cell r="K847" t="str">
            <v>10.1021/jf051263l; 10.1080/10408398.2012.664829</v>
          </cell>
          <cell r="L847" t="str">
            <v>16448176 24915368</v>
          </cell>
        </row>
        <row r="848">
          <cell r="F848" t="str">
            <v>LPG</v>
          </cell>
          <cell r="G848" t="str">
            <v/>
          </cell>
          <cell r="H848" t="str">
            <v/>
          </cell>
          <cell r="I848" t="str">
            <v/>
          </cell>
          <cell r="J848" t="str">
            <v>Structure and activity of angiotensin I converting enzyme inhibitory peptides derived from Alaskan pollack skin.; Peptides with angiotensin I converting enzyme (ACE) inhibitory activity generated from porcine skeletal muscle proteins by the action of meat-borne Lactobacillus.</v>
          </cell>
          <cell r="K848" t="str">
            <v>10.5483/bmbrep.2002.35.2.239; 10.1016/j.jprot.2013.06.023</v>
          </cell>
          <cell r="L848" t="str">
            <v>12297036 23806758</v>
          </cell>
        </row>
        <row r="849">
          <cell r="F849" t="str">
            <v>LPHF</v>
          </cell>
          <cell r="G849" t="str">
            <v/>
          </cell>
          <cell r="H849" t="str">
            <v/>
          </cell>
          <cell r="I849" t="str">
            <v/>
          </cell>
          <cell r="J849" t="str">
            <v>What are the ideal properties for functional food peptides with antihypertensive effect? A computational peptidology approach.</v>
          </cell>
          <cell r="K849" t="str">
            <v>10.1016/j.foodchem.2013.05.140</v>
          </cell>
          <cell r="L849" t="str">
            <v>23871047</v>
          </cell>
        </row>
        <row r="850">
          <cell r="F850" t="str">
            <v>LPLP</v>
          </cell>
          <cell r="G850" t="str">
            <v/>
          </cell>
          <cell r="H850" t="str">
            <v/>
          </cell>
          <cell r="I850" t="str">
            <v/>
          </cell>
          <cell r="J850" t="str">
            <v>Inhibition of angiotensin-converting enzyme by synthetic peptide fragments of various beta-caseins.; The potential role of milk-derived peptides in cardiovascular disease.; What are the ideal properties for functional food peptides with antihypertensive effect? A computational peptidology approach.; Novel probiotic-fermented milk with angiotensin I-converting enzyme inhibitory peptides produced by Bifidobacterium bifidum MF 20/5.</v>
          </cell>
          <cell r="K850" t="str">
            <v>10.1039/c1fo10017c; 10.1016/j.foodchem.2013.05.140; 10.1016/j.ijfoodmicro.2013.09.002</v>
          </cell>
          <cell r="L850" t="str">
            <v>1368548 21779574 23871047 24135669</v>
          </cell>
        </row>
        <row r="851">
          <cell r="F851" t="str">
            <v>LPN</v>
          </cell>
          <cell r="G851" t="str">
            <v/>
          </cell>
          <cell r="H851" t="str">
            <v/>
          </cell>
          <cell r="I851" t="str">
            <v/>
          </cell>
          <cell r="J851" t="str">
            <v>Isolation from alpha-zein of thermolysin peptides with angiotensin I-converting enzyme inhibitory activity.</v>
          </cell>
          <cell r="K851" t="str">
            <v>10.1271/bbb.60.661</v>
          </cell>
          <cell r="L851" t="str">
            <v>8829536</v>
          </cell>
        </row>
        <row r="852">
          <cell r="F852" t="str">
            <v>LPP</v>
          </cell>
          <cell r="G852" t="str">
            <v/>
          </cell>
          <cell r="H852" t="str">
            <v/>
          </cell>
          <cell r="I852" t="str">
            <v/>
          </cell>
          <cell r="J852" t="str">
            <v>Structural requirements of Angiotensin I-converting enzyme inhibitory peptides: quantitative structure-activity relationship study of di- and tripeptides.; Bioactive peptides in amaranth (Amaranthus hypochondriacus) seed.;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852" t="str">
            <v>10.1021/jf051263l; 10.1021/jf072911z; 10.1016/j.jprot.2013.06.023; 10.1016/j.foodchem.2013.05.140</v>
          </cell>
          <cell r="L852" t="str">
            <v>16448176 18211015 23806758 23871047</v>
          </cell>
        </row>
        <row r="853">
          <cell r="F853" t="str">
            <v>LPPP</v>
          </cell>
          <cell r="G853" t="str">
            <v/>
          </cell>
          <cell r="H853" t="str">
            <v/>
          </cell>
          <cell r="I853" t="str">
            <v/>
          </cell>
          <cell r="J853" t="str">
            <v/>
          </cell>
          <cell r="K853" t="str">
            <v/>
          </cell>
          <cell r="L853" t="str">
            <v/>
          </cell>
        </row>
        <row r="854">
          <cell r="F854" t="str">
            <v>LPPPVH</v>
          </cell>
          <cell r="G854" t="str">
            <v/>
          </cell>
          <cell r="H854" t="str">
            <v/>
          </cell>
          <cell r="I854" t="str">
            <v/>
          </cell>
          <cell r="J854" t="str">
            <v/>
          </cell>
          <cell r="K854" t="str">
            <v/>
          </cell>
          <cell r="L854" t="str">
            <v/>
          </cell>
        </row>
        <row r="855">
          <cell r="F855" t="str">
            <v>LPQNILP</v>
          </cell>
          <cell r="G855" t="str">
            <v/>
          </cell>
          <cell r="H855" t="str">
            <v/>
          </cell>
          <cell r="I855" t="str">
            <v/>
          </cell>
          <cell r="J855" t="str">
            <v>Inhibition of angiotensin-converting enzyme by synthetic peptide fragments of various beta-caseins.</v>
          </cell>
          <cell r="K855" t="str">
            <v/>
          </cell>
          <cell r="L855" t="str">
            <v>1368548</v>
          </cell>
        </row>
        <row r="856">
          <cell r="F856" t="str">
            <v>LPQNIPPL</v>
          </cell>
          <cell r="G856" t="str">
            <v/>
          </cell>
          <cell r="H856" t="str">
            <v/>
          </cell>
          <cell r="I856" t="str">
            <v/>
          </cell>
          <cell r="J856" t="str">
            <v>Isolation and characterization of peptides with antihypertensive activity in foodstuffs.</v>
          </cell>
          <cell r="K856" t="str">
            <v>10.1080/10408398.2012.664829</v>
          </cell>
          <cell r="L856" t="str">
            <v>24915368</v>
          </cell>
        </row>
        <row r="857">
          <cell r="F857" t="str">
            <v>LPQNIPPLTQTPVVVPPFLQPEVMGVSK</v>
          </cell>
          <cell r="G857" t="str">
            <v/>
          </cell>
          <cell r="H857" t="str">
            <v/>
          </cell>
          <cell r="I857" t="str">
            <v/>
          </cell>
          <cell r="J857" t="str">
            <v/>
          </cell>
          <cell r="K857" t="str">
            <v/>
          </cell>
          <cell r="L857" t="str">
            <v/>
          </cell>
        </row>
        <row r="858">
          <cell r="F858" t="str">
            <v>LPQYLKTVYQHQKA</v>
          </cell>
          <cell r="G858" t="str">
            <v/>
          </cell>
          <cell r="H858" t="str">
            <v/>
          </cell>
          <cell r="I858" t="str">
            <v/>
          </cell>
          <cell r="J858" t="str">
            <v>Identification of angiotensin-I-converting enzyme inhibitory peptides derived from sodium caseinate hydrolysates produced by Lactobacillus helveticus NCC 2765.</v>
          </cell>
          <cell r="K858" t="str">
            <v>10.1021/jf049510t</v>
          </cell>
          <cell r="L858" t="str">
            <v>15537298</v>
          </cell>
        </row>
        <row r="859">
          <cell r="F859" t="str">
            <v>LPYPY</v>
          </cell>
          <cell r="G859" t="str">
            <v/>
          </cell>
          <cell r="H859" t="str">
            <v/>
          </cell>
          <cell r="I859" t="str">
            <v/>
          </cell>
          <cell r="J859" t="str">
            <v>Identification of novel angiotensin-converting enzyme-inhibitory peptides from ovine milk proteins by CE-MS and chromatographic techniques.; A new QSAR model, for angiotensin I-converting enzyme inhibitory oligopeptides.</v>
          </cell>
          <cell r="K859" t="str">
            <v>10.1002/elps.200700324; 10.1016/j.foodchem.2012.09.092</v>
          </cell>
          <cell r="L859" t="str">
            <v>17948260 23194537</v>
          </cell>
        </row>
        <row r="860">
          <cell r="F860" t="str">
            <v>LPYPYY</v>
          </cell>
          <cell r="G860" t="str">
            <v/>
          </cell>
          <cell r="H860" t="str">
            <v/>
          </cell>
          <cell r="I860" t="str">
            <v/>
          </cell>
          <cell r="J860" t="str">
            <v>Isolation and characterization of peptides with antihypertensive activity in foodstuffs.</v>
          </cell>
          <cell r="K860" t="str">
            <v>10.1080/10408398.2012.664829</v>
          </cell>
          <cell r="L860" t="str">
            <v>24915368</v>
          </cell>
        </row>
        <row r="861">
          <cell r="F861" t="str">
            <v>LQ</v>
          </cell>
          <cell r="G861" t="str">
            <v/>
          </cell>
          <cell r="H861" t="str">
            <v/>
          </cell>
          <cell r="I861" t="str">
            <v/>
          </cell>
          <cell r="J861" t="str">
            <v>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ell>
          <cell r="K861" t="str">
            <v>10.1007/s00216-008-1990-3; 10.1016/j.jprot.2013.06.023</v>
          </cell>
          <cell r="L861" t="str">
            <v>18392815 23806758</v>
          </cell>
        </row>
        <row r="862">
          <cell r="F862" t="str">
            <v>LQC</v>
          </cell>
          <cell r="G862" t="str">
            <v/>
          </cell>
          <cell r="H862" t="str">
            <v/>
          </cell>
          <cell r="I862" t="str">
            <v/>
          </cell>
          <cell r="J862" t="str">
            <v/>
          </cell>
          <cell r="K862" t="str">
            <v/>
          </cell>
          <cell r="L862" t="str">
            <v/>
          </cell>
        </row>
        <row r="863">
          <cell r="F863" t="str">
            <v>LQEDG</v>
          </cell>
          <cell r="G863" t="str">
            <v/>
          </cell>
          <cell r="H863" t="str">
            <v/>
          </cell>
          <cell r="I863" t="str">
            <v/>
          </cell>
          <cell r="J863" t="str">
            <v/>
          </cell>
          <cell r="K863" t="str">
            <v/>
          </cell>
          <cell r="L863" t="str">
            <v/>
          </cell>
        </row>
        <row r="864">
          <cell r="F864" t="str">
            <v>LQKW</v>
          </cell>
          <cell r="G864" t="str">
            <v/>
          </cell>
          <cell r="H864" t="str">
            <v/>
          </cell>
          <cell r="I864" t="str">
            <v/>
          </cell>
          <cell r="J864" t="str">
            <v>Camel (camelus dromedarius) milk PP3: evidence for an insertion in the amino-terminal sequence of the camel milk whey protein.; Angiotensin converting enzyme inhibitory peptides derived from food proteins: biochemistry, bioactivity and production.; Antihypertensive peptides: production, bioavailability and incorporation into foods.; Antihypertensive peptides from food proteins: a review.; What are the ideal properties for functional food peptides with antihypertensive effect? A computational peptidology approach.</v>
          </cell>
          <cell r="K864" t="str">
            <v>10.1139/o99-067; 10.2174/138161207780363068; 10.1016/j.cis.2010.11.001; 10.1039/c2fo10192k; 10.1016/j.foodchem.2013.05.140</v>
          </cell>
          <cell r="L864" t="str">
            <v>10735560 17430180 21185549 22249830 23871047</v>
          </cell>
        </row>
        <row r="865">
          <cell r="F865" t="str">
            <v>LQKY</v>
          </cell>
          <cell r="G865" t="str">
            <v/>
          </cell>
          <cell r="H865" t="str">
            <v/>
          </cell>
          <cell r="I865" t="str">
            <v/>
          </cell>
          <cell r="J865" t="str">
            <v/>
          </cell>
          <cell r="K865" t="str">
            <v/>
          </cell>
          <cell r="L865" t="str">
            <v/>
          </cell>
        </row>
        <row r="866">
          <cell r="F866" t="str">
            <v>LQP</v>
          </cell>
          <cell r="G866" t="str">
            <v/>
          </cell>
          <cell r="H866" t="str">
            <v/>
          </cell>
          <cell r="I866" t="str">
            <v/>
          </cell>
          <cell r="J866" t="str">
            <v>Structures and activity of angiotensin-converting enzyme inhibitors in an alpha-zein hydrolysate.; Isolation from alpha-zein of thermolysin peptides with angiotensin I-converting enzyme inhibitory activity.; Antihypertensive effect of angiotensin I-converting enzyme inhibitory peptides from a sesame protein hydrolysate in spontaneously hypertensive rats.; Bioactive peptides in amaranth (Amaranthus hypochondriacus) seed.; Cellular membrane disruption by amyloid fibrils involved intermolecular disulfide cross-linking.; Angiotensin I converting enzyme inhibitory peptides produced by autolysis reactions from wheat bran.; LC-MS/MS quantification of bioactive angiotensin I-converting enzyme inhibitory peptides in rye malt sourdoughs.;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866" t="str">
            <v>10.1271/bbb.60.661; 10.1271/bbb.70.1118; 10.1021/jf072911z; 10.1021/bi900219c; 10.1021/jf900857w; 10.1021/jf2033329; 10.1016/j.talanta.2012.12.041; 10.1016/j.foodchem.2013.05.140; 10.1080/10408398.2012.664829</v>
          </cell>
          <cell r="L866" t="str">
            <v>1368684 8829536 16717411 18211015 19449893 19572648 21985248 23598136 23871047 24915368</v>
          </cell>
        </row>
        <row r="867">
          <cell r="F867" t="str">
            <v>LQPEVMG</v>
          </cell>
          <cell r="G867" t="str">
            <v/>
          </cell>
          <cell r="H867" t="str">
            <v/>
          </cell>
          <cell r="I867" t="str">
            <v/>
          </cell>
          <cell r="J867" t="str">
            <v>Enterococcus faecalis strains from food, environmental, and clinical origin produce ACE-inhibitory peptides and other bioactive peptides during growth in bovine skim milk.</v>
          </cell>
          <cell r="K867" t="str">
            <v>10.1016/j.ijfoodmicro.2013.06.019</v>
          </cell>
          <cell r="L867" t="str">
            <v>23845432</v>
          </cell>
        </row>
        <row r="868">
          <cell r="F868" t="str">
            <v>LQPEVMGVSK</v>
          </cell>
          <cell r="G868" t="str">
            <v/>
          </cell>
          <cell r="H868" t="str">
            <v/>
          </cell>
          <cell r="I868" t="str">
            <v/>
          </cell>
          <cell r="J868" t="str">
            <v>Enterococcus faecalis strains from food, environmental, and clinical origin produce ACE-inhibitory peptides and other bioactive peptides during growth in bovine skim milk.</v>
          </cell>
          <cell r="K868" t="str">
            <v>10.1016/j.ijfoodmicro.2013.06.019</v>
          </cell>
          <cell r="L868" t="str">
            <v>23845432</v>
          </cell>
        </row>
        <row r="869">
          <cell r="F869" t="str">
            <v>LQPGS</v>
          </cell>
          <cell r="G869" t="str">
            <v/>
          </cell>
          <cell r="H869" t="str">
            <v/>
          </cell>
          <cell r="I869" t="str">
            <v/>
          </cell>
          <cell r="J869" t="str">
            <v/>
          </cell>
          <cell r="K869" t="str">
            <v/>
          </cell>
          <cell r="L869" t="str">
            <v/>
          </cell>
        </row>
        <row r="870">
          <cell r="F870" t="str">
            <v>LQPHQ</v>
          </cell>
          <cell r="G870" t="str">
            <v/>
          </cell>
          <cell r="H870" t="str">
            <v/>
          </cell>
          <cell r="I870" t="str">
            <v/>
          </cell>
          <cell r="J870" t="str">
            <v/>
          </cell>
          <cell r="K870" t="str">
            <v/>
          </cell>
          <cell r="L870" t="str">
            <v/>
          </cell>
        </row>
        <row r="871">
          <cell r="F871" t="str">
            <v>LQPSS</v>
          </cell>
          <cell r="G871" t="str">
            <v/>
          </cell>
          <cell r="H871" t="str">
            <v/>
          </cell>
          <cell r="I871" t="str">
            <v/>
          </cell>
          <cell r="J871" t="str">
            <v/>
          </cell>
          <cell r="K871" t="str">
            <v/>
          </cell>
          <cell r="L871" t="str">
            <v/>
          </cell>
        </row>
        <row r="872">
          <cell r="F872" t="str">
            <v>LQQ</v>
          </cell>
          <cell r="G872" t="str">
            <v/>
          </cell>
          <cell r="H872" t="str">
            <v/>
          </cell>
          <cell r="I872" t="str">
            <v/>
          </cell>
          <cell r="J872" t="str">
            <v>Structures and activity of angiotensin-converting enzyme inhibitors in an alpha-zein hydrolysate.; Isolation from alpha-zein of thermolysin peptides with angiotensin I-converting enzyme inhibitory activity.; Bioactive peptides in amaranth (Amaranthus hypochondriacus) seed.; Cellular membrane disruption by amyloid fibrils involved intermolecular disulfide cross-linking.; What are the ideal properties for functional food peptides with antihypertensive effect? A computational peptidology approach.</v>
          </cell>
          <cell r="K872" t="str">
            <v>10.1271/bbb.60.661; 10.1021/jf072911z; 10.1021/bi900219c; 10.1016/j.foodchem.2013.05.140</v>
          </cell>
          <cell r="L872" t="str">
            <v>1368684 8829536 18211015 19449893 23871047</v>
          </cell>
        </row>
        <row r="873">
          <cell r="F873" t="str">
            <v>LQQQ</v>
          </cell>
          <cell r="G873" t="str">
            <v/>
          </cell>
          <cell r="H873" t="str">
            <v/>
          </cell>
          <cell r="I873" t="str">
            <v/>
          </cell>
          <cell r="J873" t="str">
            <v>Isolation from alpha-zein of thermolysin peptides with angiotensin I-converting enzyme inhibitory activity.</v>
          </cell>
          <cell r="K873" t="str">
            <v>10.1271/bbb.60.661</v>
          </cell>
          <cell r="L873" t="str">
            <v>8829536</v>
          </cell>
        </row>
        <row r="874">
          <cell r="F874" t="str">
            <v>LQQQP</v>
          </cell>
          <cell r="G874" t="str">
            <v/>
          </cell>
          <cell r="H874" t="str">
            <v/>
          </cell>
          <cell r="I874" t="str">
            <v/>
          </cell>
          <cell r="J874" t="str">
            <v>Isolation from alpha-zein of thermolysin peptides with angiotensin I-converting enzyme inhibitory activity.</v>
          </cell>
          <cell r="K874" t="str">
            <v>10.1271/bbb.60.661</v>
          </cell>
          <cell r="L874" t="str">
            <v>8829536</v>
          </cell>
        </row>
        <row r="875">
          <cell r="F875" t="str">
            <v>LQQQQ</v>
          </cell>
          <cell r="G875" t="str">
            <v/>
          </cell>
          <cell r="H875" t="str">
            <v/>
          </cell>
          <cell r="I875" t="str">
            <v/>
          </cell>
          <cell r="J875" t="str">
            <v>Isolation from alpha-zein of thermolysin peptides with angiotensin I-converting enzyme inhibitory activity.</v>
          </cell>
          <cell r="K875" t="str">
            <v>10.1271/bbb.60.661</v>
          </cell>
          <cell r="L875" t="str">
            <v>8829536</v>
          </cell>
        </row>
        <row r="876">
          <cell r="F876" t="str">
            <v>LQSW</v>
          </cell>
          <cell r="G876" t="str">
            <v/>
          </cell>
          <cell r="H876" t="str">
            <v/>
          </cell>
          <cell r="I876" t="str">
            <v/>
          </cell>
          <cell r="J876" t="str">
            <v>Identification of an antihypertensive peptide from casein hydrolysate produced by a proteinase from Lactobacillus helveticus CP790.; Identification of angiotensin-I-converting enzyme inhibitory peptides derived from sodium caseinate hydrolysates produced by Lactobacillus helveticus NCC 2765.; Antihypertensive peptides: production, bioavailability and incorporation into foods.; Antihypertensive peptides from food proteins: a review.; What are the ideal properties for functional food peptides with antihypertensive effect? A computational peptidology approach.</v>
          </cell>
          <cell r="K876" t="str">
            <v>10.3168/jds.S0022-0302(96)76487-1; 10.1021/jf049510t; 10.1016/j.cis.2010.11.001; 10.1039/c2fo10192k; 10.1016/j.foodchem.2013.05.140</v>
          </cell>
          <cell r="L876" t="str">
            <v>8880454 15537298 21185549 22249830 23871047</v>
          </cell>
        </row>
        <row r="877">
          <cell r="F877" t="str">
            <v>LQY</v>
          </cell>
          <cell r="G877" t="str">
            <v/>
          </cell>
          <cell r="H877" t="str">
            <v/>
          </cell>
          <cell r="I877" t="str">
            <v/>
          </cell>
          <cell r="J877" t="str">
            <v/>
          </cell>
          <cell r="K877" t="str">
            <v/>
          </cell>
          <cell r="L877" t="str">
            <v/>
          </cell>
        </row>
        <row r="878">
          <cell r="F878" t="str">
            <v>LRC</v>
          </cell>
          <cell r="G878" t="str">
            <v/>
          </cell>
          <cell r="H878" t="str">
            <v/>
          </cell>
          <cell r="I878" t="str">
            <v/>
          </cell>
          <cell r="J878" t="str">
            <v/>
          </cell>
          <cell r="K878" t="str">
            <v/>
          </cell>
          <cell r="L878" t="str">
            <v/>
          </cell>
        </row>
        <row r="879">
          <cell r="F879" t="str">
            <v>LRCGG</v>
          </cell>
          <cell r="G879" t="str">
            <v/>
          </cell>
          <cell r="H879" t="str">
            <v/>
          </cell>
          <cell r="I879" t="str">
            <v/>
          </cell>
          <cell r="J879" t="str">
            <v/>
          </cell>
          <cell r="K879" t="str">
            <v/>
          </cell>
          <cell r="L879" t="str">
            <v/>
          </cell>
        </row>
        <row r="880">
          <cell r="F880" t="str">
            <v>LRCNG</v>
          </cell>
          <cell r="G880" t="str">
            <v/>
          </cell>
          <cell r="H880" t="str">
            <v/>
          </cell>
          <cell r="I880" t="str">
            <v/>
          </cell>
          <cell r="J880" t="str">
            <v/>
          </cell>
          <cell r="K880" t="str">
            <v/>
          </cell>
          <cell r="L880" t="str">
            <v/>
          </cell>
        </row>
        <row r="881">
          <cell r="F881" t="str">
            <v>LRF</v>
          </cell>
          <cell r="G881" t="str">
            <v/>
          </cell>
          <cell r="H881" t="str">
            <v/>
          </cell>
          <cell r="I881" t="str">
            <v/>
          </cell>
          <cell r="J881" t="str">
            <v/>
          </cell>
          <cell r="K881" t="str">
            <v/>
          </cell>
          <cell r="L881" t="str">
            <v/>
          </cell>
        </row>
        <row r="882">
          <cell r="F882" t="str">
            <v>LRIPVA</v>
          </cell>
          <cell r="G882" t="str">
            <v/>
          </cell>
          <cell r="H882" t="str">
            <v/>
          </cell>
          <cell r="I882" t="str">
            <v/>
          </cell>
          <cell r="J882" t="str">
            <v>Isolation and antihypertensive effect of angiotensin I-converting enzyme (ACE) inhibitory peptides from spinach Rubisco.; A new QSAR model, for angiotensin I-converting enzyme inhibitory oligopeptides.; Vegetable foods: a cheap source of proteins and peptides with antihypertensive, antioxidant, and other less occurrence bioactivities.; Novel angiotensin I-converting enzyme inhibitory peptides derived from an edible mushroom, Pleurotus cystidiosus O.K. Miller identified by LC-MS/MS.; Isolation and characterization of peptides with antihypertensive activity in foodstuffs.</v>
          </cell>
          <cell r="K882" t="str">
            <v>10.1021/jf026186y; 10.1016/j.foodchem.2012.09.092; 10.1016/j.talanta.2012.12.041; 10.1186/1472-6882-13-313; 10.1080/10408398.2012.664829</v>
          </cell>
          <cell r="L882" t="str">
            <v>12903942 23194537 23598136 24215325 24915368</v>
          </cell>
        </row>
        <row r="883">
          <cell r="F883" t="str">
            <v>LRKKQ</v>
          </cell>
          <cell r="G883" t="str">
            <v/>
          </cell>
          <cell r="H883" t="str">
            <v/>
          </cell>
          <cell r="I883" t="str">
            <v/>
          </cell>
          <cell r="J883" t="str">
            <v/>
          </cell>
          <cell r="K883" t="str">
            <v/>
          </cell>
          <cell r="L883" t="str">
            <v/>
          </cell>
        </row>
        <row r="884">
          <cell r="F884" t="str">
            <v>LRN</v>
          </cell>
          <cell r="G884" t="str">
            <v/>
          </cell>
          <cell r="H884" t="str">
            <v/>
          </cell>
          <cell r="I884" t="str">
            <v/>
          </cell>
          <cell r="J884" t="str">
            <v/>
          </cell>
          <cell r="K884" t="str">
            <v/>
          </cell>
          <cell r="L884" t="str">
            <v/>
          </cell>
        </row>
        <row r="885">
          <cell r="F885" t="str">
            <v>LRP</v>
          </cell>
          <cell r="G885" t="str">
            <v/>
          </cell>
          <cell r="H885" t="str">
            <v/>
          </cell>
          <cell r="I885" t="str">
            <v/>
          </cell>
          <cell r="J885" t="str">
            <v>Structures and activity of angiotensin-converting enzyme inhibitors in an alpha-zein hydrolysate.; Angiotensin I-converting enzyme inhibitory peptides derived from bonito bowels autolysate.; Production of bioactive peptides from corn endosperm proteins by some proteases.; Structural requirements of Angiotensin I-converting enzyme inhibitory peptides: quantitative structure-activity relationship study of di- and tripeptides.; Angiotensin converting enzyme inhibitory peptides derived from food proteins: biochemistry, bioactivity and production.; Bioactive peptides in amaranth (Amaranthus hypochondriacus) seed.; Cellular membrane disruption by amyloid fibrils involved intermolecular disulfide cross-linking.; Angiotensin I converting enzyme inhibitory peptides produced by autolysis reactions from wheat bran.; Inhibition strength of short peptides derived from an ACE inhibitory peptide.;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885" t="str">
            <v>10.1271/bbb.57.695; 10.1111/j.1749-6632.1995.tb19990.x; 10.1021/jf051263l; 10.2174/138161207780363068; 10.1021/jf072911z; 10.1021/bi900219c; 10.1021/jf900857w; 10.1021/jf202902r; 10.1016/j.talanta.2012.12.041; 10.1016/j.foodchem.2013.05.140; 10.1080/10408398.2012.664829</v>
          </cell>
          <cell r="L885" t="str">
            <v>1368684 7763772 7785872 16448176 17430180 18211015 19449893 19572648 21923188 23598136 23871047 24915368</v>
          </cell>
        </row>
        <row r="886">
          <cell r="F886" t="str">
            <v>LRQRQ</v>
          </cell>
          <cell r="G886" t="str">
            <v/>
          </cell>
          <cell r="H886" t="str">
            <v/>
          </cell>
          <cell r="I886" t="str">
            <v/>
          </cell>
          <cell r="J886" t="str">
            <v/>
          </cell>
          <cell r="K886" t="str">
            <v/>
          </cell>
          <cell r="L886" t="str">
            <v/>
          </cell>
        </row>
        <row r="887">
          <cell r="F887" t="str">
            <v>LRQSQ</v>
          </cell>
          <cell r="G887" t="str">
            <v/>
          </cell>
          <cell r="H887" t="str">
            <v/>
          </cell>
          <cell r="I887" t="str">
            <v/>
          </cell>
          <cell r="J887" t="str">
            <v/>
          </cell>
          <cell r="K887" t="str">
            <v/>
          </cell>
          <cell r="L887" t="str">
            <v/>
          </cell>
        </row>
        <row r="888">
          <cell r="F888" t="str">
            <v>LRRGQ</v>
          </cell>
          <cell r="G888" t="str">
            <v/>
          </cell>
          <cell r="H888" t="str">
            <v/>
          </cell>
          <cell r="I888" t="str">
            <v/>
          </cell>
          <cell r="J888" t="str">
            <v/>
          </cell>
          <cell r="K888" t="str">
            <v/>
          </cell>
          <cell r="L888" t="str">
            <v/>
          </cell>
        </row>
        <row r="889">
          <cell r="F889" t="str">
            <v>LRRQQ</v>
          </cell>
          <cell r="G889" t="str">
            <v/>
          </cell>
          <cell r="H889" t="str">
            <v/>
          </cell>
          <cell r="I889" t="str">
            <v/>
          </cell>
          <cell r="J889" t="str">
            <v/>
          </cell>
          <cell r="K889" t="str">
            <v/>
          </cell>
          <cell r="L889" t="str">
            <v/>
          </cell>
        </row>
        <row r="890">
          <cell r="F890" t="str">
            <v>LRW</v>
          </cell>
          <cell r="G890" t="str">
            <v/>
          </cell>
          <cell r="H890" t="str">
            <v/>
          </cell>
          <cell r="I890" t="str">
            <v/>
          </cell>
          <cell r="J890" t="str">
            <v>Restriction of the in vitro formation of angiotensin II by leucinyl-arginyl-tryptophan, a novel peptide with potent angiotensin I-converting enzyme inhibitory activity.</v>
          </cell>
          <cell r="K890" t="str">
            <v>10.1271/bbb.70.1277</v>
          </cell>
          <cell r="L890" t="str">
            <v>16717437</v>
          </cell>
        </row>
        <row r="891">
          <cell r="F891" t="str">
            <v>LRY</v>
          </cell>
          <cell r="G891" t="str">
            <v/>
          </cell>
          <cell r="H891" t="str">
            <v/>
          </cell>
          <cell r="I891" t="str">
            <v/>
          </cell>
          <cell r="J891" t="str">
            <v>Structural requirements of Angiotensin I-converting enzyme inhibitory peptides: quantitative structure-activity relationship study of di- and tripeptides.</v>
          </cell>
          <cell r="K891" t="str">
            <v>10.1021/jf051263l</v>
          </cell>
          <cell r="L891" t="str">
            <v>16448176</v>
          </cell>
        </row>
        <row r="892">
          <cell r="F892" t="str">
            <v>LSA</v>
          </cell>
          <cell r="G892" t="str">
            <v/>
          </cell>
          <cell r="H892" t="str">
            <v/>
          </cell>
          <cell r="I892" t="str">
            <v/>
          </cell>
          <cell r="J892" t="str">
            <v>Antihypertensive effect of angiotensin I-converting enzyme inhibitory peptides from a sesame protein hydrolysate in spontaneously hypertensive rats.;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892" t="str">
            <v>10.1271/bbb.70.1118; 10.1016/j.talanta.2012.12.041; 10.1016/j.foodchem.2013.05.140; 10.1080/10408398.2012.664829</v>
          </cell>
          <cell r="L892" t="str">
            <v>16717411 23598136 23871047 24915368</v>
          </cell>
        </row>
        <row r="893">
          <cell r="F893" t="str">
            <v>LSKDIGSESTEDQAMED</v>
          </cell>
          <cell r="G893" t="str">
            <v/>
          </cell>
          <cell r="H893" t="str">
            <v/>
          </cell>
          <cell r="I893" t="str">
            <v/>
          </cell>
          <cell r="J893" t="str">
            <v>Casein fermentate of Lactobacillus animalis DPC6134 contains a range of novel propeptide angiotensin-converting enzyme inhibitors.</v>
          </cell>
          <cell r="K893" t="str">
            <v>10.1128/AEM.00096-07</v>
          </cell>
          <cell r="L893" t="str">
            <v>17483275</v>
          </cell>
        </row>
        <row r="894">
          <cell r="F894" t="str">
            <v>LSLP</v>
          </cell>
          <cell r="G894" t="str">
            <v/>
          </cell>
          <cell r="H894" t="str">
            <v/>
          </cell>
          <cell r="I894" t="str">
            <v/>
          </cell>
          <cell r="J894" t="str">
            <v>Isolation from alpha-zein of thermolysin peptides with angiotensin I-converting enzyme inhibitory activity.</v>
          </cell>
          <cell r="K894" t="str">
            <v>10.1271/bbb.60.661</v>
          </cell>
          <cell r="L894" t="str">
            <v>8829536</v>
          </cell>
        </row>
        <row r="895">
          <cell r="F895" t="str">
            <v>LSMGSASLSP</v>
          </cell>
          <cell r="G895" t="str">
            <v/>
          </cell>
          <cell r="H895" t="str">
            <v/>
          </cell>
          <cell r="I895" t="str">
            <v/>
          </cell>
          <cell r="J895" t="str">
            <v>Characterization of an antihypertensive angiotensin I-converting enzyme inhibitory peptide from the edible mushroom Hypsizygus marmoreus.</v>
          </cell>
          <cell r="K895" t="str">
            <v>10.1155/2013/283964</v>
          </cell>
          <cell r="L895" t="str">
            <v>24380081</v>
          </cell>
        </row>
        <row r="896">
          <cell r="F896" t="str">
            <v>LSP</v>
          </cell>
          <cell r="G896" t="str">
            <v/>
          </cell>
          <cell r="H896" t="str">
            <v/>
          </cell>
          <cell r="I896" t="str">
            <v/>
          </cell>
          <cell r="J896" t="str">
            <v>Structures and activity of angiotensin-converting enzyme inhibitors in an alpha-zein hydrolysate.; Production of bioactive peptides from corn endosperm proteins by some proteases.; Isolation from alpha-zein of thermolysin peptides with angiotensin I-converting enzyme inhibitory activity.; Structural requirements of Angiotensin I-converting enzyme inhibitory peptides: quantitative structure-activity relationship study of di- and tripeptides.; Bioactive peptides in amaranth (Amaranthus hypochondriacus) seed.; Cellular membrane disruption by amyloid fibrils involved intermolecular disulfide cross-linking.;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896" t="str">
            <v>10.1111/j.1749-6632.1995.tb19990.x; 10.1271/bbb.60.661; 10.1021/jf051263l; 10.1021/jf072911z; 10.1021/bi900219c; 10.1016/j.talanta.2012.12.041; 10.1016/j.foodchem.2013.05.140; 10.1080/10408398.2012.664829</v>
          </cell>
          <cell r="L896" t="str">
            <v>1368684 7785872 8829536 16448176 18211015 19449893 23598136 23871047 24915368</v>
          </cell>
        </row>
        <row r="897">
          <cell r="F897" t="str">
            <v>LSPA</v>
          </cell>
          <cell r="G897" t="str">
            <v/>
          </cell>
          <cell r="H897" t="str">
            <v/>
          </cell>
          <cell r="I897" t="str">
            <v/>
          </cell>
          <cell r="J897" t="str">
            <v>Isolation from alpha-zein of thermolysin peptides with angiotensin I-converting enzyme inhibitory activity.; What are the ideal properties for functional food peptides with antihypertensive effect? A computational peptidology approach.</v>
          </cell>
          <cell r="K897" t="str">
            <v>10.1271/bbb.60.661; 10.1016/j.foodchem.2013.05.140</v>
          </cell>
          <cell r="L897" t="str">
            <v>8829536 23871047</v>
          </cell>
        </row>
        <row r="898">
          <cell r="F898" t="str">
            <v>LSPQSY</v>
          </cell>
          <cell r="G898" t="str">
            <v/>
          </cell>
          <cell r="H898" t="str">
            <v/>
          </cell>
          <cell r="I898" t="str">
            <v/>
          </cell>
          <cell r="J898" t="str">
            <v>Isolation from alpha-zein of thermolysin peptides with angiotensin I-converting enzyme inhibitory activity.</v>
          </cell>
          <cell r="K898" t="str">
            <v>10.1271/bbb.60.661</v>
          </cell>
          <cell r="L898" t="str">
            <v>8829536</v>
          </cell>
        </row>
        <row r="899">
          <cell r="F899" t="str">
            <v>LSPY</v>
          </cell>
          <cell r="G899" t="str">
            <v/>
          </cell>
          <cell r="H899" t="str">
            <v/>
          </cell>
          <cell r="I899" t="str">
            <v/>
          </cell>
          <cell r="J899" t="str">
            <v>Isolation from alpha-zein of thermolysin peptides with angiotensin I-converting enzyme inhibitory activity.; Rational design of angiotensin-I-converting enzyme inhibitory peptides by integrating in silico modeling and an in vitro assay.</v>
          </cell>
          <cell r="K899" t="str">
            <v>10.1271/bbb.60.661; 10.1002/cmdc.201300132</v>
          </cell>
          <cell r="L899" t="str">
            <v>8829536 23740817</v>
          </cell>
        </row>
        <row r="900">
          <cell r="F900" t="str">
            <v>LSQSKVLPVPQK</v>
          </cell>
          <cell r="G900" t="str">
            <v/>
          </cell>
          <cell r="H900" t="str">
            <v/>
          </cell>
          <cell r="I900" t="str">
            <v/>
          </cell>
          <cell r="J900" t="str">
            <v>Enterococcus faecalis strains from food, environmental, and clinical origin produce ACE-inhibitory peptides and other bioactive peptides during growth in bovine skim milk.</v>
          </cell>
          <cell r="K900" t="str">
            <v>10.1016/j.ijfoodmicro.2013.06.019</v>
          </cell>
          <cell r="L900" t="str">
            <v>23845432</v>
          </cell>
        </row>
        <row r="901">
          <cell r="F901" t="str">
            <v>LSRGQ</v>
          </cell>
          <cell r="G901" t="str">
            <v/>
          </cell>
          <cell r="H901" t="str">
            <v/>
          </cell>
          <cell r="I901" t="str">
            <v/>
          </cell>
          <cell r="J901" t="str">
            <v/>
          </cell>
          <cell r="K901" t="str">
            <v/>
          </cell>
          <cell r="L901" t="str">
            <v/>
          </cell>
        </row>
        <row r="902">
          <cell r="F902" t="str">
            <v>LSSSEESTRINKKIEKFQSEEQQQYEDELQDKIHPFAQTQSLVYPFPGPI</v>
          </cell>
          <cell r="G902" t="str">
            <v/>
          </cell>
          <cell r="H902" t="str">
            <v/>
          </cell>
          <cell r="I902" t="str">
            <v/>
          </cell>
          <cell r="J902" t="str">
            <v>A new QSAR model, for angiotensin I-converting enzyme inhibitory oligopeptides.</v>
          </cell>
          <cell r="K902" t="str">
            <v>10.1016/j.foodchem.2012.09.092</v>
          </cell>
          <cell r="L902" t="str">
            <v>23194537</v>
          </cell>
        </row>
        <row r="903">
          <cell r="F903" t="str">
            <v>LSW</v>
          </cell>
          <cell r="G903" t="str">
            <v/>
          </cell>
          <cell r="H903" t="str">
            <v/>
          </cell>
          <cell r="I903" t="str">
            <v/>
          </cell>
          <cell r="J903" t="str">
            <v>LC-MS/MS coupled with QSAR modeling in characterising of angiotensin I-converting enzyme inhibitory peptides from soybean proteins.</v>
          </cell>
          <cell r="K903" t="str">
            <v>10.1016/j.foodchem.2013.04.064</v>
          </cell>
          <cell r="L903" t="str">
            <v>23871011</v>
          </cell>
        </row>
        <row r="904">
          <cell r="F904" t="str">
            <v>LSYCG</v>
          </cell>
          <cell r="G904" t="str">
            <v/>
          </cell>
          <cell r="H904" t="str">
            <v/>
          </cell>
          <cell r="I904" t="str">
            <v/>
          </cell>
          <cell r="J904" t="str">
            <v/>
          </cell>
          <cell r="K904" t="str">
            <v/>
          </cell>
          <cell r="L904" t="str">
            <v/>
          </cell>
        </row>
        <row r="905">
          <cell r="F905" t="str">
            <v>LTDLENLHLP</v>
          </cell>
          <cell r="G905" t="str">
            <v/>
          </cell>
          <cell r="H905" t="str">
            <v/>
          </cell>
          <cell r="I905" t="str">
            <v/>
          </cell>
          <cell r="J905" t="str">
            <v/>
          </cell>
          <cell r="K905" t="str">
            <v/>
          </cell>
          <cell r="L905" t="str">
            <v/>
          </cell>
        </row>
        <row r="906">
          <cell r="F906" t="str">
            <v>LTDVEN</v>
          </cell>
          <cell r="G906" t="str">
            <v/>
          </cell>
          <cell r="H906" t="str">
            <v/>
          </cell>
          <cell r="I906" t="str">
            <v/>
          </cell>
          <cell r="J906" t="str">
            <v>Enterococcus faecalis strains from food, environmental, and clinical origin produce ACE-inhibitory peptides and other bioactive peptides during growth in bovine skim milk.</v>
          </cell>
          <cell r="K906" t="str">
            <v>10.1016/j.ijfoodmicro.2013.06.019</v>
          </cell>
          <cell r="L906" t="str">
            <v>23845432</v>
          </cell>
        </row>
        <row r="907">
          <cell r="F907" t="str">
            <v>LTF</v>
          </cell>
          <cell r="G907" t="str">
            <v>tuna muscle</v>
          </cell>
          <cell r="H907" t="str">
            <v/>
          </cell>
          <cell r="I907" t="str">
            <v/>
          </cell>
          <cell r="J907" t="str">
            <v>Structural requirements of Angiotensin I-converting enzyme inhibitory peptides: quantitative structure-activity relationship study of di- and tripeptides.; Isolation and characterization of peptides with antihypertensive activity in foodstuffs.</v>
          </cell>
          <cell r="K907" t="str">
            <v>10.1021/jf051263l; 10.1080/10408398.2012.664829</v>
          </cell>
          <cell r="L907" t="str">
            <v>16448176 24915368</v>
          </cell>
        </row>
        <row r="908">
          <cell r="F908" t="str">
            <v>LTLTDVE</v>
          </cell>
          <cell r="G908" t="str">
            <v/>
          </cell>
          <cell r="H908" t="str">
            <v/>
          </cell>
          <cell r="I908" t="str">
            <v/>
          </cell>
          <cell r="J908" t="str">
            <v>Putting microbes to work: dairy fermentation, cell factories and bioactive peptides. Part I: overview.; The potential role of milk-derived peptides in cardiovascular disease.</v>
          </cell>
          <cell r="K908" t="str">
            <v>10.1002/biot.200600246; 10.1039/c1fo10017c</v>
          </cell>
          <cell r="L908" t="str">
            <v>17407210 21779574</v>
          </cell>
        </row>
        <row r="909">
          <cell r="F909" t="str">
            <v>LTLTDVEN</v>
          </cell>
          <cell r="G909" t="str">
            <v/>
          </cell>
          <cell r="H909" t="str">
            <v/>
          </cell>
          <cell r="I909" t="str">
            <v/>
          </cell>
          <cell r="J909" t="str">
            <v>Enterococcus faecalis strains from food, environmental, and clinical origin produce ACE-inhibitory peptides and other bioactive peptides during growth in bovine skim milk.</v>
          </cell>
          <cell r="K909" t="str">
            <v>10.1016/j.ijfoodmicro.2013.06.019</v>
          </cell>
          <cell r="L909" t="str">
            <v>23845432</v>
          </cell>
        </row>
        <row r="910">
          <cell r="F910" t="str">
            <v>LTQTPVVPP</v>
          </cell>
          <cell r="G910" t="str">
            <v/>
          </cell>
          <cell r="H910" t="str">
            <v/>
          </cell>
          <cell r="I910" t="str">
            <v/>
          </cell>
          <cell r="J910" t="str">
            <v>QSAR study on angiotensin-converting enzyme inhibitor oligopeptides based on a novel set of sequence information descriptors.</v>
          </cell>
          <cell r="K910" t="str">
            <v>10.1007/s00894-010-0862-x</v>
          </cell>
          <cell r="L910" t="str">
            <v>20941517</v>
          </cell>
        </row>
        <row r="911">
          <cell r="F911" t="str">
            <v>LTQTPVVVPPF</v>
          </cell>
          <cell r="G911" t="str">
            <v/>
          </cell>
          <cell r="H911" t="str">
            <v/>
          </cell>
          <cell r="I911" t="str">
            <v/>
          </cell>
          <cell r="J911" t="str">
            <v>Enterococcus faecalis strains from food, environmental, and clinical origin produce ACE-inhibitory peptides and other bioactive peptides during growth in bovine skim milk.</v>
          </cell>
          <cell r="K911" t="str">
            <v>10.1016/j.ijfoodmicro.2013.06.019</v>
          </cell>
          <cell r="L911" t="str">
            <v>23845432</v>
          </cell>
        </row>
        <row r="912">
          <cell r="F912" t="str">
            <v>LTWNS</v>
          </cell>
          <cell r="G912" t="str">
            <v/>
          </cell>
          <cell r="H912" t="str">
            <v/>
          </cell>
          <cell r="I912" t="str">
            <v/>
          </cell>
          <cell r="J912" t="str">
            <v/>
          </cell>
          <cell r="K912" t="str">
            <v/>
          </cell>
          <cell r="L912" t="str">
            <v/>
          </cell>
        </row>
        <row r="913">
          <cell r="F913" t="str">
            <v>LV</v>
          </cell>
          <cell r="G913" t="str">
            <v/>
          </cell>
          <cell r="H913" t="str">
            <v/>
          </cell>
          <cell r="I913" t="str">
            <v/>
          </cell>
          <cell r="J913" t="str">
            <v>Quantitative structure-activity relationship study of bitter di- and tri-peptides including relationship with angiotensin I-converting enzyme inhibitory activity.</v>
          </cell>
          <cell r="K913" t="str">
            <v>10.1002/psc.800</v>
          </cell>
          <cell r="L913" t="str">
            <v>17117396</v>
          </cell>
        </row>
        <row r="914">
          <cell r="F914" t="str">
            <v>LVE</v>
          </cell>
          <cell r="G914" t="str">
            <v/>
          </cell>
          <cell r="H914" t="str">
            <v/>
          </cell>
          <cell r="I914" t="str">
            <v/>
          </cell>
          <cell r="J914" t="str">
            <v/>
          </cell>
          <cell r="K914" t="str">
            <v/>
          </cell>
          <cell r="L914" t="str">
            <v/>
          </cell>
        </row>
        <row r="915">
          <cell r="F915" t="str">
            <v>LVL</v>
          </cell>
          <cell r="G915" t="str">
            <v/>
          </cell>
          <cell r="H915" t="str">
            <v/>
          </cell>
          <cell r="I915" t="str">
            <v/>
          </cell>
          <cell r="J915" t="str">
            <v>Isolation of angiotensin-converting enzyme inhibitor from porcine plasma.; Structural requirements of Angiotensin I-converting enzyme inhibitory peptides: quantitative structure-activity relationship study of di- and tripeptides.; Bioactive peptides in amaranth (Amaranthus hypochondriacus) seed.</v>
          </cell>
          <cell r="K915" t="str">
            <v>10.1016/s0006-291x(86)80078-x; 10.1021/jf051263l; 10.1021/jf072911z</v>
          </cell>
          <cell r="L915" t="str">
            <v>3021131 16448176 18211015</v>
          </cell>
        </row>
        <row r="916">
          <cell r="F916" t="str">
            <v>LVNDLVTPVFDNL</v>
          </cell>
          <cell r="G916" t="str">
            <v/>
          </cell>
          <cell r="H916" t="str">
            <v/>
          </cell>
          <cell r="I916" t="str">
            <v/>
          </cell>
          <cell r="J916" t="str">
            <v>Characterization of an antihypertensive angiotensin I-converting enzyme inhibitory peptide from the edible mushroom Hypsizygus marmoreus.</v>
          </cell>
          <cell r="K916" t="str">
            <v>10.1155/2013/283964</v>
          </cell>
          <cell r="L916" t="str">
            <v>24380081</v>
          </cell>
        </row>
        <row r="917">
          <cell r="F917" t="str">
            <v>LVP</v>
          </cell>
          <cell r="G917" t="str">
            <v/>
          </cell>
          <cell r="H917" t="str">
            <v/>
          </cell>
          <cell r="I917" t="str">
            <v/>
          </cell>
          <cell r="J917" t="str">
            <v>Isolation from alpha-zein of thermolysin peptides with angiotensin I-converting enzyme inhibitory activity.</v>
          </cell>
          <cell r="K917" t="str">
            <v>10.1271/bbb.60.661</v>
          </cell>
          <cell r="L917" t="str">
            <v>8829536</v>
          </cell>
        </row>
        <row r="918">
          <cell r="F918" t="str">
            <v>LVQ</v>
          </cell>
          <cell r="G918" t="str">
            <v/>
          </cell>
          <cell r="H918" t="str">
            <v/>
          </cell>
          <cell r="I918" t="str">
            <v/>
          </cell>
          <cell r="J918" t="str">
            <v>Structural requirements of Angiotensin I-converting enzyme inhibitory peptides: quantitative structure-activity relationship study of di- and tripeptides.</v>
          </cell>
          <cell r="K918" t="str">
            <v>10.1021/jf051263l</v>
          </cell>
          <cell r="L918" t="str">
            <v>16448176</v>
          </cell>
        </row>
        <row r="919">
          <cell r="F919" t="str">
            <v>LVQGS</v>
          </cell>
          <cell r="G919" t="str">
            <v/>
          </cell>
          <cell r="H919" t="str">
            <v/>
          </cell>
          <cell r="I919" t="str">
            <v/>
          </cell>
          <cell r="J919" t="str">
            <v>Vegetable foods: a cheap source of proteins and peptides with antihypertensive, antioxidant, and other less occurrence bioactivities.; Isolation and characterization of peptides with antihypertensive activity in foodstuffs.</v>
          </cell>
          <cell r="K919" t="str">
            <v>10.1016/j.talanta.2012.12.041; 10.1080/10408398.2012.664829</v>
          </cell>
          <cell r="L919" t="str">
            <v>23598136 24915368</v>
          </cell>
        </row>
        <row r="920">
          <cell r="F920" t="str">
            <v>LVR</v>
          </cell>
          <cell r="G920" t="str">
            <v/>
          </cell>
          <cell r="H920" t="str">
            <v/>
          </cell>
          <cell r="I920" t="str">
            <v/>
          </cell>
          <cell r="J920" t="str">
            <v>Structural requirements of Angiotensin I-converting enzyme inhibitory peptides: quantitative structure-activity relationship study of di- and tripeptides.</v>
          </cell>
          <cell r="K920" t="str">
            <v>10.1021/jf051263l</v>
          </cell>
          <cell r="L920" t="str">
            <v>16448176</v>
          </cell>
        </row>
        <row r="921">
          <cell r="F921" t="str">
            <v>LVRT</v>
          </cell>
          <cell r="G921" t="str">
            <v/>
          </cell>
          <cell r="H921" t="str">
            <v/>
          </cell>
          <cell r="I921" t="str">
            <v/>
          </cell>
          <cell r="J921" t="str">
            <v>Angiotensin converting enzyme inhibitory peptides derived from food proteins: biochemistry, bioactivity and production.; What are the ideal properties for functional food peptides with antihypertensive effect? A computational peptidology approach.</v>
          </cell>
          <cell r="K921" t="str">
            <v>10.2174/138161207780363068; 10.1016/j.foodchem.2013.05.140</v>
          </cell>
          <cell r="L921" t="str">
            <v>17430180 23871047</v>
          </cell>
        </row>
        <row r="922">
          <cell r="F922" t="str">
            <v>LVRY</v>
          </cell>
          <cell r="G922" t="str">
            <v/>
          </cell>
          <cell r="H922" t="str">
            <v/>
          </cell>
          <cell r="I922" t="str">
            <v/>
          </cell>
          <cell r="J922" t="str">
            <v/>
          </cell>
          <cell r="K922" t="str">
            <v/>
          </cell>
          <cell r="L922" t="str">
            <v/>
          </cell>
        </row>
        <row r="923">
          <cell r="F923" t="str">
            <v>LVVYPWTQR</v>
          </cell>
          <cell r="G923" t="str">
            <v/>
          </cell>
          <cell r="H923" t="str">
            <v/>
          </cell>
          <cell r="I923" t="str">
            <v/>
          </cell>
          <cell r="J923" t="str">
            <v/>
          </cell>
          <cell r="K923" t="str">
            <v/>
          </cell>
          <cell r="L923" t="str">
            <v/>
          </cell>
        </row>
        <row r="924">
          <cell r="F924" t="str">
            <v>LVY</v>
          </cell>
          <cell r="G924" t="str">
            <v/>
          </cell>
          <cell r="H924" t="str">
            <v/>
          </cell>
          <cell r="I924" t="str">
            <v/>
          </cell>
          <cell r="J924" t="str">
            <v>Antihypertensive effect of angiotensin I-converting enzyme inhibitory peptides from a sesame protein hydrolysate in spontaneously hypertensive rats.; Vegetable foods: a cheap source of proteins and peptides with antihypertensive, antioxidant, and other less occurrence bioactivities.; What are the ideal properties for functional food peptides with antihypertensive effect? A computational peptidology approach.; Novel probiotic-fermented milk with angiotensin I-converting enzyme inhibitory peptides produced by Bifidobacterium bifidum MF 20/5.; Isolation and characterization of peptides with antihypertensive activity in foodstuffs.</v>
          </cell>
          <cell r="K924" t="str">
            <v>10.1271/bbb.70.1118; 10.1016/j.talanta.2012.12.041; 10.1016/j.foodchem.2013.05.140; 10.1016/j.ijfoodmicro.2013.09.002; 10.1080/10408398.2012.664829</v>
          </cell>
          <cell r="L924" t="str">
            <v>16717411 23598136 23871047 24135669 24915368</v>
          </cell>
        </row>
        <row r="925">
          <cell r="F925" t="str">
            <v>LVYP</v>
          </cell>
          <cell r="G925" t="str">
            <v/>
          </cell>
          <cell r="H925" t="str">
            <v/>
          </cell>
          <cell r="I925" t="str">
            <v/>
          </cell>
          <cell r="J925" t="str">
            <v>Inhibition of angiotensin-converting enzyme by synthetic peptide fragments of various beta-caseins.; Evaluation of the allergenicity of goat milk, cow milk, and their lactosera in a guinea pig model.; Rational design of angiotensin-I-converting enzyme inhibitory peptides by integrating in silico modeling and an in vitro assay.; What are the ideal properties for functional food peptides with antihypertensive effect? A computational peptidology approach.</v>
          </cell>
          <cell r="K925" t="str">
            <v>10.3168/jds.2008-1125; 10.1002/cmdc.201300132; 10.1016/j.foodchem.2013.05.140</v>
          </cell>
          <cell r="L925" t="str">
            <v>1368548 19233776 23740817 23871047</v>
          </cell>
        </row>
        <row r="926">
          <cell r="F926" t="str">
            <v>LVYPFP</v>
          </cell>
          <cell r="G926" t="str">
            <v/>
          </cell>
          <cell r="H926" t="str">
            <v/>
          </cell>
          <cell r="I926" t="str">
            <v/>
          </cell>
          <cell r="J926" t="str">
            <v>Novel probiotic-fermented milk with angiotensin I-converting enzyme inhibitory peptides produced by Bifidobacterium bifidum MF 20/5.</v>
          </cell>
          <cell r="K926" t="str">
            <v>10.1016/j.ijfoodmicro.2013.09.002</v>
          </cell>
          <cell r="L926" t="str">
            <v>24135669</v>
          </cell>
        </row>
        <row r="927">
          <cell r="F927" t="str">
            <v>LVYPFPGP</v>
          </cell>
          <cell r="G927" t="str">
            <v/>
          </cell>
          <cell r="H927" t="str">
            <v/>
          </cell>
          <cell r="I927" t="str">
            <v/>
          </cell>
          <cell r="J927" t="str">
            <v>Angiotensin I-converting-enzyme-inhibitory and antibacterial peptides from Lactobacillus helveticus PR4 proteinase-hydrolyzed caseins of milk from six species.; Angiotensin I converting enzyme-inhibitory activity of bovine, ovine, and caprine kappa-casein macropeptides and their tryptic hydrolysates.; A new QSAR model, for angiotensin I-converting enzyme inhibitory oligopeptides.</v>
          </cell>
          <cell r="K927" t="str">
            <v>10.1128/AEM.69.9.5297-5305.2003; 10.4315/0362-028x-66.9.1686; 10.1016/j.foodchem.2012.09.092</v>
          </cell>
          <cell r="L927" t="str">
            <v>12957917 14503726 23194537</v>
          </cell>
        </row>
        <row r="928">
          <cell r="F928" t="str">
            <v>LVYPFPGPI</v>
          </cell>
          <cell r="G928" t="str">
            <v/>
          </cell>
          <cell r="H928" t="str">
            <v/>
          </cell>
          <cell r="I928" t="str">
            <v/>
          </cell>
          <cell r="J928" t="str">
            <v>Angiotensin I-converting-enzyme-inhibitory and antibacterial peptides from Lactobacillus helveticus PR4 proteinase-hydrolyzed caseins of milk from six species.; QSAR study on angiotensin-converting enzyme inhibitor oligopeptides based on a novel set of sequence information descriptors.</v>
          </cell>
          <cell r="K928" t="str">
            <v>10.1128/AEM.69.9.5297-5305.2003; 10.1007/s00894-010-0862-x</v>
          </cell>
          <cell r="L928" t="str">
            <v>12957917 20941517</v>
          </cell>
        </row>
        <row r="929">
          <cell r="F929" t="str">
            <v>LVYPFPGPIH</v>
          </cell>
          <cell r="G929" t="str">
            <v/>
          </cell>
          <cell r="H929" t="str">
            <v/>
          </cell>
          <cell r="I929" t="str">
            <v/>
          </cell>
          <cell r="J929" t="str">
            <v/>
          </cell>
          <cell r="K929" t="str">
            <v/>
          </cell>
          <cell r="L929" t="str">
            <v/>
          </cell>
        </row>
        <row r="930">
          <cell r="F930" t="str">
            <v>LVYPFPGPIHNSLP</v>
          </cell>
          <cell r="G930" t="str">
            <v/>
          </cell>
          <cell r="H930" t="str">
            <v/>
          </cell>
          <cell r="I930" t="str">
            <v/>
          </cell>
          <cell r="J930" t="str">
            <v/>
          </cell>
          <cell r="K930" t="str">
            <v/>
          </cell>
          <cell r="L930" t="str">
            <v/>
          </cell>
        </row>
        <row r="931">
          <cell r="F931" t="str">
            <v>LVYPFPGPIPN</v>
          </cell>
          <cell r="G931" t="str">
            <v/>
          </cell>
          <cell r="H931" t="str">
            <v/>
          </cell>
          <cell r="I931" t="str">
            <v/>
          </cell>
          <cell r="J931" t="str">
            <v>Antihypertensive peptides: production, bioavailability and incorporation into foods.</v>
          </cell>
          <cell r="K931" t="str">
            <v>10.1016/j.cis.2010.11.001</v>
          </cell>
          <cell r="L931" t="str">
            <v>21185549</v>
          </cell>
        </row>
        <row r="932">
          <cell r="F932" t="str">
            <v>LVYPFPGPIPNSLP</v>
          </cell>
          <cell r="G932" t="str">
            <v/>
          </cell>
          <cell r="H932" t="str">
            <v/>
          </cell>
          <cell r="I932" t="str">
            <v/>
          </cell>
          <cell r="J932" t="str">
            <v/>
          </cell>
          <cell r="K932" t="str">
            <v/>
          </cell>
          <cell r="L932" t="str">
            <v/>
          </cell>
        </row>
        <row r="933">
          <cell r="F933" t="str">
            <v>LVYPFPGPIPNSLPQNIPP</v>
          </cell>
          <cell r="G933" t="str">
            <v/>
          </cell>
          <cell r="H933" t="str">
            <v/>
          </cell>
          <cell r="I933" t="str">
            <v/>
          </cell>
          <cell r="J933" t="str">
            <v>Angiotensin I-converting-enzyme-inhibitory and antibacterial peptides from Lactobacillus helveticus PR4 proteinase-hydrolyzed caseins of milk from six species.; Antihypertensive effect of peptides obtained from Enterococcus faecalis-fermented milk in rats.; Antihypertensive peptides: production, bioavailability and incorporation into foods.; Antihypertensive peptides from food proteins: a review.; A new QSAR model, for angiotensin I-converting enzyme inhibitory oligopeptides.</v>
          </cell>
          <cell r="K933" t="str">
            <v>10.1128/AEM.69.9.5297-5305.2003; 10.3168/jds.S0022-0302(06)72372-4; 10.1016/j.cis.2010.11.001; 10.1039/c2fo10192k; 10.1016/j.foodchem.2012.09.092</v>
          </cell>
          <cell r="L933" t="str">
            <v>12957917 16899668 21185549 22249830 23194537</v>
          </cell>
        </row>
        <row r="934">
          <cell r="F934" t="str">
            <v>LVYPFTGPIPN</v>
          </cell>
          <cell r="G934" t="str">
            <v/>
          </cell>
          <cell r="H934" t="str">
            <v/>
          </cell>
          <cell r="I934" t="str">
            <v/>
          </cell>
          <cell r="J934" t="str">
            <v>Angiotensin-converting enzyme inhibitory activity of peptides derived from caprine kefir.; Antihypertensive peptides from food proteins: a review.; Isolation and characterization of peptides with antihypertensive activity in foodstuffs.</v>
          </cell>
          <cell r="K934" t="str">
            <v>10.3168/jds.S0022-0302(05)73032-0; 10.1039/c2fo10192k; 10.1080/10408398.2012.664829</v>
          </cell>
          <cell r="L934" t="str">
            <v>16162521 22249830 24915368</v>
          </cell>
        </row>
        <row r="935">
          <cell r="F935" t="str">
            <v>LW</v>
          </cell>
          <cell r="G935" t="str">
            <v>ovalbumin</v>
          </cell>
          <cell r="H935" t="str">
            <v/>
          </cell>
          <cell r="I935" t="str">
            <v/>
          </cell>
          <cell r="J935" t="str">
            <v>Angiotensin I-converting enzyme inhibitory peptides derived from wakame (Undaria pinnatifida) and their antihypertensive effect in spontaneously hypertensive rats.;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Bioactive peptides in amaranth (Amaranthus hypochondriacus) seed.; Angiotensin I converting enzyme inhibitory peptides from simulated in vitro gastrointestinal digestion of cooked eggs.; Antihypertensive peptides from food proteins: a review.;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935" t="str">
            <v>10.1021/jf020482t; 10.1021/jf051263l; 10.1002/psc.892; 10.1021/jf072911z; 10.1021/jf8028557; 10.1039/c2fo10192k; 10.1007/s12010-012-0024-y; 10.1016/j.talanta.2012.12.041; 10.1016/j.foodchem.2013.05.140; 10.1080/10408398.2012.664829</v>
          </cell>
          <cell r="L935" t="str">
            <v>12358510 16448176 17654623 18211015 19154160 22249830 23271625 23598136 23871047 24915368</v>
          </cell>
        </row>
        <row r="936">
          <cell r="F936" t="str">
            <v>LWA</v>
          </cell>
          <cell r="G936" t="str">
            <v/>
          </cell>
          <cell r="H936" t="str">
            <v/>
          </cell>
          <cell r="I936" t="str">
            <v/>
          </cell>
          <cell r="J936" t="str">
            <v>Structural requirements of Angiotensin I-converting enzyme inhibitory peptides: quantitative structure-activity relationship study of di- and tripeptides.</v>
          </cell>
          <cell r="K936" t="str">
            <v>10.1021/jf051263l</v>
          </cell>
          <cell r="L936" t="str">
            <v>16448176</v>
          </cell>
        </row>
        <row r="937">
          <cell r="F937" t="str">
            <v>LY</v>
          </cell>
          <cell r="G937" t="str">
            <v>pea albumin</v>
          </cell>
          <cell r="H937" t="str">
            <v/>
          </cell>
          <cell r="I937" t="str">
            <v/>
          </cell>
          <cell r="J937" t="str">
            <v>Angiotensin I-converting enzyme inhibitory peptides in an alkaline protease hydrolyzate derived from sardine muscle.; Isolation from alpha-zein of thermolysin peptides with angiotensin I-converting enzyme inhibitory activity.;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Bioactive peptides in amaranth (Amaranthus hypochondriacus) seed.; Assessing the dependence of (51)V A(z) value on the aromatic ring orientation of V(IV)O(2+) pyridine complexes.; Review on the angiotensin-I-converting enzyme (ACE) inhibitor peptides from marine proteins.;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937" t="str">
            <v>10.1271/bbb.58.2244; 10.1271/bbb.60.661; 10.1021/jf051263l; 10.1002/psc.892; 10.1021/jf072911z; 10.1021/ic9001779; 10.1007/s12010-012-0024-y; 10.1016/j.jprot.2013.06.023; 10.1016/j.foodchem.2013.05.140</v>
          </cell>
          <cell r="L937" t="str">
            <v>7765718 8829536 16448176 17654623 18211015 19449891 23271625 23806758 23871047</v>
          </cell>
        </row>
        <row r="938">
          <cell r="F938" t="str">
            <v>LYKNG</v>
          </cell>
          <cell r="G938" t="str">
            <v/>
          </cell>
          <cell r="H938" t="str">
            <v/>
          </cell>
          <cell r="I938" t="str">
            <v/>
          </cell>
          <cell r="J938" t="str">
            <v/>
          </cell>
          <cell r="K938" t="str">
            <v/>
          </cell>
          <cell r="L938" t="str">
            <v/>
          </cell>
        </row>
        <row r="939">
          <cell r="F939" t="str">
            <v>LYP</v>
          </cell>
          <cell r="G939" t="str">
            <v/>
          </cell>
          <cell r="H939" t="str">
            <v/>
          </cell>
          <cell r="I939" t="str">
            <v/>
          </cell>
          <cell r="J939" t="str">
            <v>Structural requirements of Angiotensin I-converting enzyme inhibitory peptides: quantitative structure-activity relationship study of di- and tripeptides.</v>
          </cell>
          <cell r="K939" t="str">
            <v>10.1021/jf051263l</v>
          </cell>
          <cell r="L939" t="str">
            <v>16448176</v>
          </cell>
        </row>
        <row r="940">
          <cell r="F940" t="str">
            <v>LYPVK</v>
          </cell>
          <cell r="G940" t="str">
            <v/>
          </cell>
          <cell r="H940" t="str">
            <v/>
          </cell>
          <cell r="I940" t="str">
            <v/>
          </cell>
          <cell r="J940" t="str">
            <v>A new QSAR model, for angiotensin I-converting enzyme inhibitory oligopeptides.</v>
          </cell>
          <cell r="K940" t="str">
            <v>10.1016/j.foodchem.2012.09.092</v>
          </cell>
          <cell r="L940" t="str">
            <v>23194537</v>
          </cell>
        </row>
        <row r="941">
          <cell r="F941" t="str">
            <v>LYQA</v>
          </cell>
          <cell r="G941" t="str">
            <v/>
          </cell>
          <cell r="H941" t="str">
            <v/>
          </cell>
          <cell r="I941" t="str">
            <v/>
          </cell>
          <cell r="J941" t="str">
            <v>Vegetable foods: a cheap source of proteins and peptides with antihypertensive, antioxidant, and other less occurrence bioactivities.</v>
          </cell>
          <cell r="K941" t="str">
            <v>10.1016/j.talanta.2012.12.041</v>
          </cell>
          <cell r="L941" t="str">
            <v>23598136</v>
          </cell>
        </row>
        <row r="942">
          <cell r="F942" t="str">
            <v>LYQKS</v>
          </cell>
          <cell r="G942" t="str">
            <v/>
          </cell>
          <cell r="H942" t="str">
            <v/>
          </cell>
          <cell r="I942" t="str">
            <v/>
          </cell>
          <cell r="J942" t="str">
            <v/>
          </cell>
          <cell r="K942" t="str">
            <v/>
          </cell>
          <cell r="L942" t="str">
            <v/>
          </cell>
        </row>
        <row r="943">
          <cell r="F943" t="str">
            <v>LYRNG</v>
          </cell>
          <cell r="G943" t="str">
            <v/>
          </cell>
          <cell r="H943" t="str">
            <v/>
          </cell>
          <cell r="I943" t="str">
            <v/>
          </cell>
          <cell r="J943" t="str">
            <v/>
          </cell>
          <cell r="K943" t="str">
            <v/>
          </cell>
          <cell r="L943" t="str">
            <v/>
          </cell>
        </row>
        <row r="944">
          <cell r="F944" t="str">
            <v>LYW</v>
          </cell>
          <cell r="G944" t="str">
            <v/>
          </cell>
          <cell r="H944" t="str">
            <v/>
          </cell>
          <cell r="I944" t="str">
            <v/>
          </cell>
          <cell r="J944" t="str">
            <v/>
          </cell>
          <cell r="K944" t="str">
            <v/>
          </cell>
          <cell r="L944" t="str">
            <v/>
          </cell>
        </row>
        <row r="945">
          <cell r="F945" t="str">
            <v>MA</v>
          </cell>
          <cell r="G945" t="str">
            <v/>
          </cell>
          <cell r="H945" t="str">
            <v/>
          </cell>
          <cell r="I945" t="str">
            <v/>
          </cell>
          <cell r="J945" t="str">
            <v>Bioactive peptides in amaranth (Amaranthus hypochondriacus) seed.</v>
          </cell>
          <cell r="K945" t="str">
            <v>10.1021/jf072911z</v>
          </cell>
          <cell r="L945" t="str">
            <v>18211015</v>
          </cell>
        </row>
        <row r="946">
          <cell r="F946" t="str">
            <v>MAIPPK</v>
          </cell>
          <cell r="G946" t="str">
            <v/>
          </cell>
          <cell r="H946" t="str">
            <v/>
          </cell>
          <cell r="I946" t="str">
            <v/>
          </cell>
          <cell r="J946" t="str">
            <v/>
          </cell>
          <cell r="K946" t="str">
            <v/>
          </cell>
          <cell r="L946" t="str">
            <v/>
          </cell>
        </row>
        <row r="947">
          <cell r="F947" t="str">
            <v>MAIPPKK</v>
          </cell>
          <cell r="G947" t="str">
            <v/>
          </cell>
          <cell r="H947" t="str">
            <v/>
          </cell>
          <cell r="I947" t="str">
            <v/>
          </cell>
          <cell r="J947" t="str">
            <v>Antihypertensive peptides: production, bioavailability and incorporation into foods.</v>
          </cell>
          <cell r="K947" t="str">
            <v>10.1016/j.cis.2010.11.001</v>
          </cell>
          <cell r="L947" t="str">
            <v>21185549</v>
          </cell>
        </row>
        <row r="948">
          <cell r="F948" t="str">
            <v>MAP</v>
          </cell>
          <cell r="G948" t="str">
            <v/>
          </cell>
          <cell r="H948" t="str">
            <v/>
          </cell>
          <cell r="I948" t="str">
            <v/>
          </cell>
          <cell r="J948" t="str">
            <v>Antihypertensive peptides from food proteins: a review.; Isolation and characterization of peptides with antihypertensive activity in foodstuffs.</v>
          </cell>
          <cell r="K948" t="str">
            <v>10.1039/c2fo10192k; 10.1080/10408398.2012.664829</v>
          </cell>
          <cell r="L948" t="str">
            <v>22249830 24915368</v>
          </cell>
        </row>
        <row r="949">
          <cell r="F949" t="str">
            <v>MAW</v>
          </cell>
          <cell r="G949" t="str">
            <v/>
          </cell>
          <cell r="H949" t="str">
            <v/>
          </cell>
          <cell r="I949" t="str">
            <v/>
          </cell>
          <cell r="J949" t="str">
            <v>What are the ideal properties for functional food peptides with antihypertensive effect? A computational peptidology approach.</v>
          </cell>
          <cell r="K949" t="str">
            <v>10.1016/j.foodchem.2013.05.140</v>
          </cell>
          <cell r="L949" t="str">
            <v>23871047</v>
          </cell>
        </row>
        <row r="950">
          <cell r="F950" t="str">
            <v>MCESASSK</v>
          </cell>
          <cell r="G950" t="str">
            <v/>
          </cell>
          <cell r="H950" t="str">
            <v/>
          </cell>
          <cell r="I950" t="str">
            <v/>
          </cell>
          <cell r="J950" t="str">
            <v/>
          </cell>
          <cell r="K950" t="str">
            <v/>
          </cell>
          <cell r="L950" t="str">
            <v/>
          </cell>
        </row>
        <row r="951">
          <cell r="F951" t="str">
            <v>MDFLI</v>
          </cell>
          <cell r="G951" t="str">
            <v/>
          </cell>
          <cell r="H951" t="str">
            <v/>
          </cell>
          <cell r="I951" t="str">
            <v/>
          </cell>
          <cell r="J951" t="str">
            <v>Angiotensin converting enzyme inhibitory peptides derived from food proteins: biochemistry, bioactivity and production.; A new QSAR model, for angiotensin I-converting enzyme inhibitory oligopeptides.; Vegetable foods: a cheap source of proteins and peptides with antihypertensive, antioxidant, and other less occurrence bioactivities.</v>
          </cell>
          <cell r="K951" t="str">
            <v>10.2174/138161207780363068; 10.1016/j.foodchem.2012.09.092; 10.1016/j.talanta.2012.12.041</v>
          </cell>
          <cell r="L951" t="str">
            <v>17430180 23194537 23598136</v>
          </cell>
        </row>
        <row r="952">
          <cell r="F952" t="str">
            <v>MDLA</v>
          </cell>
          <cell r="G952" t="str">
            <v/>
          </cell>
          <cell r="H952" t="str">
            <v/>
          </cell>
          <cell r="I952" t="str">
            <v/>
          </cell>
          <cell r="J952" t="str">
            <v>Angiotensin converting enzyme inhibitory peptides derived from food proteins: biochemistry, bioactivity and production.</v>
          </cell>
          <cell r="K952" t="str">
            <v>10.2174/138161207780363068</v>
          </cell>
          <cell r="L952" t="str">
            <v>17430180</v>
          </cell>
        </row>
        <row r="953">
          <cell r="F953" t="str">
            <v>ME</v>
          </cell>
          <cell r="G953" t="str">
            <v/>
          </cell>
          <cell r="H953" t="str">
            <v/>
          </cell>
          <cell r="I953" t="str">
            <v/>
          </cell>
          <cell r="J953" t="str">
            <v>Application of at-line two-dimensional liquid chromatography-mass spectrometry for identification of small hydrophilic angiotensin I-inhibiting peptides in milk hydrolysates.</v>
          </cell>
          <cell r="K953" t="str">
            <v>10.1007/s00216-008-1990-3</v>
          </cell>
          <cell r="L953" t="str">
            <v>18392815</v>
          </cell>
        </row>
        <row r="954">
          <cell r="F954" t="str">
            <v>MEF</v>
          </cell>
          <cell r="G954" t="str">
            <v/>
          </cell>
          <cell r="H954" t="str">
            <v/>
          </cell>
          <cell r="I954" t="str">
            <v/>
          </cell>
          <cell r="J954" t="str">
            <v/>
          </cell>
          <cell r="K954" t="str">
            <v/>
          </cell>
          <cell r="L954" t="str">
            <v/>
          </cell>
        </row>
        <row r="955">
          <cell r="F955" t="str">
            <v>MEGAQEAQGD</v>
          </cell>
          <cell r="G955" t="str">
            <v/>
          </cell>
          <cell r="H955" t="str">
            <v/>
          </cell>
          <cell r="I955" t="str">
            <v/>
          </cell>
          <cell r="J955" t="str">
            <v>Antihypertensive peptides from food proteins: a review.; Isolation and characterization of peptides with antihypertensive activity in foodstuffs.</v>
          </cell>
          <cell r="K955" t="str">
            <v>10.1039/c2fo10192k; 10.1080/10408398.2012.664829</v>
          </cell>
          <cell r="L955" t="str">
            <v>22249830 24915368</v>
          </cell>
        </row>
        <row r="956">
          <cell r="F956" t="str">
            <v>MF</v>
          </cell>
          <cell r="G956" t="str">
            <v>pea albumin</v>
          </cell>
          <cell r="H956" t="str">
            <v/>
          </cell>
          <cell r="I956" t="str">
            <v/>
          </cell>
          <cell r="J956" t="str">
            <v>Angiotensin I-converting enzyme inhibitory peptides in an alkaline protease hydrolyzate derived from sardine muscle.; Structural requirements of Angiotensin I-converting enzyme inhibitory peptides: quantitative structure-activity relationship study of di- and tripeptides.; Bioactive peptides in amaranth (Amaranthus hypochondriacus) seed.; Assessing the dependence of (51)V A(z) value on the aromatic ring orientation of V(IV)O(2+) pyridine complexes.; Review on the angiotensin-I-converting enzyme (ACE) inhibitor peptides from marine proteins.;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956" t="str">
            <v>10.1271/bbb.58.2244; 10.1021/jf051263l; 10.1021/jf072911z; 10.1021/ic9001779; 10.1007/s12010-012-0024-y; 10.1016/j.jprot.2013.06.023; 10.1016/j.foodchem.2013.05.140</v>
          </cell>
          <cell r="L956" t="str">
            <v>7765718 16448176 18211015 19449891 23271625 23806758 23871047</v>
          </cell>
        </row>
        <row r="957">
          <cell r="F957" t="str">
            <v>MFDL</v>
          </cell>
          <cell r="G957" t="str">
            <v/>
          </cell>
          <cell r="H957" t="str">
            <v/>
          </cell>
          <cell r="I957" t="str">
            <v/>
          </cell>
          <cell r="J957" t="str">
            <v>Angiotensin converting enzyme inhibitory peptides derived from food proteins: biochemistry, bioactivity and production.</v>
          </cell>
          <cell r="K957" t="str">
            <v>10.2174/138161207780363068</v>
          </cell>
          <cell r="L957" t="str">
            <v>17430180</v>
          </cell>
        </row>
        <row r="958">
          <cell r="F958" t="str">
            <v>MG</v>
          </cell>
          <cell r="G958" t="str">
            <v/>
          </cell>
          <cell r="H958" t="str">
            <v/>
          </cell>
          <cell r="I958" t="str">
            <v/>
          </cell>
          <cell r="J958"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What are the ideal properties for functional food peptides with antihypertensive effect? A computational peptidology approach.</v>
          </cell>
          <cell r="K958" t="str">
            <v>10.1021/jf051263l; 10.1002/psc.892; 10.1007/s00894-010-0862-x; 10.1016/j.foodchem.2013.05.140</v>
          </cell>
          <cell r="L958" t="str">
            <v>6243277 16448176 17654623 20941517 23871047</v>
          </cell>
        </row>
        <row r="959">
          <cell r="F959" t="str">
            <v>MHYGN</v>
          </cell>
          <cell r="G959" t="str">
            <v/>
          </cell>
          <cell r="H959" t="str">
            <v/>
          </cell>
          <cell r="I959" t="str">
            <v/>
          </cell>
          <cell r="J959" t="str">
            <v/>
          </cell>
          <cell r="K959" t="str">
            <v/>
          </cell>
          <cell r="L959" t="str">
            <v/>
          </cell>
        </row>
        <row r="960">
          <cell r="F960" t="str">
            <v>MIFPGAGGPEL</v>
          </cell>
          <cell r="G960" t="str">
            <v/>
          </cell>
          <cell r="H960" t="str">
            <v/>
          </cell>
          <cell r="I960" t="str">
            <v/>
          </cell>
          <cell r="J960" t="str">
            <v>Angiotensin converting enzyme inhibitory peptides derived from food proteins: biochemistry, bioactivity and production.; Antihypertensive peptides from food proteins: a review.; A new QSAR model, for angiotensin I-converting enzyme inhibitory oligopeptides.; Review on the angiotensin-I-converting enzyme (ACE) inhibitor peptides from marine proteins.; Isolation and characterization of peptides with antihypertensive activity in foodstuffs.</v>
          </cell>
          <cell r="K960" t="str">
            <v>10.2174/138161207780363068; 10.1039/c2fo10192k; 10.1016/j.foodchem.2012.09.092; 10.1007/s12010-012-0024-y; 10.1080/10408398.2012.664829</v>
          </cell>
          <cell r="L960" t="str">
            <v>17430180 22249830 23194537 23271625 24915368</v>
          </cell>
        </row>
        <row r="961">
          <cell r="F961" t="str">
            <v>MIFPGGPQL</v>
          </cell>
          <cell r="G961" t="str">
            <v/>
          </cell>
          <cell r="H961" t="str">
            <v/>
          </cell>
          <cell r="I961" t="str">
            <v/>
          </cell>
          <cell r="J961" t="str">
            <v>A new QSAR model, for angiotensin I-converting enzyme inhibitory oligopeptides.</v>
          </cell>
          <cell r="K961" t="str">
            <v>10.1016/j.foodchem.2012.09.092</v>
          </cell>
          <cell r="L961" t="str">
            <v>23194537</v>
          </cell>
        </row>
        <row r="962">
          <cell r="F962" t="str">
            <v>MIPAY</v>
          </cell>
          <cell r="G962" t="str">
            <v/>
          </cell>
          <cell r="H962" t="str">
            <v/>
          </cell>
          <cell r="I962" t="str">
            <v/>
          </cell>
          <cell r="J962" t="str">
            <v>Rational design of angiotensin-I-converting enzyme inhibitory peptides by integrating in silico modeling and an in vitro assay.</v>
          </cell>
          <cell r="K962" t="str">
            <v>10.1002/cmdc.201300132</v>
          </cell>
          <cell r="L962" t="str">
            <v>23740817</v>
          </cell>
        </row>
        <row r="963">
          <cell r="F963" t="str">
            <v>MKC</v>
          </cell>
          <cell r="G963" t="str">
            <v/>
          </cell>
          <cell r="H963" t="str">
            <v/>
          </cell>
          <cell r="I963" t="str">
            <v/>
          </cell>
          <cell r="J963" t="str">
            <v/>
          </cell>
          <cell r="K963" t="str">
            <v/>
          </cell>
          <cell r="L963" t="str">
            <v/>
          </cell>
        </row>
        <row r="964">
          <cell r="F964" t="str">
            <v>MKG</v>
          </cell>
          <cell r="G964" t="str">
            <v/>
          </cell>
          <cell r="H964" t="str">
            <v/>
          </cell>
          <cell r="I964" t="str">
            <v/>
          </cell>
          <cell r="J964" t="str">
            <v/>
          </cell>
          <cell r="K964" t="str">
            <v/>
          </cell>
          <cell r="L964" t="str">
            <v/>
          </cell>
        </row>
        <row r="965">
          <cell r="F965" t="str">
            <v>MKP</v>
          </cell>
          <cell r="G965" t="str">
            <v/>
          </cell>
          <cell r="H965" t="str">
            <v/>
          </cell>
          <cell r="I965" t="str">
            <v/>
          </cell>
          <cell r="J965" t="str">
            <v/>
          </cell>
          <cell r="K965" t="str">
            <v/>
          </cell>
          <cell r="L965" t="str">
            <v/>
          </cell>
        </row>
        <row r="966">
          <cell r="F966" t="str">
            <v>MKPWIQPK</v>
          </cell>
          <cell r="G966" t="str">
            <v/>
          </cell>
          <cell r="H966" t="str">
            <v/>
          </cell>
          <cell r="I966" t="str">
            <v/>
          </cell>
          <cell r="J966" t="str">
            <v>Identification of an antihypertensive peptide from casein hydrolysate produced by a proteinase from Lactobacillus helveticus CP790.; Identification of angiotensin-I-converting enzyme inhibitory peptides derived from sodium caseinate hydrolysates produced by Lactobacillus helveticus NCC 2765.; Antihypertensive peptides: production, bioavailability and incorporation into foods.; Antihypertensive peptides from food proteins: a review.; A new QSAR model, for angiotensin I-converting enzyme inhibitory oligopeptides.</v>
          </cell>
          <cell r="K966" t="str">
            <v>10.3168/jds.S0022-0302(96)76487-1; 10.1021/jf049510t; 10.1016/j.cis.2010.11.001; 10.1039/c2fo10192k; 10.1016/j.foodchem.2012.09.092</v>
          </cell>
          <cell r="L966" t="str">
            <v>8880454 15537298 21185549 22249830 23194537</v>
          </cell>
        </row>
        <row r="967">
          <cell r="F967" t="str">
            <v>MKR</v>
          </cell>
          <cell r="G967" t="str">
            <v/>
          </cell>
          <cell r="H967" t="str">
            <v/>
          </cell>
          <cell r="I967" t="str">
            <v/>
          </cell>
          <cell r="J967" t="str">
            <v>ACE inhibitory peptides and antioxidant peptides derived from in vitro digestion hydrolysate of hen egg white lysozyme.</v>
          </cell>
          <cell r="K967" t="str">
            <v>10.1016/j.foodchem.2012.05.059</v>
          </cell>
          <cell r="L967" t="str">
            <v>22953850</v>
          </cell>
        </row>
        <row r="968">
          <cell r="F968" t="str">
            <v>MKY</v>
          </cell>
          <cell r="G968" t="str">
            <v/>
          </cell>
          <cell r="H968" t="str">
            <v/>
          </cell>
          <cell r="I968" t="str">
            <v/>
          </cell>
          <cell r="J968" t="str">
            <v>Structural requirements of Angiotensin I-converting enzyme inhibitory peptides: quantitative structure-activity relationship study of di- and tripeptides.</v>
          </cell>
          <cell r="K968" t="str">
            <v>10.1021/jf051263l</v>
          </cell>
          <cell r="L968" t="str">
            <v>16448176</v>
          </cell>
        </row>
        <row r="969">
          <cell r="F969" t="str">
            <v>MLGQTPT</v>
          </cell>
          <cell r="G969" t="str">
            <v/>
          </cell>
          <cell r="H969" t="str">
            <v/>
          </cell>
          <cell r="I969" t="str">
            <v/>
          </cell>
          <cell r="J969" t="str">
            <v>Angiotensin I-converting enzyme inhibitory peptides generated from in vitro gastrointestinal digestion of pork meat.</v>
          </cell>
          <cell r="K969" t="str">
            <v>10.1021/jf904204n</v>
          </cell>
          <cell r="L969" t="str">
            <v>20151679</v>
          </cell>
        </row>
        <row r="970">
          <cell r="F970" t="str">
            <v>MLGQTPTK</v>
          </cell>
          <cell r="G970" t="str">
            <v/>
          </cell>
          <cell r="H970" t="str">
            <v/>
          </cell>
          <cell r="I970" t="str">
            <v/>
          </cell>
          <cell r="J970" t="str">
            <v>Inhibitory profile of nonapeptide derived from porcine troponin C against angiotensin I-converting enzyme.</v>
          </cell>
          <cell r="K970" t="str">
            <v>10.1021/jf0350865</v>
          </cell>
          <cell r="L970" t="str">
            <v>14969529</v>
          </cell>
        </row>
        <row r="971">
          <cell r="F971" t="str">
            <v>MLLCS</v>
          </cell>
          <cell r="G971" t="str">
            <v/>
          </cell>
          <cell r="H971" t="str">
            <v/>
          </cell>
          <cell r="I971" t="str">
            <v/>
          </cell>
          <cell r="J971" t="str">
            <v/>
          </cell>
          <cell r="K971" t="str">
            <v/>
          </cell>
          <cell r="L971" t="str">
            <v/>
          </cell>
        </row>
        <row r="972">
          <cell r="F972" t="str">
            <v>MLPAY</v>
          </cell>
          <cell r="G972" t="str">
            <v/>
          </cell>
          <cell r="H972" t="str">
            <v/>
          </cell>
          <cell r="I972" t="str">
            <v/>
          </cell>
          <cell r="J972" t="str">
            <v>Antihypertensive effect of angiotensin I-converting enzyme inhibitory peptides from a sesame protein hydrolysate in spontaneously hypertensive rats.; Vegetable foods: a cheap source of proteins and peptides with antihypertensive, antioxidant, and other less occurrence bioactivities.; Isolation and characterization of peptides with antihypertensive activity in foodstuffs.</v>
          </cell>
          <cell r="K972" t="str">
            <v>10.1271/bbb.70.1118; 10.1016/j.talanta.2012.12.041; 10.1080/10408398.2012.664829</v>
          </cell>
          <cell r="L972" t="str">
            <v>16717411 23598136 24915368</v>
          </cell>
        </row>
        <row r="973">
          <cell r="F973" t="str">
            <v>MMEPMVK</v>
          </cell>
          <cell r="G973" t="str">
            <v/>
          </cell>
          <cell r="H973" t="str">
            <v/>
          </cell>
          <cell r="I973" t="str">
            <v/>
          </cell>
          <cell r="J973" t="str">
            <v/>
          </cell>
          <cell r="K973" t="str">
            <v/>
          </cell>
          <cell r="L973" t="str">
            <v/>
          </cell>
        </row>
        <row r="974">
          <cell r="F974" t="str">
            <v>MMVPI</v>
          </cell>
          <cell r="G974" t="str">
            <v/>
          </cell>
          <cell r="H974" t="str">
            <v/>
          </cell>
          <cell r="I974" t="str">
            <v/>
          </cell>
          <cell r="J974" t="str">
            <v>Angiotensin I-converting enzyme inhibitory peptides generated from in vitro gastrointestinal digestion of pork meat.; Isolation and characterization of peptides with antihypertensive activity in foodstuffs.</v>
          </cell>
          <cell r="K974" t="str">
            <v>10.1021/jf904204n; 10.1080/10408398.2012.664829</v>
          </cell>
          <cell r="L974" t="str">
            <v>20151679 24915368</v>
          </cell>
        </row>
        <row r="975">
          <cell r="F975" t="str">
            <v>MNP</v>
          </cell>
          <cell r="G975" t="str">
            <v/>
          </cell>
          <cell r="H975" t="str">
            <v/>
          </cell>
          <cell r="I975" t="str">
            <v/>
          </cell>
          <cell r="J975" t="str">
            <v>Structural requirements of Angiotensin I-converting enzyme inhibitory peptides: quantitative structure-activity relationship study of di- and tripeptides.; Angiotensin-I converting enzyme inhibitory peptide derived from porcine skeletal muscle myosin and its antihypertensive activity in spontaneously hypertensive rats.; Peptide inhibitors for angiotensin I-converting enzyme from enzymatic hydrolysates of porcine skeletal muscle proteins.</v>
          </cell>
          <cell r="K975" t="str">
            <v>10.1021/jf051263l; 10.1111/j.1750-3841.2007.00571.x; 10.1016/s0309-1740(00)00108-x</v>
          </cell>
          <cell r="L975" t="str">
            <v>16448176 18034756 22061507</v>
          </cell>
        </row>
        <row r="976">
          <cell r="F976" t="str">
            <v>MNPPK</v>
          </cell>
          <cell r="G976" t="str">
            <v>porcine myosin</v>
          </cell>
          <cell r="H976" t="str">
            <v/>
          </cell>
          <cell r="I976" t="str">
            <v/>
          </cell>
          <cell r="J976" t="str">
            <v>Angiotensin-I converting enzyme inhibitory peptide derived from porcine skeletal muscle myosin and its antihypertensive activity in spontaneously hypertensive rats.; Angiotensin I-converting enzyme-inhibitory peptides obtained from chicken collagen hydrolysate.; Peptide inhibitors for angiotensin I-converting enzyme from enzymatic hydrolysates of porcine skeletal muscle proteins.; Antihypertensive peptides from food proteins: a review.; A new QSAR model, for angiotensin I-converting enzyme inhibitory oligopeptides.; Isolation and characterization of peptides with antihypertensive activity in foodstuffs.</v>
          </cell>
          <cell r="K976" t="str">
            <v>10.1111/j.1750-3841.2007.00571.x; 10.1021/jf072669w; 10.1016/s0309-1740(00)00108-x; 10.1039/c2fo10192k; 10.1016/j.foodchem.2012.09.092; 10.1080/10408398.2012.664829</v>
          </cell>
          <cell r="L976" t="str">
            <v>18034756 18808143 22061507 22249830 23194537 24915368</v>
          </cell>
        </row>
        <row r="977">
          <cell r="F977" t="str">
            <v>MNVKHWPWMK</v>
          </cell>
          <cell r="G977" t="str">
            <v/>
          </cell>
          <cell r="H977" t="str">
            <v/>
          </cell>
          <cell r="I977" t="str">
            <v/>
          </cell>
          <cell r="J977" t="str">
            <v>A new QSAR model, for angiotensin I-converting enzyme inhibitory oligopeptides.</v>
          </cell>
          <cell r="K977" t="str">
            <v>10.1016/j.foodchem.2012.09.092</v>
          </cell>
          <cell r="L977" t="str">
            <v>23194537</v>
          </cell>
        </row>
        <row r="978">
          <cell r="F978" t="str">
            <v>MPF</v>
          </cell>
          <cell r="G978" t="str">
            <v/>
          </cell>
          <cell r="H978" t="str">
            <v/>
          </cell>
          <cell r="I978" t="str">
            <v/>
          </cell>
          <cell r="J978" t="str">
            <v>Isolation and characterization of peptides with antihypertensive activity in foodstuffs.</v>
          </cell>
          <cell r="K978" t="str">
            <v>10.1080/10408398.2012.664829</v>
          </cell>
          <cell r="L978" t="str">
            <v>24915368</v>
          </cell>
        </row>
        <row r="979">
          <cell r="F979" t="str">
            <v>MPFPKYPVEP</v>
          </cell>
          <cell r="G979" t="str">
            <v/>
          </cell>
          <cell r="H979" t="str">
            <v/>
          </cell>
          <cell r="I979" t="str">
            <v/>
          </cell>
          <cell r="J979" t="str">
            <v>Casein fermentate of Lactobacillus animalis DPC6134 contains a range of novel propeptide angiotensin-converting enzyme inhibitors.; A new QSAR model, for angiotensin I-converting enzyme inhibitory oligopeptides.</v>
          </cell>
          <cell r="K979" t="str">
            <v>10.1128/AEM.00096-07; 10.1016/j.foodchem.2012.09.092</v>
          </cell>
          <cell r="L979" t="str">
            <v>17483275 23194537</v>
          </cell>
        </row>
        <row r="980">
          <cell r="F980" t="str">
            <v>MPFPKYPVQPF</v>
          </cell>
          <cell r="G980" t="str">
            <v/>
          </cell>
          <cell r="H980" t="str">
            <v/>
          </cell>
          <cell r="I980" t="str">
            <v/>
          </cell>
          <cell r="J980" t="str">
            <v>Isolation and structural analysis of antihypertensive peptides that exist naturally in Gouda cheese.; Isolation and characterization of peptides with antihypertensive activity in foodstuffs.</v>
          </cell>
          <cell r="K980" t="str">
            <v>10.3168/jds.S0022-0302(00)75013-2; 10.1080/10408398.2012.664829</v>
          </cell>
          <cell r="L980" t="str">
            <v>10908049 24915368</v>
          </cell>
        </row>
        <row r="981">
          <cell r="F981" t="str">
            <v>MPP</v>
          </cell>
          <cell r="G981" t="str">
            <v/>
          </cell>
          <cell r="H981" t="str">
            <v/>
          </cell>
          <cell r="I981" t="str">
            <v/>
          </cell>
          <cell r="J981" t="str">
            <v>Structural requirements of Angiotensin I-converting enzyme inhibitory peptides: quantitative structure-activity relationship study of di- and tripeptides.</v>
          </cell>
          <cell r="K981" t="str">
            <v>10.1021/jf051263l</v>
          </cell>
          <cell r="L981" t="str">
            <v>16448176</v>
          </cell>
        </row>
        <row r="982">
          <cell r="F982" t="str">
            <v>MRW</v>
          </cell>
          <cell r="G982" t="str">
            <v/>
          </cell>
          <cell r="H982" t="str">
            <v/>
          </cell>
          <cell r="I982" t="str">
            <v/>
          </cell>
          <cell r="J982" t="str">
            <v>Isolation and antihypertensive effect of angiotensin I-converting enzyme (ACE) inhibitory peptides from spinach Rubisco.; Met-Arg-Trp derived from Rubisco lowers blood pressure via prostaglandin D(2)-dependent vasorelaxation in spontaneously hypertensive rats.; Isolation and characterization of peptides with antihypertensive activity in foodstuffs.</v>
          </cell>
          <cell r="K982" t="str">
            <v>10.1021/jf026186y; 10.1016/j.peptides.2007.11.011; 10.1080/10408398.2012.664829</v>
          </cell>
          <cell r="L982" t="str">
            <v>12903942 18180074 24915368</v>
          </cell>
        </row>
        <row r="983">
          <cell r="F983" t="str">
            <v>MRWRD</v>
          </cell>
          <cell r="G983" t="str">
            <v/>
          </cell>
          <cell r="H983" t="str">
            <v/>
          </cell>
          <cell r="I983" t="str">
            <v/>
          </cell>
          <cell r="J983" t="str">
            <v>Isolation and antihypertensive effect of angiotensin I-converting enzyme (ACE) inhibitory peptides from spinach Rubisco.; A new QSAR model, for angiotensin I-converting enzyme inhibitory oligopeptides.; Vegetable foods: a cheap source of proteins and peptides with antihypertensive, antioxidant, and other less occurrence bioactivities.; Isolation and characterization of peptides with antihypertensive activity in foodstuffs.</v>
          </cell>
          <cell r="K983" t="str">
            <v>10.1021/jf026186y; 10.1016/j.foodchem.2012.09.092; 10.1016/j.talanta.2012.12.041; 10.1080/10408398.2012.664829</v>
          </cell>
          <cell r="L983" t="str">
            <v>12903942 23194537 23598136 24915368</v>
          </cell>
        </row>
        <row r="984">
          <cell r="F984" t="str">
            <v>MVGSAPGVL</v>
          </cell>
          <cell r="G984" t="str">
            <v/>
          </cell>
          <cell r="H984" t="str">
            <v/>
          </cell>
          <cell r="I984" t="str">
            <v/>
          </cell>
          <cell r="J984" t="str">
            <v>Active peptides from skate (Okamejei kenojei) skin gelatin diminish angiotensin-I converting enzyme activity and intracellular free radical-mediated oxidation.</v>
          </cell>
          <cell r="K984" t="str">
            <v>10.1016/j.foodchem.2013.07.067</v>
          </cell>
          <cell r="L984" t="str">
            <v>24054237</v>
          </cell>
        </row>
        <row r="985">
          <cell r="F985" t="str">
            <v>MW</v>
          </cell>
          <cell r="G985" t="str">
            <v/>
          </cell>
          <cell r="H985" t="str">
            <v/>
          </cell>
          <cell r="I985" t="str">
            <v/>
          </cell>
          <cell r="J985" t="str">
            <v>Structural requirements of Angiotensin I-converting enzyme inhibitory peptides: quantitative structure-activity relationship study of di- and tripeptides.; Antihypertensive peptides from food proteins: a review.; Review on the angiotensin-I-converting enzyme (ACE) inhibitor peptides from marine proteins.; What are the ideal properties for functional food peptides with antihypertensive effect? A computational peptidology approach.; Isolation and characterization of peptides with antihypertensive activity in foodstuffs.</v>
          </cell>
          <cell r="K985" t="str">
            <v>10.1021/jf051263l; 10.1039/c2fo10192k; 10.1007/s12010-012-0024-y; 10.1016/j.foodchem.2013.05.140; 10.1080/10408398.2012.664829</v>
          </cell>
          <cell r="L985" t="str">
            <v>16448176 22249830 23271625 23871047 24915368</v>
          </cell>
        </row>
        <row r="986">
          <cell r="F986" t="str">
            <v>MY</v>
          </cell>
          <cell r="G986" t="str">
            <v/>
          </cell>
          <cell r="H986" t="str">
            <v/>
          </cell>
          <cell r="I986" t="str">
            <v/>
          </cell>
          <cell r="J986" t="str">
            <v>Angiotensin I-converting enzyme inhibitory peptides in an alkaline protease hydrolyzate derived from sardine muscle.; Structural requirements of Angiotensin I-converting enzyme inhibitory peptides: quantitative structure-activity relationship study of di- and tripeptides.; Bioactive peptides in amaranth (Amaranthus hypochondriacus) seed.; Review on the angiotensin-I-converting enzyme (ACE) inhibitor peptides from marine proteins.; What are the ideal properties for functional food peptides with antihypertensive effect? A computational peptidology approach.</v>
          </cell>
          <cell r="K986" t="str">
            <v>10.1271/bbb.58.2244; 10.1021/jf051263l; 10.1021/jf072911z; 10.1007/s12010-012-0024-y; 10.1016/j.foodchem.2013.05.140</v>
          </cell>
          <cell r="L986" t="str">
            <v>7765718 16448176 18211015 23271625 23871047</v>
          </cell>
        </row>
        <row r="987">
          <cell r="F987" t="str">
            <v>MYPGIA</v>
          </cell>
          <cell r="G987" t="str">
            <v/>
          </cell>
          <cell r="H987" t="str">
            <v/>
          </cell>
          <cell r="I987" t="str">
            <v/>
          </cell>
          <cell r="J987" t="str">
            <v>Angiotensin I-converting enzyme inhibitory peptides generated from in vitro gastrointestinal digestion of pork meat.; A new QSAR model, for angiotensin I-converting enzyme inhibitory oligopeptides.; Isolation and characterization of peptides with antihypertensive activity in foodstuffs.</v>
          </cell>
          <cell r="K987" t="str">
            <v>10.1021/jf904204n; 10.1016/j.foodchem.2012.09.092; 10.1080/10408398.2012.664829</v>
          </cell>
          <cell r="L987" t="str">
            <v>20151679 23194537 24915368</v>
          </cell>
        </row>
        <row r="988">
          <cell r="F988" t="str">
            <v>MYY</v>
          </cell>
          <cell r="G988" t="str">
            <v/>
          </cell>
          <cell r="H988" t="str">
            <v/>
          </cell>
          <cell r="I988" t="str">
            <v/>
          </cell>
          <cell r="J988" t="str">
            <v>Inhibition of angiotensin-converting enzyme by synthetic peptide fragments of human kappa-casein.; What are the ideal properties for functional food peptides with antihypertensive effect? A computational peptidology approach.</v>
          </cell>
          <cell r="K988" t="str">
            <v>10.1016/j.foodchem.2013.05.140</v>
          </cell>
          <cell r="L988" t="str">
            <v>1368540 23871047</v>
          </cell>
        </row>
        <row r="989">
          <cell r="F989" t="str">
            <v>NAGPFTPTVNREQLSTS</v>
          </cell>
          <cell r="G989" t="str">
            <v/>
          </cell>
          <cell r="H989" t="str">
            <v/>
          </cell>
          <cell r="I989" t="str">
            <v/>
          </cell>
          <cell r="J989" t="str">
            <v/>
          </cell>
          <cell r="K989" t="str">
            <v/>
          </cell>
          <cell r="L989" t="str">
            <v/>
          </cell>
        </row>
        <row r="990">
          <cell r="F990" t="str">
            <v>NAQRP</v>
          </cell>
          <cell r="G990" t="str">
            <v/>
          </cell>
          <cell r="H990" t="str">
            <v/>
          </cell>
          <cell r="I990" t="str">
            <v/>
          </cell>
          <cell r="J990" t="str">
            <v>Glycinyl-histidinyl-serine (GHS), a novel rapeseed protein-derived peptide has blood pressure-lowering effect in spontaneously hypertensive rats.</v>
          </cell>
          <cell r="K990" t="str">
            <v>10.1021/jf400865m</v>
          </cell>
          <cell r="L990" t="str">
            <v>23919612</v>
          </cell>
        </row>
        <row r="991">
          <cell r="F991" t="str">
            <v>NELSKDI</v>
          </cell>
          <cell r="G991" t="str">
            <v/>
          </cell>
          <cell r="H991" t="str">
            <v/>
          </cell>
          <cell r="I991" t="str">
            <v/>
          </cell>
          <cell r="J991" t="str">
            <v>Hot topic: Changes in angiotensin-converting enzyme inhibition and concentrations of the tripeptides Val-Pro-Pro and Ile-Pro-Pro during ripening of different Swiss cheese varieties.</v>
          </cell>
          <cell r="K991" t="str">
            <v>10.3168/jds.2008-1531</v>
          </cell>
          <cell r="L991" t="str">
            <v>19233775</v>
          </cell>
        </row>
        <row r="992">
          <cell r="F992" t="str">
            <v>NENLLRFFVAPFPE</v>
          </cell>
          <cell r="G992" t="str">
            <v/>
          </cell>
          <cell r="H992" t="str">
            <v/>
          </cell>
          <cell r="I992" t="str">
            <v/>
          </cell>
          <cell r="J992" t="str">
            <v>Identification of angiotensin-I-converting enzyme inhibitory peptides derived from sodium caseinate hydrolysates produced by Lactobacillus helveticus NCC 2765.</v>
          </cell>
          <cell r="K992" t="str">
            <v>10.1021/jf049510t</v>
          </cell>
          <cell r="L992" t="str">
            <v>15537298</v>
          </cell>
        </row>
        <row r="993">
          <cell r="F993" t="str">
            <v>NENLLRFFVAPFPEVFG</v>
          </cell>
          <cell r="G993" t="str">
            <v/>
          </cell>
          <cell r="H993" t="str">
            <v/>
          </cell>
          <cell r="I993" t="str">
            <v/>
          </cell>
          <cell r="J993" t="str">
            <v>Identification of angiotensin-I-converting enzyme inhibitory peptides derived from sodium caseinate hydrolysates produced by Lactobacillus helveticus NCC 2765.</v>
          </cell>
          <cell r="K993" t="str">
            <v>10.1021/jf049510t</v>
          </cell>
          <cell r="L993" t="str">
            <v>15537298</v>
          </cell>
        </row>
        <row r="994">
          <cell r="F994" t="str">
            <v>NF</v>
          </cell>
          <cell r="G994" t="str">
            <v>garlic</v>
          </cell>
          <cell r="H994" t="str">
            <v/>
          </cell>
          <cell r="I994" t="str">
            <v/>
          </cell>
          <cell r="J994" t="str">
            <v>Structural requirements of Angiotensin I-converting enzyme inhibitory peptides: quantitative structure-activity relationship study of di- and tripeptides.; Max-E47, a designed minimalist protein that targets the E-box DNA site in vivo and in vitro.;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Isolation and characterization of peptides with antihypertensive activity in foodstuffs.</v>
          </cell>
          <cell r="K994" t="str">
            <v>10.1021/jf051263l; 10.1021/ja901306q; 10.1016/j.talanta.2012.12.041; 10.1016/j.jprot.2013.06.023; 10.1080/10408398.2012.664829</v>
          </cell>
          <cell r="L994" t="str">
            <v>16448176 19449889 23598136 23806758 24915368</v>
          </cell>
        </row>
        <row r="995">
          <cell r="F995" t="str">
            <v>NG</v>
          </cell>
          <cell r="G995" t="str">
            <v/>
          </cell>
          <cell r="H995" t="str">
            <v/>
          </cell>
          <cell r="I995" t="str">
            <v/>
          </cell>
          <cell r="J995" t="str">
            <v/>
          </cell>
          <cell r="K995" t="str">
            <v/>
          </cell>
          <cell r="L995" t="str">
            <v/>
          </cell>
        </row>
        <row r="996">
          <cell r="F996" t="str">
            <v>NHRNRMMDHVH</v>
          </cell>
          <cell r="G996" t="str">
            <v/>
          </cell>
          <cell r="H996" t="str">
            <v/>
          </cell>
          <cell r="I996" t="str">
            <v/>
          </cell>
          <cell r="J996" t="str">
            <v>Identification of angiotensin I-converting enzyme inhibitory peptides from koumiss, a traditional fermented mare's milk.</v>
          </cell>
          <cell r="K996" t="str">
            <v>10.3168/jds.2009-2672</v>
          </cell>
          <cell r="L996" t="str">
            <v>20172208</v>
          </cell>
        </row>
        <row r="997">
          <cell r="F997" t="str">
            <v>NIDTDI</v>
          </cell>
          <cell r="G997" t="str">
            <v/>
          </cell>
          <cell r="H997" t="str">
            <v/>
          </cell>
          <cell r="I997" t="str">
            <v/>
          </cell>
          <cell r="J997" t="str">
            <v>Release of angiotensin I-converting enzyme inhibitory peptides from flaxseed (Linum usitatissimum L.) protein under simulated gastrointestinal digestion.</v>
          </cell>
          <cell r="K997" t="str">
            <v>10.1021/jf202000e</v>
          </cell>
          <cell r="L997" t="str">
            <v>21776963</v>
          </cell>
        </row>
        <row r="998">
          <cell r="F998" t="str">
            <v>NIDTDL</v>
          </cell>
          <cell r="G998" t="str">
            <v/>
          </cell>
          <cell r="H998" t="str">
            <v/>
          </cell>
          <cell r="I998" t="str">
            <v/>
          </cell>
          <cell r="J998" t="str">
            <v>Release of angiotensin I-converting enzyme inhibitory peptides from flaxseed (Linum usitatissimum L.) protein under simulated gastrointestinal digestion.</v>
          </cell>
          <cell r="K998" t="str">
            <v>10.1021/jf202000e</v>
          </cell>
          <cell r="L998" t="str">
            <v>21776963</v>
          </cell>
        </row>
        <row r="999">
          <cell r="F999" t="str">
            <v>NIFYCP</v>
          </cell>
          <cell r="G999" t="str">
            <v>ovalbumin</v>
          </cell>
          <cell r="H999" t="str">
            <v/>
          </cell>
          <cell r="I999" t="str">
            <v/>
          </cell>
          <cell r="J999" t="str">
            <v>Angiotensin I converting enzyme inhibitory peptides from simulated in vitro gastrointestinal digestion of cooked eggs.; A new QSAR model, for angiotensin I-converting enzyme inhibitory oligopeptides.; Isolation and characterization of peptides with antihypertensive activity in foodstuffs.</v>
          </cell>
          <cell r="K999" t="str">
            <v>10.1021/jf8028557; 10.1016/j.foodchem.2012.09.092; 10.1080/10408398.2012.664829</v>
          </cell>
          <cell r="L999" t="str">
            <v>19154160 23194537 24915368</v>
          </cell>
        </row>
        <row r="1000">
          <cell r="F1000" t="str">
            <v>NIIPA</v>
          </cell>
          <cell r="G1000" t="str">
            <v/>
          </cell>
          <cell r="H1000" t="str">
            <v/>
          </cell>
          <cell r="I1000" t="str">
            <v/>
          </cell>
          <cell r="J1000" t="str">
            <v>Angiotensin I-converting enzyme inhibitory peptides generated from in vitro gastrointestinal digestion of pork meat.; Isolation and characterization of peptides with antihypertensive activity in foodstuffs.</v>
          </cell>
          <cell r="K1000" t="str">
            <v>10.1021/jf904204n; 10.1080/10408398.2012.664829</v>
          </cell>
          <cell r="L1000" t="str">
            <v>20151679 24915368</v>
          </cell>
        </row>
        <row r="1001">
          <cell r="F1001" t="str">
            <v>NILP</v>
          </cell>
          <cell r="G1001" t="str">
            <v/>
          </cell>
          <cell r="H1001" t="str">
            <v/>
          </cell>
          <cell r="I1001" t="str">
            <v/>
          </cell>
          <cell r="J1001" t="str">
            <v>Inhibition of angiotensin-converting enzyme by synthetic peptide fragments of various beta-caseins.; What are the ideal properties for functional food peptides with antihypertensive effect? A computational peptidology approach.</v>
          </cell>
          <cell r="K1001" t="str">
            <v>10.1016/j.foodchem.2013.05.140</v>
          </cell>
          <cell r="L1001" t="str">
            <v>1368548 23871047</v>
          </cell>
        </row>
        <row r="1002">
          <cell r="F1002" t="str">
            <v>NIPPLTQTPV</v>
          </cell>
          <cell r="G1002" t="str">
            <v/>
          </cell>
          <cell r="H1002" t="str">
            <v/>
          </cell>
          <cell r="I1002" t="str">
            <v/>
          </cell>
          <cell r="J1002" t="str">
            <v>A new QSAR model, for angiotensin I-converting enzyme inhibitory oligopeptides.</v>
          </cell>
          <cell r="K1002" t="str">
            <v>10.1016/j.foodchem.2012.09.092</v>
          </cell>
          <cell r="L1002" t="str">
            <v>23194537</v>
          </cell>
        </row>
        <row r="1003">
          <cell r="F1003" t="str">
            <v>NIPPLTQTPVVVPPFIQ</v>
          </cell>
          <cell r="G1003" t="str">
            <v/>
          </cell>
          <cell r="H1003" t="str">
            <v/>
          </cell>
          <cell r="I1003" t="str">
            <v/>
          </cell>
          <cell r="J1003" t="str">
            <v>Casein fermentate of Lactobacillus animalis DPC6134 contains a range of novel propeptide angiotensin-converting enzyme inhibitors.; A new QSAR model, for angiotensin I-converting enzyme inhibitory oligopeptides.</v>
          </cell>
          <cell r="K1003" t="str">
            <v>10.1128/AEM.00096-07; 10.1016/j.foodchem.2012.09.092</v>
          </cell>
          <cell r="L1003" t="str">
            <v>17483275 23194537</v>
          </cell>
        </row>
        <row r="1004">
          <cell r="F1004" t="str">
            <v>NIPPLTQTPVVVPPFIQPEVMGVSK</v>
          </cell>
          <cell r="G1004" t="str">
            <v/>
          </cell>
          <cell r="H1004" t="str">
            <v/>
          </cell>
          <cell r="I1004" t="str">
            <v/>
          </cell>
          <cell r="J1004" t="str">
            <v>Casein fermentate of Lactobacillus animalis DPC6134 contains a range of novel propeptide angiotensin-converting enzyme inhibitors.</v>
          </cell>
          <cell r="K1004" t="str">
            <v>10.1128/AEM.00096-07</v>
          </cell>
          <cell r="L1004" t="str">
            <v>17483275</v>
          </cell>
        </row>
        <row r="1005">
          <cell r="F1005" t="str">
            <v>NK</v>
          </cell>
          <cell r="G1005" t="str">
            <v/>
          </cell>
          <cell r="H1005" t="str">
            <v/>
          </cell>
          <cell r="I1005" t="str">
            <v/>
          </cell>
          <cell r="J1005" t="str">
            <v>Peptides with angiotensin I converting enzyme (ACE) inhibitory activity generated from porcine skeletal muscle proteins by the action of meat-borne Lactobacillus.</v>
          </cell>
          <cell r="K1005" t="str">
            <v>10.1016/j.jprot.2013.06.023</v>
          </cell>
          <cell r="L1005" t="str">
            <v>23806758</v>
          </cell>
        </row>
        <row r="1006">
          <cell r="F1006" t="str">
            <v>NKL</v>
          </cell>
          <cell r="G1006" t="str">
            <v/>
          </cell>
          <cell r="H1006" t="str">
            <v/>
          </cell>
          <cell r="I1006" t="str">
            <v/>
          </cell>
          <cell r="J1006" t="str">
            <v/>
          </cell>
          <cell r="K1006" t="str">
            <v/>
          </cell>
          <cell r="L1006" t="str">
            <v/>
          </cell>
        </row>
        <row r="1007">
          <cell r="F1007" t="str">
            <v>NLAPFL</v>
          </cell>
          <cell r="G1007" t="str">
            <v/>
          </cell>
          <cell r="H1007" t="str">
            <v/>
          </cell>
          <cell r="I1007" t="str">
            <v/>
          </cell>
          <cell r="J1007" t="str">
            <v>Isolation and characterization of peptides with antihypertensive activity in foodstuffs.</v>
          </cell>
          <cell r="K1007" t="str">
            <v>10.1080/10408398.2012.664829</v>
          </cell>
          <cell r="L1007" t="str">
            <v>24915368</v>
          </cell>
        </row>
        <row r="1008">
          <cell r="F1008" t="str">
            <v>NLDTDI</v>
          </cell>
          <cell r="G1008" t="str">
            <v/>
          </cell>
          <cell r="H1008" t="str">
            <v/>
          </cell>
          <cell r="I1008" t="str">
            <v/>
          </cell>
          <cell r="J1008" t="str">
            <v>Release of angiotensin I-converting enzyme inhibitory peptides from flaxseed (Linum usitatissimum L.) protein under simulated gastrointestinal digestion.</v>
          </cell>
          <cell r="K1008" t="str">
            <v>10.1021/jf202000e</v>
          </cell>
          <cell r="L1008" t="str">
            <v>21776963</v>
          </cell>
        </row>
        <row r="1009">
          <cell r="F1009" t="str">
            <v>NLDTDL</v>
          </cell>
          <cell r="G1009" t="str">
            <v/>
          </cell>
          <cell r="H1009" t="str">
            <v/>
          </cell>
          <cell r="I1009" t="str">
            <v/>
          </cell>
          <cell r="J1009" t="str">
            <v>Release of angiotensin I-converting enzyme inhibitory peptides from flaxseed (Linum usitatissimum L.) protein under simulated gastrointestinal digestion.</v>
          </cell>
          <cell r="K1009" t="str">
            <v>10.1021/jf202000e</v>
          </cell>
          <cell r="L1009" t="str">
            <v>21776963</v>
          </cell>
        </row>
        <row r="1010">
          <cell r="F1010" t="str">
            <v>NLHLP</v>
          </cell>
          <cell r="G1010" t="str">
            <v/>
          </cell>
          <cell r="H1010" t="str">
            <v/>
          </cell>
          <cell r="I1010" t="str">
            <v/>
          </cell>
          <cell r="J1010" t="str">
            <v>Inhibition of angiotensin-converting enzyme by synthetic peptide fragments of various beta-caseins.; A new QSAR model, for angiotensin I-converting enzyme inhibitory oligopeptides.</v>
          </cell>
          <cell r="K1010" t="str">
            <v>10.1016/j.foodchem.2012.09.092</v>
          </cell>
          <cell r="L1010" t="str">
            <v>1368548 23194537</v>
          </cell>
        </row>
        <row r="1011">
          <cell r="F1011" t="str">
            <v>NLHLPLP</v>
          </cell>
          <cell r="G1011" t="str">
            <v/>
          </cell>
          <cell r="H1011" t="str">
            <v/>
          </cell>
          <cell r="I1011" t="str">
            <v/>
          </cell>
          <cell r="J1011" t="str">
            <v>Inhibition of angiotensin-converting enzyme by synthetic peptide fragments of various beta-caseins.</v>
          </cell>
          <cell r="K1011" t="str">
            <v/>
          </cell>
          <cell r="L1011" t="str">
            <v>1368548</v>
          </cell>
        </row>
        <row r="1012">
          <cell r="F1012" t="str">
            <v>NLHLPLPLL</v>
          </cell>
          <cell r="G1012" t="str">
            <v/>
          </cell>
          <cell r="H1012" t="str">
            <v/>
          </cell>
          <cell r="I1012" t="str">
            <v/>
          </cell>
          <cell r="J1012" t="str">
            <v>Identification of angiotensin-I-converting enzyme inhibitory peptides derived from sodium caseinate hydrolysates produced by Lactobacillus helveticus NCC 2765.</v>
          </cell>
          <cell r="K1012" t="str">
            <v>10.1021/jf049510t</v>
          </cell>
          <cell r="L1012" t="str">
            <v>15537298</v>
          </cell>
        </row>
        <row r="1013">
          <cell r="F1013" t="str">
            <v>NMAINPSK</v>
          </cell>
          <cell r="G1013" t="str">
            <v/>
          </cell>
          <cell r="H1013" t="str">
            <v/>
          </cell>
          <cell r="I1013" t="str">
            <v/>
          </cell>
          <cell r="J1013" t="str">
            <v>Angiotensin converting enzyme inhibitory peptides derived from food proteins: biochemistry, bioactivity and production.; A new QSAR model, for angiotensin I-converting enzyme inhibitory oligopeptides.</v>
          </cell>
          <cell r="K1013" t="str">
            <v>10.2174/138161207780363068; 10.1016/j.foodchem.2012.09.092</v>
          </cell>
          <cell r="L1013" t="str">
            <v>17430180 23194537</v>
          </cell>
        </row>
        <row r="1014">
          <cell r="F1014" t="str">
            <v>NNVMLQW</v>
          </cell>
          <cell r="G1014" t="str">
            <v/>
          </cell>
          <cell r="H1014" t="str">
            <v/>
          </cell>
          <cell r="I1014" t="str">
            <v/>
          </cell>
          <cell r="J1014" t="str">
            <v>A new QSAR model, for angiotensin I-converting enzyme inhibitory oligopeptides.</v>
          </cell>
          <cell r="K1014" t="str">
            <v>10.1016/j.foodchem.2012.09.092</v>
          </cell>
          <cell r="L1014" t="str">
            <v>23194537</v>
          </cell>
        </row>
        <row r="1015">
          <cell r="F1015" t="str">
            <v>NP</v>
          </cell>
          <cell r="G1015" t="str">
            <v/>
          </cell>
          <cell r="H1015" t="str">
            <v/>
          </cell>
          <cell r="I1015" t="str">
            <v/>
          </cell>
          <cell r="J1015" t="str">
            <v>Angiotensin I-converting enzyme inhibitory activity and insulin secretion stimulative activity of fermented fish sauce.; Structural requirements of Angiotensin I-converting enzyme inhibitory peptides: quantitative structure-activity relationship study of di- and tripeptides.; What are the ideal properties for functional food peptides with antihypertensive effect? A computational peptidology approach.</v>
          </cell>
          <cell r="K1015" t="str">
            <v>10.1016/S1389-1723(03)70138-8; 10.1021/jf051263l; 10.1016/j.foodchem.2013.05.140</v>
          </cell>
          <cell r="L1015" t="str">
            <v>16233562 16448176 23871047</v>
          </cell>
        </row>
        <row r="1016">
          <cell r="F1016" t="str">
            <v>NPAVVRP</v>
          </cell>
          <cell r="G1016" t="str">
            <v/>
          </cell>
          <cell r="H1016" t="str">
            <v/>
          </cell>
          <cell r="I1016" t="str">
            <v/>
          </cell>
          <cell r="J1016" t="str">
            <v>Inhibition of angiotensin-converting enzyme by synthetic peptide fragments of human kappa-casein.</v>
          </cell>
          <cell r="K1016" t="str">
            <v/>
          </cell>
          <cell r="L1016" t="str">
            <v>1368540</v>
          </cell>
        </row>
        <row r="1017">
          <cell r="F1017" t="str">
            <v>NPP</v>
          </cell>
          <cell r="G1017" t="str">
            <v/>
          </cell>
          <cell r="H1017" t="str">
            <v/>
          </cell>
          <cell r="I1017" t="str">
            <v/>
          </cell>
          <cell r="J1017" t="str">
            <v>Structural requirements of Angiotensin I-converting enzyme inhibitory peptides: quantitative structure-activity relationship study of di- and tripeptides.; Peptide inhibitors for angiotensin I-converting enzyme from enzymatic hydrolysates of porcine skeletal muscle proteins.</v>
          </cell>
          <cell r="K1017" t="str">
            <v>10.1021/jf051263l; 10.1016/s0309-1740(00)00108-x</v>
          </cell>
          <cell r="L1017" t="str">
            <v>16448176 22061507</v>
          </cell>
        </row>
        <row r="1018">
          <cell r="F1018" t="str">
            <v>NPPHQIYP</v>
          </cell>
          <cell r="G1018" t="str">
            <v/>
          </cell>
          <cell r="H1018" t="str">
            <v/>
          </cell>
          <cell r="I1018" t="str">
            <v/>
          </cell>
          <cell r="J1018" t="str">
            <v>Inhibition of angiotensin-converting enzyme by synthetic peptide fragments of various beta-caseins.</v>
          </cell>
          <cell r="K1018" t="str">
            <v/>
          </cell>
          <cell r="L1018" t="str">
            <v>1368548</v>
          </cell>
        </row>
        <row r="1019">
          <cell r="F1019" t="str">
            <v>NQFLP</v>
          </cell>
          <cell r="G1019" t="str">
            <v/>
          </cell>
          <cell r="H1019" t="str">
            <v/>
          </cell>
          <cell r="I1019" t="str">
            <v/>
          </cell>
          <cell r="J1019" t="str">
            <v/>
          </cell>
          <cell r="K1019" t="str">
            <v/>
          </cell>
          <cell r="L1019" t="str">
            <v/>
          </cell>
        </row>
        <row r="1020">
          <cell r="F1020" t="str">
            <v>NRVYVHPF</v>
          </cell>
          <cell r="G1020" t="str">
            <v/>
          </cell>
          <cell r="H1020" t="str">
            <v/>
          </cell>
          <cell r="I1020" t="str">
            <v/>
          </cell>
          <cell r="J1020" t="str">
            <v>Spectrophotometric assay and properties of the angiotensin-converting enzyme of rabbit lung.</v>
          </cell>
          <cell r="K1020" t="str">
            <v>10.1016/0006-2952(71)90292-9</v>
          </cell>
          <cell r="L1020" t="str">
            <v>4355305</v>
          </cell>
        </row>
        <row r="1021">
          <cell r="F1021" t="str">
            <v>NSAEER</v>
          </cell>
          <cell r="G1021" t="str">
            <v/>
          </cell>
          <cell r="H1021" t="str">
            <v/>
          </cell>
          <cell r="I1021" t="str">
            <v/>
          </cell>
          <cell r="J1021" t="str">
            <v>Hot topic: Changes in angiotensin-converting enzyme inhibition and concentrations of the tripeptides Val-Pro-Pro and Ile-Pro-Pro during ripening of different Swiss cheese varieties.</v>
          </cell>
          <cell r="K1021" t="str">
            <v>10.3168/jds.2008-1531</v>
          </cell>
          <cell r="L1021" t="str">
            <v>19233775</v>
          </cell>
        </row>
        <row r="1022">
          <cell r="F1022" t="str">
            <v>NVPGEIVE</v>
          </cell>
          <cell r="G1022" t="str">
            <v/>
          </cell>
          <cell r="H1022" t="str">
            <v/>
          </cell>
          <cell r="I1022" t="str">
            <v/>
          </cell>
          <cell r="J1022" t="str">
            <v/>
          </cell>
          <cell r="K1022" t="str">
            <v/>
          </cell>
          <cell r="L1022" t="str">
            <v/>
          </cell>
        </row>
        <row r="1023">
          <cell r="F1023" t="str">
            <v>NVPGEIVESL</v>
          </cell>
          <cell r="G1023" t="str">
            <v/>
          </cell>
          <cell r="H1023" t="str">
            <v/>
          </cell>
          <cell r="I1023" t="str">
            <v/>
          </cell>
          <cell r="J1023" t="str">
            <v>Casein fermentate of Lactobacillus animalis DPC6134 contains a range of novel propeptide angiotensin-converting enzyme inhibitors.</v>
          </cell>
          <cell r="K1023" t="str">
            <v>10.1128/AEM.00096-07</v>
          </cell>
          <cell r="L1023" t="str">
            <v>17483275</v>
          </cell>
        </row>
        <row r="1024">
          <cell r="F1024" t="str">
            <v>NVR</v>
          </cell>
          <cell r="G1024" t="str">
            <v/>
          </cell>
          <cell r="H1024" t="str">
            <v/>
          </cell>
          <cell r="I1024" t="str">
            <v/>
          </cell>
          <cell r="J1024" t="str">
            <v>Angiotensin I-converting enzyme inhibitory peptides generated from in vitro gastrointestinal digestion of pork meat.; Isolation and characterization of peptides with antihypertensive activity in foodstuffs.</v>
          </cell>
          <cell r="K1024" t="str">
            <v>10.1021/jf904204n; 10.1080/10408398.2012.664829</v>
          </cell>
          <cell r="L1024" t="str">
            <v>20151679 24915368</v>
          </cell>
        </row>
        <row r="1025">
          <cell r="F1025" t="str">
            <v>NWGPLV</v>
          </cell>
          <cell r="G1025" t="str">
            <v>Soy protein</v>
          </cell>
          <cell r="H1025" t="str">
            <v/>
          </cell>
          <cell r="I1025" t="str">
            <v/>
          </cell>
          <cell r="J1025" t="str">
            <v>A new QSAR model, for angiotensin I-converting enzyme inhibitory oligopeptides.; Vegetable foods: a cheap source of proteins and peptides with antihypertensive, antioxidant, and other less occurrence bioactivities.</v>
          </cell>
          <cell r="K1025" t="str">
            <v>10.1016/j.foodchem.2012.09.092; 10.1016/j.talanta.2012.12.041</v>
          </cell>
          <cell r="L1025" t="str">
            <v>23194537 23598136</v>
          </cell>
        </row>
        <row r="1026">
          <cell r="F1026" t="str">
            <v>NY</v>
          </cell>
          <cell r="G1026" t="str">
            <v>garlic</v>
          </cell>
          <cell r="H1026" t="str">
            <v/>
          </cell>
          <cell r="I1026" t="str">
            <v/>
          </cell>
          <cell r="J1026" t="str">
            <v>Structural requirements of Angiotensin I-converting enzyme inhibitory peptides: quantitative structure-activity relationship study of di- and tripeptides.; Max-E47, a designed minimalist protein that targets the E-box DNA site in vivo and in vitro.;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ell>
          <cell r="K1026" t="str">
            <v>10.1021/jf051263l; 10.1021/ja901306q; 10.1016/j.talanta.2012.12.041; 10.1016/j.jprot.2013.06.023; 10.1016/j.foodchem.2013.05.140; 10.1080/10408398.2012.664829</v>
          </cell>
          <cell r="L1026" t="str">
            <v>16448176 19449889 23598136 23806758 23871047 24915368</v>
          </cell>
        </row>
        <row r="1027">
          <cell r="F1027" t="str">
            <v>PA</v>
          </cell>
          <cell r="G1027" t="str">
            <v/>
          </cell>
          <cell r="H1027" t="str">
            <v/>
          </cell>
          <cell r="I1027" t="str">
            <v/>
          </cell>
          <cell r="J1027" t="str">
            <v>Three-dimensional holograph vector of atomic interaction field (3D-HoVAIF): a novel rotation-translation invariant 3D structure descriptor and its applications to peptides.</v>
          </cell>
          <cell r="K1027" t="str">
            <v>10.1002/psc.892</v>
          </cell>
          <cell r="L1027" t="str">
            <v>17654623</v>
          </cell>
        </row>
        <row r="1028">
          <cell r="F1028" t="str">
            <v>PAGPVG</v>
          </cell>
          <cell r="G1028" t="str">
            <v/>
          </cell>
          <cell r="H1028" t="str">
            <v/>
          </cell>
          <cell r="I1028" t="str">
            <v/>
          </cell>
          <cell r="J1028" t="str">
            <v>Isolation and characterization of peptides with antihypertensive activity in foodstuffs.</v>
          </cell>
          <cell r="K1028" t="str">
            <v>10.1080/10408398.2012.664829</v>
          </cell>
          <cell r="L1028" t="str">
            <v>24915368</v>
          </cell>
        </row>
        <row r="1029">
          <cell r="F1029" t="str">
            <v>PAHIAW</v>
          </cell>
          <cell r="G1029" t="str">
            <v/>
          </cell>
          <cell r="H1029" t="str">
            <v/>
          </cell>
          <cell r="I1029" t="str">
            <v/>
          </cell>
          <cell r="J1029" t="str">
            <v>Potent synthetic analogues of angiotensin-converting enzyme inhibitor derived from Tuna muscle.</v>
          </cell>
          <cell r="K1029" t="str">
            <v/>
          </cell>
          <cell r="L1029" t="str">
            <v>1368734</v>
          </cell>
        </row>
        <row r="1030">
          <cell r="F1030" t="str">
            <v>PANIKWGD</v>
          </cell>
          <cell r="G1030" t="str">
            <v/>
          </cell>
          <cell r="H1030" t="str">
            <v/>
          </cell>
          <cell r="I1030" t="str">
            <v/>
          </cell>
          <cell r="J1030" t="str">
            <v>Induction of angiotensin-converting enzyme inhibitory activity by acid-limited proteolysis of glyceraldehyde 3-phosphate dehydrogenase.; A new QSAR model, for angiotensin I-converting enzyme inhibitory oligopeptides.</v>
          </cell>
          <cell r="K1030" t="str">
            <v>10.1016/0006-291x(89)92620-x; 10.1016/j.foodchem.2012.09.092</v>
          </cell>
          <cell r="L1030" t="str">
            <v>2660788 23194537</v>
          </cell>
        </row>
        <row r="1031">
          <cell r="F1031" t="str">
            <v>PANLPWGSSNV</v>
          </cell>
          <cell r="G1031" t="str">
            <v/>
          </cell>
          <cell r="H1031" t="str">
            <v/>
          </cell>
          <cell r="I1031" t="str">
            <v/>
          </cell>
          <cell r="J1031" t="str">
            <v>Production of angiotensin-converting enzyme inhibitors from baker's yeast glyceraldehyde-3-phosphate dehydrogenase.; A new QSAR model, for angiotensin I-converting enzyme inhibitory oligopeptides.</v>
          </cell>
          <cell r="K1031" t="str">
            <v>10.1248/bpb1978.13.766; 10.1016/j.foodchem.2012.09.092</v>
          </cell>
          <cell r="L1031" t="str">
            <v>2098549 23194537</v>
          </cell>
        </row>
        <row r="1032">
          <cell r="F1032" t="str">
            <v>PAP</v>
          </cell>
          <cell r="G1032" t="str">
            <v/>
          </cell>
          <cell r="H1032" t="str">
            <v/>
          </cell>
          <cell r="I1032" t="str">
            <v/>
          </cell>
          <cell r="J1032" t="str">
            <v>Inhibition of angiotensin-converting enzyme by synthetic peptide fragments of human kappa-casein.; What are the ideal properties for functional food peptides with antihypertensive effect? A computational peptidology approach.</v>
          </cell>
          <cell r="K1032" t="str">
            <v>10.1016/j.foodchem.2013.05.140</v>
          </cell>
          <cell r="L1032" t="str">
            <v>1368540 23871047</v>
          </cell>
        </row>
        <row r="1033">
          <cell r="F1033" t="str">
            <v>PAVVLP</v>
          </cell>
          <cell r="G1033" t="str">
            <v/>
          </cell>
          <cell r="H1033" t="str">
            <v/>
          </cell>
          <cell r="I1033" t="str">
            <v/>
          </cell>
          <cell r="J1033" t="str">
            <v>Inhibition of angiotensin-converting enzyme by synthetic peptide fragments of various beta-caseins.; A new QSAR model, for angiotensin I-converting enzyme inhibitory oligopeptides.</v>
          </cell>
          <cell r="K1033" t="str">
            <v>10.1016/j.foodchem.2012.09.092</v>
          </cell>
          <cell r="L1033" t="str">
            <v>1368548 23194537</v>
          </cell>
        </row>
        <row r="1034">
          <cell r="F1034" t="str">
            <v>PAVVRP</v>
          </cell>
          <cell r="G1034" t="str">
            <v/>
          </cell>
          <cell r="H1034" t="str">
            <v/>
          </cell>
          <cell r="I1034" t="str">
            <v/>
          </cell>
          <cell r="J1034" t="str">
            <v>Inhibition of angiotensin-converting enzyme by synthetic peptide fragments of human kappa-casein.</v>
          </cell>
          <cell r="K1034" t="str">
            <v/>
          </cell>
          <cell r="L1034" t="str">
            <v>1368540</v>
          </cell>
        </row>
        <row r="1035">
          <cell r="F1035" t="str">
            <v>PCHIAW</v>
          </cell>
          <cell r="G1035" t="str">
            <v/>
          </cell>
          <cell r="H1035" t="str">
            <v/>
          </cell>
          <cell r="I1035" t="str">
            <v/>
          </cell>
          <cell r="J1035" t="str">
            <v>Potent synthetic analogues of angiotensin-converting enzyme inhibitor derived from Tuna muscle.</v>
          </cell>
          <cell r="K1035" t="str">
            <v/>
          </cell>
          <cell r="L1035" t="str">
            <v>1368734</v>
          </cell>
        </row>
        <row r="1036">
          <cell r="F1036" t="str">
            <v>PDHIAW</v>
          </cell>
          <cell r="G1036" t="str">
            <v/>
          </cell>
          <cell r="H1036" t="str">
            <v/>
          </cell>
          <cell r="I1036" t="str">
            <v/>
          </cell>
          <cell r="J1036" t="str">
            <v>Potent synthetic analogues of angiotensin-converting enzyme inhibitor derived from Tuna muscle.</v>
          </cell>
          <cell r="K1036" t="str">
            <v/>
          </cell>
          <cell r="L1036" t="str">
            <v>1368734</v>
          </cell>
        </row>
        <row r="1037">
          <cell r="F1037" t="str">
            <v>PEAAELMMEVDP</v>
          </cell>
          <cell r="G1037" t="str">
            <v/>
          </cell>
          <cell r="H1037" t="str">
            <v/>
          </cell>
          <cell r="I1037" t="str">
            <v/>
          </cell>
          <cell r="J1037" t="str">
            <v/>
          </cell>
          <cell r="K1037" t="str">
            <v/>
          </cell>
          <cell r="L1037" t="str">
            <v/>
          </cell>
        </row>
        <row r="1038">
          <cell r="F1038" t="str">
            <v>PER</v>
          </cell>
          <cell r="G1038" t="str">
            <v/>
          </cell>
          <cell r="H1038" t="str">
            <v/>
          </cell>
          <cell r="I1038" t="str">
            <v/>
          </cell>
          <cell r="J1038" t="str">
            <v>Angiotensin I-converting enzyme inhibitory peptides generated from in vitro gastrointestinal digestion of pork meat.; Isolation and characterization of peptides with antihypertensive activity in foodstuffs.</v>
          </cell>
          <cell r="K1038" t="str">
            <v>10.1021/jf904204n; 10.1080/10408398.2012.664829</v>
          </cell>
          <cell r="L1038" t="str">
            <v>20151679 24915368</v>
          </cell>
        </row>
        <row r="1039">
          <cell r="F1039" t="str">
            <v>PEW</v>
          </cell>
          <cell r="G1039" t="str">
            <v/>
          </cell>
          <cell r="H1039" t="str">
            <v/>
          </cell>
          <cell r="I1039" t="str">
            <v/>
          </cell>
          <cell r="J1039" t="str">
            <v>The potential role of milk-derived peptides in cardiovascular disease.</v>
          </cell>
          <cell r="K1039" t="str">
            <v>10.1039/c1fo10017c</v>
          </cell>
          <cell r="L1039" t="str">
            <v>21779574</v>
          </cell>
        </row>
        <row r="1040">
          <cell r="F1040" t="str">
            <v>PFAQTQSLVYP</v>
          </cell>
          <cell r="G1040" t="str">
            <v/>
          </cell>
          <cell r="H1040" t="str">
            <v/>
          </cell>
          <cell r="I1040" t="str">
            <v/>
          </cell>
          <cell r="J1040" t="str">
            <v>Inhibition of angiotensin-converting enzyme by synthetic peptide fragments of various beta-caseins.</v>
          </cell>
          <cell r="K1040" t="str">
            <v/>
          </cell>
          <cell r="L1040" t="str">
            <v>1368548</v>
          </cell>
        </row>
        <row r="1041">
          <cell r="F1041" t="str">
            <v>PFFDPQIP</v>
          </cell>
          <cell r="G1041" t="str">
            <v/>
          </cell>
          <cell r="H1041" t="str">
            <v/>
          </cell>
          <cell r="I1041" t="str">
            <v/>
          </cell>
          <cell r="J1041" t="str">
            <v>Inhibition of angiotensin-converting enzyme by synthetic peptide fragments of various beta-caseins.</v>
          </cell>
          <cell r="K1041" t="str">
            <v/>
          </cell>
          <cell r="L1041" t="str">
            <v>1368548</v>
          </cell>
        </row>
        <row r="1042">
          <cell r="F1042" t="str">
            <v>PFP</v>
          </cell>
          <cell r="G1042" t="str">
            <v/>
          </cell>
          <cell r="H1042" t="str">
            <v/>
          </cell>
          <cell r="I1042" t="str">
            <v/>
          </cell>
          <cell r="J1042"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042" t="str">
            <v>10.1002/psc.800; 10.1007/s00894-010-0862-x; 10.1016/j.foodchem.2013.05.140</v>
          </cell>
          <cell r="L1042" t="str">
            <v>17117396 20941517 23871047</v>
          </cell>
        </row>
        <row r="1043">
          <cell r="F1043" t="str">
            <v>PFPE</v>
          </cell>
          <cell r="G1043" t="str">
            <v/>
          </cell>
          <cell r="H1043" t="str">
            <v/>
          </cell>
          <cell r="I1043" t="str">
            <v/>
          </cell>
          <cell r="J1043" t="str">
            <v/>
          </cell>
          <cell r="K1043" t="str">
            <v/>
          </cell>
          <cell r="L1043" t="str">
            <v/>
          </cell>
        </row>
        <row r="1044">
          <cell r="F1044" t="str">
            <v>PG</v>
          </cell>
          <cell r="G1044" t="str">
            <v/>
          </cell>
          <cell r="H1044" t="str">
            <v/>
          </cell>
          <cell r="I1044" t="str">
            <v/>
          </cell>
          <cell r="J1044"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1044" t="str">
            <v>10.1021/jf051263l; 10.1002/psc.892; 10.1007/s00894-010-0862-x; 10.1016/j.jprot.2013.06.023; 10.1016/j.foodchem.2013.05.140</v>
          </cell>
          <cell r="L1044" t="str">
            <v>6243277 16448176 17654623 20941517 23806758 23871047</v>
          </cell>
        </row>
        <row r="1045">
          <cell r="F1045" t="str">
            <v>PGG</v>
          </cell>
          <cell r="G1045" t="str">
            <v/>
          </cell>
          <cell r="H1045" t="str">
            <v/>
          </cell>
          <cell r="I1045" t="str">
            <v/>
          </cell>
          <cell r="J1045"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v>
          </cell>
          <cell r="K1045" t="str">
            <v>10.1002/psc.800; 10.1007/s00894-010-0862-x</v>
          </cell>
          <cell r="L1045" t="str">
            <v>17117396 20941517</v>
          </cell>
        </row>
        <row r="1046">
          <cell r="F1046" t="str">
            <v>PGI</v>
          </cell>
          <cell r="G1046" t="str">
            <v/>
          </cell>
          <cell r="H1046" t="str">
            <v/>
          </cell>
          <cell r="I1046" t="str">
            <v/>
          </cell>
          <cell r="J1046"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046" t="str">
            <v>10.1002/psc.800; 10.1007/s00894-010-0862-x; 10.1016/j.foodchem.2013.05.140</v>
          </cell>
          <cell r="L1046" t="str">
            <v>17117396 20941517 23871047</v>
          </cell>
        </row>
        <row r="1047">
          <cell r="F1047" t="str">
            <v>PGL</v>
          </cell>
          <cell r="G1047" t="str">
            <v/>
          </cell>
          <cell r="H1047" t="str">
            <v/>
          </cell>
          <cell r="I1047" t="str">
            <v/>
          </cell>
          <cell r="J1047" t="str">
            <v>Structure and activity of angiotensin I converting enzyme inhibitory peptides derived from Alaskan pollack skin.</v>
          </cell>
          <cell r="K1047" t="str">
            <v>10.5483/bmbrep.2002.35.2.239</v>
          </cell>
          <cell r="L1047" t="str">
            <v>12297036</v>
          </cell>
        </row>
        <row r="1048">
          <cell r="F1048" t="str">
            <v>PGP</v>
          </cell>
          <cell r="G1048" t="str">
            <v/>
          </cell>
          <cell r="H1048" t="str">
            <v/>
          </cell>
          <cell r="I1048" t="str">
            <v/>
          </cell>
          <cell r="J1048"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048" t="str">
            <v>10.1002/psc.800; 10.1007/s00894-010-0862-x; 10.1016/j.foodchem.2013.05.140</v>
          </cell>
          <cell r="L1048" t="str">
            <v>17117396 20941517 23871047</v>
          </cell>
        </row>
        <row r="1049">
          <cell r="F1049" t="str">
            <v>PGPIHN</v>
          </cell>
          <cell r="G1049" t="str">
            <v/>
          </cell>
          <cell r="H1049" t="str">
            <v/>
          </cell>
          <cell r="I1049" t="str">
            <v/>
          </cell>
          <cell r="J1049" t="str">
            <v>Enterococcus faecalis strains from food, environmental, and clinical origin produce ACE-inhibitory peptides and other bioactive peptides during growth in bovine skim milk.</v>
          </cell>
          <cell r="K1049" t="str">
            <v>10.1016/j.ijfoodmicro.2013.06.019</v>
          </cell>
          <cell r="L1049" t="str">
            <v>23845432</v>
          </cell>
        </row>
        <row r="1050">
          <cell r="F1050" t="str">
            <v>PGPIP</v>
          </cell>
          <cell r="G1050" t="str">
            <v/>
          </cell>
          <cell r="H1050" t="str">
            <v/>
          </cell>
          <cell r="I1050" t="str">
            <v/>
          </cell>
          <cell r="J1050" t="str">
            <v>Putting microbes to work: dairy fermentation, cell factories and bioactive peptides. Part I: overview.</v>
          </cell>
          <cell r="K1050" t="str">
            <v>10.1002/biot.200600246</v>
          </cell>
          <cell r="L1050" t="str">
            <v>17407210</v>
          </cell>
        </row>
        <row r="1051">
          <cell r="F1051" t="str">
            <v>PGPLGLTGP</v>
          </cell>
          <cell r="G1051" t="str">
            <v/>
          </cell>
          <cell r="H1051" t="str">
            <v/>
          </cell>
          <cell r="I1051" t="str">
            <v/>
          </cell>
          <cell r="J1051" t="str">
            <v>A new QSAR model, for angiotensin I-converting enzyme inhibitory oligopeptides.; Review on the angiotensin-I-converting enzyme (ACE) inhibitor peptides from marine proteins.</v>
          </cell>
          <cell r="K1051" t="str">
            <v>10.1016/j.foodchem.2012.09.092; 10.1007/s12010-012-0024-y</v>
          </cell>
          <cell r="L1051" t="str">
            <v>23194537 23271625</v>
          </cell>
        </row>
        <row r="1052">
          <cell r="F1052" t="str">
            <v>PGR</v>
          </cell>
          <cell r="G1052" t="str">
            <v/>
          </cell>
          <cell r="H1052" t="str">
            <v/>
          </cell>
          <cell r="I1052" t="str">
            <v/>
          </cell>
          <cell r="J1052" t="str">
            <v>Quantitative structure-activity relationship study of bitter di- and tri-peptides including relationship with angiotensin I-converting enzyme inhibitory activity.; Angiotensin I-converting enzyme inhibitory peptides generated from in vitro gastrointestinal digestion of pork meat.; QSAR study on angiotensin-converting enzyme inhibitor oligopeptides based on a novel set of sequence information descriptors.; What are the ideal properties for functional food peptides with antihypertensive effect? A computational peptidology approach.; Isolation and characterization of peptides with antihypertensive activity in foodstuffs.</v>
          </cell>
          <cell r="K1052" t="str">
            <v>10.1002/psc.800; 10.1021/jf904204n; 10.1007/s00894-010-0862-x; 10.1016/j.foodchem.2013.05.140; 10.1080/10408398.2012.664829</v>
          </cell>
          <cell r="L1052" t="str">
            <v>17117396 20151679 20941517 23871047 24915368</v>
          </cell>
        </row>
        <row r="1053">
          <cell r="F1053" t="str">
            <v>PGTAVFK</v>
          </cell>
          <cell r="G1053" t="str">
            <v/>
          </cell>
          <cell r="H1053" t="str">
            <v/>
          </cell>
          <cell r="I1053" t="str">
            <v/>
          </cell>
          <cell r="J1053" t="str">
            <v>A new QSAR model, for angiotensin I-converting enzyme inhibitory oligopeptides.</v>
          </cell>
          <cell r="K1053" t="str">
            <v>10.1016/j.foodchem.2012.09.092</v>
          </cell>
          <cell r="L1053" t="str">
            <v>23194537</v>
          </cell>
        </row>
        <row r="1054">
          <cell r="F1054" t="str">
            <v>PH</v>
          </cell>
          <cell r="G1054" t="str">
            <v/>
          </cell>
          <cell r="H1054" t="str">
            <v/>
          </cell>
          <cell r="I1054" t="str">
            <v/>
          </cell>
          <cell r="J1054" t="str">
            <v>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ell>
          <cell r="K1054" t="str">
            <v>10.1007/s00216-008-1990-3; 10.1016/j.jprot.2013.06.023</v>
          </cell>
          <cell r="L1054" t="str">
            <v>18392815 23806758</v>
          </cell>
        </row>
        <row r="1055">
          <cell r="F1055" t="str">
            <v>PHQIYP</v>
          </cell>
          <cell r="G1055" t="str">
            <v/>
          </cell>
          <cell r="H1055" t="str">
            <v/>
          </cell>
          <cell r="I1055" t="str">
            <v/>
          </cell>
          <cell r="J1055" t="str">
            <v>Inhibition of angiotensin-converting enzyme by synthetic peptide fragments of various beta-caseins.</v>
          </cell>
          <cell r="K1055" t="str">
            <v/>
          </cell>
          <cell r="L1055" t="str">
            <v>1368548</v>
          </cell>
        </row>
        <row r="1056">
          <cell r="F1056" t="str">
            <v>PI</v>
          </cell>
          <cell r="G1056" t="str">
            <v/>
          </cell>
          <cell r="H1056" t="str">
            <v/>
          </cell>
          <cell r="I1056" t="str">
            <v/>
          </cell>
          <cell r="J1056" t="str">
            <v>Three-dimensional holograph vector of atomic interaction field (3D-HoVAIF): a novel rotation-translation invariant 3D structure descriptor and its applications to peptides.</v>
          </cell>
          <cell r="K1056" t="str">
            <v>10.1002/psc.892</v>
          </cell>
          <cell r="L1056" t="str">
            <v>17654623</v>
          </cell>
        </row>
        <row r="1057">
          <cell r="F1057" t="str">
            <v>PIP</v>
          </cell>
          <cell r="G1057" t="str">
            <v/>
          </cell>
          <cell r="H1057" t="str">
            <v/>
          </cell>
          <cell r="I1057" t="str">
            <v/>
          </cell>
          <cell r="J1057"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057" t="str">
            <v>10.1002/psc.800; 10.1007/s00894-010-0862-x; 10.1016/j.foodchem.2013.05.140</v>
          </cell>
          <cell r="L1057" t="str">
            <v>17117396 20941517 23871047</v>
          </cell>
        </row>
        <row r="1058">
          <cell r="F1058" t="str">
            <v>PK</v>
          </cell>
          <cell r="G1058" t="str">
            <v/>
          </cell>
          <cell r="H1058" t="str">
            <v/>
          </cell>
          <cell r="I1058" t="str">
            <v/>
          </cell>
          <cell r="J1058" t="str">
            <v>Quantitative structure-activity relationship study of bitter di- and tri-peptides including relationship with angiotensin I-converting enzyme inhibitory activity.</v>
          </cell>
          <cell r="K1058" t="str">
            <v>10.1002/psc.800</v>
          </cell>
          <cell r="L1058" t="str">
            <v>17117396</v>
          </cell>
        </row>
        <row r="1059">
          <cell r="F1059" t="str">
            <v>PKAIP</v>
          </cell>
          <cell r="G1059" t="str">
            <v/>
          </cell>
          <cell r="H1059" t="str">
            <v/>
          </cell>
          <cell r="I1059" t="str">
            <v/>
          </cell>
          <cell r="J1059" t="str">
            <v>A new QSAR model, for angiotensin I-converting enzyme inhibitory oligopeptides.</v>
          </cell>
          <cell r="K1059" t="str">
            <v>10.1016/j.foodchem.2012.09.092</v>
          </cell>
          <cell r="L1059" t="str">
            <v>23194537</v>
          </cell>
        </row>
        <row r="1060">
          <cell r="F1060" t="str">
            <v>PKDLREN</v>
          </cell>
          <cell r="G1060" t="str">
            <v/>
          </cell>
          <cell r="H1060" t="str">
            <v/>
          </cell>
          <cell r="I1060" t="str">
            <v/>
          </cell>
          <cell r="J1060" t="str">
            <v>Identification of angiotensin I-converting enzyme inhibitory peptides from koumiss, a traditional fermented mare's milk.</v>
          </cell>
          <cell r="K1060" t="str">
            <v>10.3168/jds.2009-2672</v>
          </cell>
          <cell r="L1060" t="str">
            <v>20172208</v>
          </cell>
        </row>
        <row r="1061">
          <cell r="F1061" t="str">
            <v>PKHKEMPFPPKYPVEPFT</v>
          </cell>
          <cell r="G1061" t="str">
            <v/>
          </cell>
          <cell r="H1061" t="str">
            <v/>
          </cell>
          <cell r="I1061" t="str">
            <v/>
          </cell>
          <cell r="J1061" t="str">
            <v>Putting microbes to work: dairy fermentation, cell factories and bioactive peptides. Part I: overview.; The potential role of milk-derived peptides in cardiovascular disease.</v>
          </cell>
          <cell r="K1061" t="str">
            <v>10.1002/biot.200600246; 10.1039/c1fo10017c</v>
          </cell>
          <cell r="L1061" t="str">
            <v>17407210 21779574</v>
          </cell>
        </row>
        <row r="1062">
          <cell r="F1062" t="str">
            <v>PKHP</v>
          </cell>
          <cell r="G1062" t="str">
            <v/>
          </cell>
          <cell r="H1062" t="str">
            <v/>
          </cell>
          <cell r="I1062" t="str">
            <v/>
          </cell>
          <cell r="J1062" t="str">
            <v/>
          </cell>
          <cell r="K1062" t="str">
            <v/>
          </cell>
          <cell r="L1062" t="str">
            <v/>
          </cell>
        </row>
        <row r="1063">
          <cell r="F1063" t="str">
            <v>PKIDAMREKVLA</v>
          </cell>
          <cell r="G1063" t="str">
            <v/>
          </cell>
          <cell r="H1063" t="str">
            <v/>
          </cell>
          <cell r="I1063" t="str">
            <v/>
          </cell>
          <cell r="J1063" t="str">
            <v/>
          </cell>
          <cell r="K1063" t="str">
            <v/>
          </cell>
          <cell r="L1063" t="str">
            <v/>
          </cell>
        </row>
        <row r="1064">
          <cell r="F1064" t="str">
            <v>PL</v>
          </cell>
          <cell r="G1064" t="str">
            <v/>
          </cell>
          <cell r="H1064" t="str">
            <v/>
          </cell>
          <cell r="I1064" t="str">
            <v/>
          </cell>
          <cell r="J1064" t="str">
            <v>Structure and activity of angiotensin I converting enzyme inhibitory peptides derived from Alaskan pollack skin.; Three-dimensional holograph vector of atomic interaction field (3D-HoVAIF): a novel rotation-translation invariant 3D structure descriptor and its applications to peptides.; Peptides with angiotensin I converting enzyme (ACE) inhibitory activity generated from porcine skeletal muscle proteins by the action of meat-borne Lactobacillus.</v>
          </cell>
          <cell r="K1064" t="str">
            <v>10.5483/bmbrep.2002.35.2.239; 10.1002/psc.892; 10.1016/j.jprot.2013.06.023</v>
          </cell>
          <cell r="L1064" t="str">
            <v>12297036 17654623 23806758</v>
          </cell>
        </row>
        <row r="1065">
          <cell r="F1065" t="str">
            <v>PLG</v>
          </cell>
          <cell r="G1065" t="str">
            <v/>
          </cell>
          <cell r="H1065" t="str">
            <v/>
          </cell>
          <cell r="I1065" t="str">
            <v/>
          </cell>
          <cell r="J1065" t="str">
            <v>Structure and activity of angiotensin I converting enzyme inhibitory peptides derived from Alaskan pollack skin.</v>
          </cell>
          <cell r="K1065" t="str">
            <v>10.5483/bmbrep.2002.35.2.239</v>
          </cell>
          <cell r="L1065" t="str">
            <v>12297036</v>
          </cell>
        </row>
        <row r="1066">
          <cell r="F1066" t="str">
            <v>PLIYP</v>
          </cell>
          <cell r="G1066" t="str">
            <v/>
          </cell>
          <cell r="H1066" t="str">
            <v/>
          </cell>
          <cell r="I1066" t="str">
            <v/>
          </cell>
          <cell r="J1066" t="str">
            <v>Inhibition of angiotensin-converting enzyme by synthetic peptide fragments of various beta-caseins.; The potential role of milk-derived peptides in cardiovascular disease.; A new QSAR model, for angiotensin I-converting enzyme inhibitory oligopeptides.</v>
          </cell>
          <cell r="K1066" t="str">
            <v>10.1039/c1fo10017c; 10.1016/j.foodchem.2012.09.092</v>
          </cell>
          <cell r="L1066" t="str">
            <v>1368548 21779574 23194537</v>
          </cell>
        </row>
        <row r="1067">
          <cell r="F1067" t="str">
            <v>PLP</v>
          </cell>
          <cell r="G1067" t="str">
            <v/>
          </cell>
          <cell r="H1067" t="str">
            <v/>
          </cell>
          <cell r="I1067" t="str">
            <v/>
          </cell>
          <cell r="J1067" t="str">
            <v>Bioactive peptides in amaranth (Amaranthus hypochondriacus) seed.; Peptides with angiotensin I converting enzyme (ACE) inhibitory activity generated from porcine skeletal muscle proteins by the action of meat-borne Lactobacillus.</v>
          </cell>
          <cell r="K1067" t="str">
            <v>10.1021/jf072911z; 10.1016/j.jprot.2013.06.023</v>
          </cell>
          <cell r="L1067" t="str">
            <v>18211015 23806758</v>
          </cell>
        </row>
        <row r="1068">
          <cell r="F1068" t="str">
            <v>PLPLL</v>
          </cell>
          <cell r="G1068" t="str">
            <v/>
          </cell>
          <cell r="H1068" t="str">
            <v/>
          </cell>
          <cell r="I1068" t="str">
            <v/>
          </cell>
          <cell r="J1068" t="str">
            <v>The potential role of milk-derived peptides in cardiovascular disease.; Isolation and characterization of peptides with antihypertensive activity in foodstuffs.</v>
          </cell>
          <cell r="K1068" t="str">
            <v>10.1039/c1fo10017c; 10.1080/10408398.2012.664829</v>
          </cell>
          <cell r="L1068" t="str">
            <v>21779574 24915368</v>
          </cell>
        </row>
        <row r="1069">
          <cell r="F1069" t="str">
            <v>PLTQTP</v>
          </cell>
          <cell r="G1069" t="str">
            <v/>
          </cell>
          <cell r="H1069" t="str">
            <v/>
          </cell>
          <cell r="I1069" t="str">
            <v/>
          </cell>
          <cell r="J1069" t="str">
            <v/>
          </cell>
          <cell r="K1069" t="str">
            <v/>
          </cell>
          <cell r="L1069" t="str">
            <v/>
          </cell>
        </row>
        <row r="1070">
          <cell r="F1070" t="str">
            <v>PLW</v>
          </cell>
          <cell r="G1070" t="str">
            <v/>
          </cell>
          <cell r="H1070" t="str">
            <v/>
          </cell>
          <cell r="I1070" t="str">
            <v/>
          </cell>
          <cell r="J1070" t="str">
            <v>Structural requirements of Angiotensin I-converting enzyme inhibitory peptides: quantitative structure-activity relationship study of di- and tripeptides.</v>
          </cell>
          <cell r="K1070" t="str">
            <v>10.1021/jf051263l</v>
          </cell>
          <cell r="L1070" t="str">
            <v>16448176</v>
          </cell>
        </row>
        <row r="1071">
          <cell r="F1071" t="str">
            <v>PMNPP</v>
          </cell>
          <cell r="G1071" t="str">
            <v>porcine myosin</v>
          </cell>
          <cell r="H1071" t="str">
            <v/>
          </cell>
          <cell r="I1071" t="str">
            <v/>
          </cell>
          <cell r="J1071" t="str">
            <v/>
          </cell>
          <cell r="K1071" t="str">
            <v/>
          </cell>
          <cell r="L1071" t="str">
            <v>[Ref. Article]</v>
          </cell>
        </row>
        <row r="1072">
          <cell r="F1072" t="str">
            <v>PNNKPFQ</v>
          </cell>
          <cell r="G1072" t="str">
            <v/>
          </cell>
          <cell r="H1072" t="str">
            <v/>
          </cell>
          <cell r="I1072" t="str">
            <v/>
          </cell>
          <cell r="J1072" t="str">
            <v/>
          </cell>
          <cell r="K1072" t="str">
            <v/>
          </cell>
          <cell r="L1072" t="str">
            <v/>
          </cell>
        </row>
        <row r="1073">
          <cell r="F1073" t="str">
            <v>PNRIKYGD</v>
          </cell>
          <cell r="G1073" t="str">
            <v/>
          </cell>
          <cell r="H1073" t="str">
            <v/>
          </cell>
          <cell r="I1073" t="str">
            <v/>
          </cell>
          <cell r="J1073" t="str">
            <v/>
          </cell>
          <cell r="K1073" t="str">
            <v/>
          </cell>
          <cell r="L1073" t="str">
            <v/>
          </cell>
        </row>
        <row r="1074">
          <cell r="F1074" t="str">
            <v>PNSHP</v>
          </cell>
          <cell r="G1074" t="str">
            <v/>
          </cell>
          <cell r="H1074" t="str">
            <v/>
          </cell>
          <cell r="I1074" t="str">
            <v/>
          </cell>
          <cell r="J1074" t="str">
            <v>Inhibition of angiotensin-converting enzyme by synthetic peptide fragments of human kappa-casein.; A new QSAR model, for angiotensin I-converting enzyme inhibitory oligopeptides.</v>
          </cell>
          <cell r="K1074" t="str">
            <v>10.1016/j.foodchem.2012.09.092</v>
          </cell>
          <cell r="L1074" t="str">
            <v>1368540 23194537</v>
          </cell>
        </row>
        <row r="1075">
          <cell r="F1075" t="str">
            <v>PP</v>
          </cell>
          <cell r="G1075" t="str">
            <v/>
          </cell>
          <cell r="H1075" t="str">
            <v/>
          </cell>
          <cell r="I1075" t="str">
            <v/>
          </cell>
          <cell r="J1075" t="str">
            <v>Quantitative structure-activity relationship study of bitter di- and tri-peptides including relationship with angiotensin I-converting enzyme inhibitory activity.; 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ell>
          <cell r="K1075" t="str">
            <v>10.1002/psc.800; 10.1007/s00216-008-1990-3; 10.1016/j.jprot.2013.06.023</v>
          </cell>
          <cell r="L1075" t="str">
            <v>17117396 18392815 23806758</v>
          </cell>
        </row>
        <row r="1076">
          <cell r="F1076" t="str">
            <v>PPEIN</v>
          </cell>
          <cell r="G1076" t="str">
            <v/>
          </cell>
          <cell r="H1076" t="str">
            <v/>
          </cell>
          <cell r="I1076" t="str">
            <v/>
          </cell>
          <cell r="J1076" t="str">
            <v>The potential role of milk-derived peptides in cardiovascular disease.</v>
          </cell>
          <cell r="K1076" t="str">
            <v>10.1039/c1fo10017c</v>
          </cell>
          <cell r="L1076" t="str">
            <v>21779574</v>
          </cell>
        </row>
        <row r="1077">
          <cell r="F1077" t="str">
            <v>PPF</v>
          </cell>
          <cell r="G1077" t="str">
            <v/>
          </cell>
          <cell r="H1077" t="str">
            <v/>
          </cell>
          <cell r="I1077" t="str">
            <v/>
          </cell>
          <cell r="J1077"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077" t="str">
            <v>10.1002/psc.800; 10.1007/s00894-010-0862-x; 10.1016/j.foodchem.2013.05.140</v>
          </cell>
          <cell r="L1077" t="str">
            <v>17117396 20941517 23871047</v>
          </cell>
        </row>
        <row r="1078">
          <cell r="F1078" t="str">
            <v>PPG</v>
          </cell>
          <cell r="G1078" t="str">
            <v/>
          </cell>
          <cell r="H1078" t="str">
            <v/>
          </cell>
          <cell r="I1078" t="str">
            <v/>
          </cell>
          <cell r="J1078"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078" t="str">
            <v>10.1002/psc.800; 10.1007/s00894-010-0862-x; 10.1016/j.foodchem.2013.05.140</v>
          </cell>
          <cell r="L1078" t="str">
            <v>17117396 20941517 23871047</v>
          </cell>
        </row>
        <row r="1079">
          <cell r="F1079" t="str">
            <v>PPHQIYP</v>
          </cell>
          <cell r="G1079" t="str">
            <v/>
          </cell>
          <cell r="H1079" t="str">
            <v/>
          </cell>
          <cell r="I1079" t="str">
            <v/>
          </cell>
          <cell r="J1079" t="str">
            <v/>
          </cell>
          <cell r="K1079" t="str">
            <v/>
          </cell>
          <cell r="L1079" t="str">
            <v/>
          </cell>
        </row>
        <row r="1080">
          <cell r="F1080" t="str">
            <v>PPK</v>
          </cell>
          <cell r="G1080" t="str">
            <v/>
          </cell>
          <cell r="H1080" t="str">
            <v/>
          </cell>
          <cell r="I1080" t="str">
            <v/>
          </cell>
          <cell r="J1080" t="str">
            <v>Structural requirements of Angiotensin I-converting enzyme inhibitory peptides: quantitative structure-activity relationship study of di- and tripeptides.; Angiotensin-I converting enzyme inhibitory peptide derived from porcine skeletal muscle myosin and its antihypertensive activity in spontaneously hypertensive rats.</v>
          </cell>
          <cell r="K1080" t="str">
            <v>10.1021/jf051263l; 10.1111/j.1750-3841.2007.00571.x</v>
          </cell>
          <cell r="L1080" t="str">
            <v>16448176 18034756</v>
          </cell>
        </row>
        <row r="1081">
          <cell r="F1081" t="str">
            <v>PPL</v>
          </cell>
          <cell r="G1081" t="str">
            <v/>
          </cell>
          <cell r="H1081" t="str">
            <v/>
          </cell>
          <cell r="I1081" t="str">
            <v/>
          </cell>
          <cell r="J1081" t="str">
            <v>Ala-Val-Phe and Val-Phe: ACE inhibitory peptides derived from insect protein with antihypertensive activity in spontaneously hypertensive rats.</v>
          </cell>
          <cell r="K1081" t="str">
            <v>10.1016/j.peptides.2009.05.029</v>
          </cell>
          <cell r="L1081" t="str">
            <v>19524628</v>
          </cell>
        </row>
        <row r="1082">
          <cell r="F1082" t="str">
            <v>PPLTQTPV</v>
          </cell>
          <cell r="G1082" t="str">
            <v/>
          </cell>
          <cell r="H1082" t="str">
            <v/>
          </cell>
          <cell r="I1082" t="str">
            <v/>
          </cell>
          <cell r="J1082" t="str">
            <v/>
          </cell>
          <cell r="K1082" t="str">
            <v/>
          </cell>
          <cell r="L1082" t="str">
            <v/>
          </cell>
        </row>
        <row r="1083">
          <cell r="F1083" t="str">
            <v>PPP</v>
          </cell>
          <cell r="G1083" t="str">
            <v/>
          </cell>
          <cell r="H1083" t="str">
            <v/>
          </cell>
          <cell r="I1083" t="str">
            <v/>
          </cell>
          <cell r="J1083"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083" t="str">
            <v>10.1002/psc.800; 10.1007/s00894-010-0862-x; 10.1016/j.foodchem.2013.05.140</v>
          </cell>
          <cell r="L1083" t="str">
            <v>17117396 20941517 23871047</v>
          </cell>
        </row>
        <row r="1084">
          <cell r="F1084" t="str">
            <v>PPPVHL</v>
          </cell>
          <cell r="G1084" t="str">
            <v/>
          </cell>
          <cell r="H1084" t="str">
            <v/>
          </cell>
          <cell r="I1084" t="str">
            <v/>
          </cell>
          <cell r="J1084" t="str">
            <v>A new QSAR model, for angiotensin I-converting enzyme inhibitory oligopeptides.</v>
          </cell>
          <cell r="K1084" t="str">
            <v>10.1016/j.foodchem.2012.09.092</v>
          </cell>
          <cell r="L1084" t="str">
            <v>23194537</v>
          </cell>
        </row>
        <row r="1085">
          <cell r="F1085" t="str">
            <v>PPQSVLSLSQSKVLPVPQ</v>
          </cell>
          <cell r="G1085" t="str">
            <v/>
          </cell>
          <cell r="H1085" t="str">
            <v/>
          </cell>
          <cell r="I1085" t="str">
            <v/>
          </cell>
          <cell r="J1085" t="str">
            <v>Antihypertensive effect of the peptides derived from casein by an extracellular proteinase from Lactobacillus helveticus CP790.</v>
          </cell>
          <cell r="K1085" t="str">
            <v>10.3168/jds.S0022-0302(94)77026-0</v>
          </cell>
          <cell r="L1085" t="str">
            <v>8201050</v>
          </cell>
        </row>
        <row r="1086">
          <cell r="F1086" t="str">
            <v>PQ</v>
          </cell>
          <cell r="G1086" t="str">
            <v/>
          </cell>
          <cell r="H1086" t="str">
            <v/>
          </cell>
          <cell r="I1086" t="str">
            <v/>
          </cell>
          <cell r="J1086" t="str">
            <v>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ell>
          <cell r="K1086" t="str">
            <v>10.1007/s00216-008-1990-3; 10.1016/j.jprot.2013.06.023</v>
          </cell>
          <cell r="L1086" t="str">
            <v>18392815 23806758</v>
          </cell>
        </row>
        <row r="1087">
          <cell r="F1087" t="str">
            <v>PQAFP</v>
          </cell>
          <cell r="G1087" t="str">
            <v/>
          </cell>
          <cell r="H1087" t="str">
            <v/>
          </cell>
          <cell r="I1087" t="str">
            <v/>
          </cell>
          <cell r="J1087" t="str">
            <v>A new QSAR model, for angiotensin I-converting enzyme inhibitory oligopeptides.</v>
          </cell>
          <cell r="K1087" t="str">
            <v>10.1016/j.foodchem.2012.09.092</v>
          </cell>
          <cell r="L1087" t="str">
            <v>23194537</v>
          </cell>
        </row>
        <row r="1088">
          <cell r="F1088" t="str">
            <v>PQEVLP</v>
          </cell>
          <cell r="G1088" t="str">
            <v/>
          </cell>
          <cell r="H1088" t="str">
            <v/>
          </cell>
          <cell r="I1088" t="str">
            <v/>
          </cell>
          <cell r="J1088" t="str">
            <v>Inhibition of angiotensin-converting enzyme by synthetic peptide fragments of various beta-caseins.; A new QSAR model, for angiotensin I-converting enzyme inhibitory oligopeptides.</v>
          </cell>
          <cell r="K1088" t="str">
            <v>10.1016/j.foodchem.2012.09.092</v>
          </cell>
          <cell r="L1088" t="str">
            <v>1368548 23194537</v>
          </cell>
        </row>
        <row r="1089">
          <cell r="F1089" t="str">
            <v>PQNILP</v>
          </cell>
          <cell r="G1089" t="str">
            <v/>
          </cell>
          <cell r="H1089" t="str">
            <v/>
          </cell>
          <cell r="I1089" t="str">
            <v/>
          </cell>
          <cell r="J1089" t="str">
            <v>Inhibition of angiotensin-converting enzyme by synthetic peptide fragments of various beta-caseins.; A new QSAR model, for angiotensin I-converting enzyme inhibitory oligopeptides.</v>
          </cell>
          <cell r="K1089" t="str">
            <v>10.1016/j.foodchem.2012.09.092</v>
          </cell>
          <cell r="L1089" t="str">
            <v>1368548 23194537</v>
          </cell>
        </row>
        <row r="1090">
          <cell r="F1090" t="str">
            <v>PQPIP</v>
          </cell>
          <cell r="G1090" t="str">
            <v/>
          </cell>
          <cell r="H1090" t="str">
            <v/>
          </cell>
          <cell r="I1090" t="str">
            <v/>
          </cell>
          <cell r="J1090" t="str">
            <v>Inhibition of angiotensin-converting enzyme by synthetic peptide fragments of various beta-caseins.; A new QSAR model, for angiotensin I-converting enzyme inhibitory oligopeptides.</v>
          </cell>
          <cell r="K1090" t="str">
            <v>10.1016/j.foodchem.2012.09.092</v>
          </cell>
          <cell r="L1090" t="str">
            <v>1368548 23194537</v>
          </cell>
        </row>
        <row r="1091">
          <cell r="F1091" t="str">
            <v>PQPLIYP</v>
          </cell>
          <cell r="G1091" t="str">
            <v/>
          </cell>
          <cell r="H1091" t="str">
            <v/>
          </cell>
          <cell r="I1091" t="str">
            <v/>
          </cell>
          <cell r="J1091" t="str">
            <v>Inhibition of angiotensin-converting enzyme by synthetic peptide fragments of various beta-caseins.</v>
          </cell>
          <cell r="K1091" t="str">
            <v/>
          </cell>
          <cell r="L1091" t="str">
            <v>1368548</v>
          </cell>
        </row>
        <row r="1092">
          <cell r="F1092" t="str">
            <v>PQR</v>
          </cell>
          <cell r="G1092" t="str">
            <v/>
          </cell>
          <cell r="H1092" t="str">
            <v/>
          </cell>
          <cell r="I1092" t="str">
            <v/>
          </cell>
          <cell r="J1092" t="str">
            <v>Bioactive peptides in amaranth (Amaranthus hypochondriacus) seed.; Evaluation of the allergenicity of goat milk, cow milk, and their lactosera in a guinea pig model.</v>
          </cell>
          <cell r="K1092" t="str">
            <v>10.1021/jf072911z; 10.3168/jds.2008-1125</v>
          </cell>
          <cell r="L1092" t="str">
            <v>18211015 19233776</v>
          </cell>
        </row>
        <row r="1093">
          <cell r="F1093" t="str">
            <v>PQRDMP</v>
          </cell>
          <cell r="G1093" t="str">
            <v/>
          </cell>
          <cell r="H1093" t="str">
            <v/>
          </cell>
          <cell r="I1093" t="str">
            <v/>
          </cell>
          <cell r="J1093" t="str">
            <v>Enterococcus faecalis strains from food, environmental, and clinical origin produce ACE-inhibitory peptides and other bioactive peptides during growth in bovine skim milk.</v>
          </cell>
          <cell r="K1093" t="str">
            <v>10.1016/j.ijfoodmicro.2013.06.019</v>
          </cell>
          <cell r="L1093" t="str">
            <v>23845432</v>
          </cell>
        </row>
        <row r="1094">
          <cell r="F1094" t="str">
            <v>PQTLALP</v>
          </cell>
          <cell r="G1094" t="str">
            <v/>
          </cell>
          <cell r="H1094" t="str">
            <v/>
          </cell>
          <cell r="I1094" t="str">
            <v/>
          </cell>
          <cell r="J1094" t="str">
            <v>A new QSAR model, for angiotensin I-converting enzyme inhibitory oligopeptides.</v>
          </cell>
          <cell r="K1094" t="str">
            <v>10.1016/j.foodchem.2012.09.092</v>
          </cell>
          <cell r="L1094" t="str">
            <v>23194537</v>
          </cell>
        </row>
        <row r="1095">
          <cell r="F1095" t="str">
            <v>PR</v>
          </cell>
          <cell r="G1095" t="str">
            <v/>
          </cell>
          <cell r="H1095" t="str">
            <v/>
          </cell>
          <cell r="I1095" t="str">
            <v/>
          </cell>
          <cell r="J1095" t="str">
            <v>Structure and activity of angiotensin I converting enzyme inhibitory peptides from sake and sake lees.;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Bioactive peptides in amaranth (Amaranthus hypochondriacus) seed.</v>
          </cell>
          <cell r="K1095" t="str">
            <v>10.1271/bbb.58.1767; 10.1021/jf051263l; 10.1002/psc.800; 10.1021/jf072911z</v>
          </cell>
          <cell r="L1095" t="str">
            <v>7765503 16448176 17117396 18211015</v>
          </cell>
        </row>
        <row r="1096">
          <cell r="F1096" t="str">
            <v>PRHQG</v>
          </cell>
          <cell r="G1096" t="str">
            <v/>
          </cell>
          <cell r="H1096" t="str">
            <v/>
          </cell>
          <cell r="I1096" t="str">
            <v/>
          </cell>
          <cell r="J1096" t="str">
            <v>A new QSAR model, for angiotensin I-converting enzyme inhibitory oligopeptides.</v>
          </cell>
          <cell r="K1096" t="str">
            <v>10.1016/j.foodchem.2012.09.092</v>
          </cell>
          <cell r="L1096" t="str">
            <v>23194537</v>
          </cell>
        </row>
        <row r="1097">
          <cell r="F1097" t="str">
            <v>PRKEKLCTTS</v>
          </cell>
          <cell r="G1097" t="str">
            <v/>
          </cell>
          <cell r="H1097" t="str">
            <v/>
          </cell>
          <cell r="I1097" t="str">
            <v/>
          </cell>
          <cell r="J1097" t="str">
            <v/>
          </cell>
          <cell r="K1097" t="str">
            <v/>
          </cell>
          <cell r="L1097" t="str">
            <v/>
          </cell>
        </row>
        <row r="1098">
          <cell r="F1098" t="str">
            <v>PRVF</v>
          </cell>
          <cell r="G1098" t="str">
            <v/>
          </cell>
          <cell r="H1098" t="str">
            <v/>
          </cell>
          <cell r="I1098" t="str">
            <v/>
          </cell>
          <cell r="J1098" t="str">
            <v/>
          </cell>
          <cell r="K1098" t="str">
            <v/>
          </cell>
          <cell r="L1098" t="str">
            <v/>
          </cell>
        </row>
        <row r="1099">
          <cell r="F1099" t="str">
            <v>PRY</v>
          </cell>
          <cell r="G1099" t="str">
            <v/>
          </cell>
          <cell r="H1099" t="str">
            <v/>
          </cell>
          <cell r="I1099" t="str">
            <v/>
          </cell>
          <cell r="J1099" t="str">
            <v>Structure and activity of angiotensin I converting enzyme inhibitory peptides from sake and sake lees.; Structural requirements of Angiotensin I-converting enzyme inhibitory peptides: quantitative structure-activity relationship study of di- and tripeptides.; Bioactive peptides in amaranth (Amaranthus hypochondriacus) seed.</v>
          </cell>
          <cell r="K1099" t="str">
            <v>10.1271/bbb.58.1767; 10.1021/jf051263l; 10.1021/jf072911z</v>
          </cell>
          <cell r="L1099" t="str">
            <v>7765503 16448176 18211015</v>
          </cell>
        </row>
        <row r="1100">
          <cell r="F1100" t="str">
            <v>PSFQP</v>
          </cell>
          <cell r="G1100" t="str">
            <v/>
          </cell>
          <cell r="H1100" t="str">
            <v/>
          </cell>
          <cell r="I1100" t="str">
            <v/>
          </cell>
          <cell r="J1100" t="str">
            <v>Inhibition of angiotensin-converting enzyme by synthetic peptide fragments of various beta-caseins.; A new QSAR model, for angiotensin I-converting enzyme inhibitory oligopeptides.</v>
          </cell>
          <cell r="K1100" t="str">
            <v>10.1016/j.foodchem.2012.09.092</v>
          </cell>
          <cell r="L1100" t="str">
            <v>1368548 23194537</v>
          </cell>
        </row>
        <row r="1101">
          <cell r="F1101" t="str">
            <v>PSFQPQPLIYP</v>
          </cell>
          <cell r="G1101" t="str">
            <v/>
          </cell>
          <cell r="H1101" t="str">
            <v/>
          </cell>
          <cell r="I1101" t="str">
            <v/>
          </cell>
          <cell r="J1101" t="str">
            <v>Inhibition of angiotensin-converting enzyme by synthetic peptide fragments of various beta-caseins.</v>
          </cell>
          <cell r="K1101" t="str">
            <v/>
          </cell>
          <cell r="L1101" t="str">
            <v>1368548</v>
          </cell>
        </row>
        <row r="1102">
          <cell r="F1102" t="str">
            <v>PSGQYY</v>
          </cell>
          <cell r="G1102" t="str">
            <v/>
          </cell>
          <cell r="H1102" t="str">
            <v/>
          </cell>
          <cell r="I1102" t="str">
            <v/>
          </cell>
          <cell r="J1102" t="str">
            <v>Angiotensin converting enzyme inhibitory peptides derived from food proteins: biochemistry, bioactivity and production.; A new QSAR model, for angiotensin I-converting enzyme inhibitory oligopeptides.</v>
          </cell>
          <cell r="K1102" t="str">
            <v>10.2174/138161207780363068; 10.1016/j.foodchem.2012.09.092</v>
          </cell>
          <cell r="L1102" t="str">
            <v>17430180 23194537</v>
          </cell>
        </row>
        <row r="1103">
          <cell r="F1103" t="str">
            <v>PSKIKWGD</v>
          </cell>
          <cell r="G1103" t="str">
            <v/>
          </cell>
          <cell r="H1103" t="str">
            <v/>
          </cell>
          <cell r="I1103" t="str">
            <v/>
          </cell>
          <cell r="J1103" t="str">
            <v/>
          </cell>
          <cell r="K1103" t="str">
            <v/>
          </cell>
          <cell r="L1103" t="str">
            <v/>
          </cell>
        </row>
        <row r="1104">
          <cell r="F1104" t="str">
            <v>PSSNK</v>
          </cell>
          <cell r="G1104" t="str">
            <v/>
          </cell>
          <cell r="H1104" t="str">
            <v/>
          </cell>
          <cell r="I1104" t="str">
            <v/>
          </cell>
          <cell r="J1104" t="str">
            <v>Novel angiotensin I-converting enzyme inhibitory peptides derived from edible mushroom Agaricus bisporus (J.E. Lange) Imbach identified by LC-MS/MS.</v>
          </cell>
          <cell r="K1104" t="str">
            <v>10.1016/j.foodchem.2013.10.053</v>
          </cell>
          <cell r="L1104" t="str">
            <v>24262574</v>
          </cell>
        </row>
        <row r="1105">
          <cell r="F1105" t="str">
            <v>PSY</v>
          </cell>
          <cell r="G1105" t="str">
            <v/>
          </cell>
          <cell r="H1105" t="str">
            <v/>
          </cell>
          <cell r="I1105" t="str">
            <v/>
          </cell>
          <cell r="J1105" t="str">
            <v>Structural requirements of Angiotensin I-converting enzyme inhibitory peptides: quantitative structure-activity relationship study of di- and tripeptides.; Isolation and characterization of peptides with antihypertensive activity in foodstuffs.</v>
          </cell>
          <cell r="K1105" t="str">
            <v>10.1021/jf051263l; 10.1080/10408398.2012.664829</v>
          </cell>
          <cell r="L1105" t="str">
            <v>16448176 24915368</v>
          </cell>
        </row>
        <row r="1106">
          <cell r="F1106" t="str">
            <v>PT</v>
          </cell>
          <cell r="G1106" t="str">
            <v/>
          </cell>
          <cell r="H1106" t="str">
            <v/>
          </cell>
          <cell r="I1106" t="str">
            <v/>
          </cell>
          <cell r="J1106" t="str">
            <v>Peptides with angiotensin I converting enzyme (ACE) inhibitory activity generated from porcine skeletal muscle proteins by the action of meat-borne Lactobacillus.</v>
          </cell>
          <cell r="K1106" t="str">
            <v>10.1016/j.jprot.2013.06.023</v>
          </cell>
          <cell r="L1106" t="str">
            <v>23806758</v>
          </cell>
        </row>
        <row r="1107">
          <cell r="F1107" t="str">
            <v>PTFIAW</v>
          </cell>
          <cell r="G1107" t="str">
            <v/>
          </cell>
          <cell r="H1107" t="str">
            <v/>
          </cell>
          <cell r="I1107" t="str">
            <v/>
          </cell>
          <cell r="J1107" t="str">
            <v>Potent synthetic analogues of angiotensin-converting enzyme inhibitor derived from Tuna muscle.</v>
          </cell>
          <cell r="K1107" t="str">
            <v/>
          </cell>
          <cell r="L1107" t="str">
            <v>1368734</v>
          </cell>
        </row>
        <row r="1108">
          <cell r="F1108" t="str">
            <v>PTHDAW</v>
          </cell>
          <cell r="G1108" t="str">
            <v/>
          </cell>
          <cell r="H1108" t="str">
            <v/>
          </cell>
          <cell r="I1108" t="str">
            <v/>
          </cell>
          <cell r="J1108" t="str">
            <v>Potent synthetic analogues of angiotensin-converting enzyme inhibitor derived from Tuna muscle.</v>
          </cell>
          <cell r="K1108" t="str">
            <v/>
          </cell>
          <cell r="L1108" t="str">
            <v>1368734</v>
          </cell>
        </row>
        <row r="1109">
          <cell r="F1109" t="str">
            <v>PTHGAW</v>
          </cell>
          <cell r="G1109" t="str">
            <v/>
          </cell>
          <cell r="H1109" t="str">
            <v/>
          </cell>
          <cell r="I1109" t="str">
            <v/>
          </cell>
          <cell r="J1109" t="str">
            <v>Potent synthetic analogues of angiotensin-converting enzyme inhibitor derived from Tuna muscle.</v>
          </cell>
          <cell r="K1109" t="str">
            <v/>
          </cell>
          <cell r="L1109" t="str">
            <v>1368734</v>
          </cell>
        </row>
        <row r="1110">
          <cell r="F1110" t="str">
            <v>PTHIAW</v>
          </cell>
          <cell r="G1110" t="str">
            <v/>
          </cell>
          <cell r="H1110" t="str">
            <v/>
          </cell>
          <cell r="I1110" t="str">
            <v/>
          </cell>
          <cell r="J1110" t="str">
            <v>Potent synthetic analogues of angiotensin-converting enzyme inhibitor derived from Tuna muscle.; A new QSAR model, for angiotensin I-converting enzyme inhibitory oligopeptides.</v>
          </cell>
          <cell r="K1110" t="str">
            <v>10.1016/j.foodchem.2012.09.092</v>
          </cell>
          <cell r="L1110" t="str">
            <v>1368734 23194537</v>
          </cell>
        </row>
        <row r="1111">
          <cell r="F1111" t="str">
            <v>PTHIDW</v>
          </cell>
          <cell r="G1111" t="str">
            <v/>
          </cell>
          <cell r="H1111" t="str">
            <v/>
          </cell>
          <cell r="I1111" t="str">
            <v/>
          </cell>
          <cell r="J1111" t="str">
            <v>Potent synthetic analogues of angiotensin-converting enzyme inhibitor derived from Tuna muscle.; A new QSAR model, for angiotensin I-converting enzyme inhibitory oligopeptides.</v>
          </cell>
          <cell r="K1111" t="str">
            <v>10.1016/j.foodchem.2012.09.092</v>
          </cell>
          <cell r="L1111" t="str">
            <v>1368734 23194537</v>
          </cell>
        </row>
        <row r="1112">
          <cell r="F1112" t="str">
            <v>PTHIK</v>
          </cell>
          <cell r="G1112" t="str">
            <v/>
          </cell>
          <cell r="H1112" t="str">
            <v/>
          </cell>
          <cell r="I1112" t="str">
            <v/>
          </cell>
          <cell r="J1112" t="str">
            <v>Potent synthetic analogues of angiotensin-converting enzyme inhibitor derived from Tuna muscle.</v>
          </cell>
          <cell r="K1112" t="str">
            <v/>
          </cell>
          <cell r="L1112" t="str">
            <v>1368734</v>
          </cell>
        </row>
        <row r="1113">
          <cell r="F1113" t="str">
            <v>PTHIKW</v>
          </cell>
          <cell r="G1113" t="str">
            <v/>
          </cell>
          <cell r="H1113" t="str">
            <v/>
          </cell>
          <cell r="I1113" t="str">
            <v/>
          </cell>
          <cell r="J1113" t="str">
            <v>Potent synthetic analogues of angiotensin-converting enzyme inhibitor derived from Tuna muscle.; A new QSAR model, for angiotensin I-converting enzyme inhibitory oligopeptides.</v>
          </cell>
          <cell r="K1113" t="str">
            <v>10.1016/j.foodchem.2012.09.092</v>
          </cell>
          <cell r="L1113" t="str">
            <v>1368734 23194537</v>
          </cell>
        </row>
        <row r="1114">
          <cell r="F1114" t="str">
            <v>PTHIKWD</v>
          </cell>
          <cell r="G1114" t="str">
            <v/>
          </cell>
          <cell r="H1114" t="str">
            <v/>
          </cell>
          <cell r="I1114" t="str">
            <v/>
          </cell>
          <cell r="J1114" t="str">
            <v>Potent synthetic analogues of angiotensin-converting enzyme inhibitor derived from Tuna muscle.</v>
          </cell>
          <cell r="K1114" t="str">
            <v/>
          </cell>
          <cell r="L1114" t="str">
            <v>1368734</v>
          </cell>
        </row>
        <row r="1115">
          <cell r="F1115" t="str">
            <v>PTHIKWG</v>
          </cell>
          <cell r="G1115" t="str">
            <v/>
          </cell>
          <cell r="H1115" t="str">
            <v/>
          </cell>
          <cell r="I1115" t="str">
            <v/>
          </cell>
          <cell r="J1115" t="str">
            <v>Potent synthetic analogues of angiotensin-converting enzyme inhibitor derived from Tuna muscle.; A new QSAR model, for angiotensin I-converting enzyme inhibitory oligopeptides.</v>
          </cell>
          <cell r="K1115" t="str">
            <v>10.1016/j.foodchem.2012.09.092</v>
          </cell>
          <cell r="L1115" t="str">
            <v>1368734 23194537</v>
          </cell>
        </row>
        <row r="1116">
          <cell r="F1116" t="str">
            <v>PTHIKWGD</v>
          </cell>
          <cell r="G1116" t="str">
            <v/>
          </cell>
          <cell r="H1116" t="str">
            <v/>
          </cell>
          <cell r="I1116" t="str">
            <v/>
          </cell>
          <cell r="J1116" t="str">
            <v>Isolation of angiotensin-converting enzyme inhibitor from tuna muscle.; Review on the angiotensin-I-converting enzyme (ACE) inhibitor peptides from marine proteins.</v>
          </cell>
          <cell r="K1116" t="str">
            <v>10.1016/s0006-291x(88)81089-1; 10.1007/s12010-012-0024-y</v>
          </cell>
          <cell r="L1116" t="str">
            <v>3415688 23271625</v>
          </cell>
        </row>
        <row r="1117">
          <cell r="F1117" t="str">
            <v>PTHIKWN</v>
          </cell>
          <cell r="G1117" t="str">
            <v/>
          </cell>
          <cell r="H1117" t="str">
            <v/>
          </cell>
          <cell r="I1117" t="str">
            <v/>
          </cell>
          <cell r="J1117" t="str">
            <v>A new QSAR model, for angiotensin I-converting enzyme inhibitory oligopeptides.</v>
          </cell>
          <cell r="K1117" t="str">
            <v>10.1016/j.foodchem.2012.09.092</v>
          </cell>
          <cell r="L1117" t="str">
            <v>23194537</v>
          </cell>
        </row>
        <row r="1118">
          <cell r="F1118" t="str">
            <v>PTHIW</v>
          </cell>
          <cell r="G1118" t="str">
            <v/>
          </cell>
          <cell r="H1118" t="str">
            <v/>
          </cell>
          <cell r="I1118" t="str">
            <v/>
          </cell>
          <cell r="J1118" t="str">
            <v>Potent synthetic analogues of angiotensin-converting enzyme inhibitor derived from Tuna muscle.</v>
          </cell>
          <cell r="K1118" t="str">
            <v/>
          </cell>
          <cell r="L1118" t="str">
            <v>1368734</v>
          </cell>
        </row>
        <row r="1119">
          <cell r="F1119" t="str">
            <v>PTHKAW</v>
          </cell>
          <cell r="G1119" t="str">
            <v/>
          </cell>
          <cell r="H1119" t="str">
            <v/>
          </cell>
          <cell r="I1119" t="str">
            <v/>
          </cell>
          <cell r="J1119" t="str">
            <v>Potent synthetic analogues of angiotensin-converting enzyme inhibitor derived from Tuna muscle.</v>
          </cell>
          <cell r="K1119" t="str">
            <v/>
          </cell>
          <cell r="L1119" t="str">
            <v>1368734</v>
          </cell>
        </row>
        <row r="1120">
          <cell r="F1120" t="str">
            <v>PTHVAW</v>
          </cell>
          <cell r="G1120" t="str">
            <v/>
          </cell>
          <cell r="H1120" t="str">
            <v/>
          </cell>
          <cell r="I1120" t="str">
            <v/>
          </cell>
          <cell r="J1120" t="str">
            <v>Potent synthetic analogues of angiotensin-converting enzyme inhibitor derived from Tuna muscle.; A new QSAR model, for angiotensin I-converting enzyme inhibitory oligopeptides.</v>
          </cell>
          <cell r="K1120" t="str">
            <v>10.1016/j.foodchem.2012.09.092</v>
          </cell>
          <cell r="L1120" t="str">
            <v>1368734 23194537</v>
          </cell>
        </row>
        <row r="1121">
          <cell r="F1121" t="str">
            <v>PTPAP</v>
          </cell>
          <cell r="G1121" t="str">
            <v/>
          </cell>
          <cell r="H1121" t="str">
            <v/>
          </cell>
          <cell r="I1121" t="str">
            <v/>
          </cell>
          <cell r="J1121" t="str">
            <v>Inhibition of angiotensin-converting enzyme by synthetic peptide fragments of human kappa-casein.</v>
          </cell>
          <cell r="K1121" t="str">
            <v/>
          </cell>
          <cell r="L1121" t="str">
            <v>1368540</v>
          </cell>
        </row>
        <row r="1122">
          <cell r="F1122" t="str">
            <v>PTPVP</v>
          </cell>
          <cell r="G1122" t="str">
            <v/>
          </cell>
          <cell r="H1122" t="str">
            <v/>
          </cell>
          <cell r="I1122" t="str">
            <v/>
          </cell>
          <cell r="J1122" t="str">
            <v>Angiotensin I-converting enzyme inhibitory peptides generated from in vitro gastrointestinal digestion of pork meat.; A new QSAR model, for angiotensin I-converting enzyme inhibitory oligopeptides.; Isolation and characterization of peptides with antihypertensive activity in foodstuffs.</v>
          </cell>
          <cell r="K1122" t="str">
            <v>10.1021/jf904204n; 10.1016/j.foodchem.2012.09.092; 10.1080/10408398.2012.664829</v>
          </cell>
          <cell r="L1122" t="str">
            <v>20151679 23194537 24915368</v>
          </cell>
        </row>
        <row r="1123">
          <cell r="F1123" t="str">
            <v>PVGLVQPASATLYDY</v>
          </cell>
          <cell r="G1123" t="str">
            <v/>
          </cell>
          <cell r="H1123" t="str">
            <v/>
          </cell>
          <cell r="I1123" t="str">
            <v/>
          </cell>
          <cell r="J1123" t="str">
            <v/>
          </cell>
          <cell r="K1123" t="str">
            <v/>
          </cell>
          <cell r="L1123" t="str">
            <v/>
          </cell>
        </row>
        <row r="1124">
          <cell r="F1124" t="str">
            <v>PVP</v>
          </cell>
          <cell r="G1124" t="str">
            <v/>
          </cell>
          <cell r="H1124" t="str">
            <v/>
          </cell>
          <cell r="I1124" t="str">
            <v/>
          </cell>
          <cell r="J1124" t="str">
            <v/>
          </cell>
          <cell r="K1124" t="str">
            <v/>
          </cell>
          <cell r="L1124" t="str">
            <v/>
          </cell>
        </row>
        <row r="1125">
          <cell r="F1125" t="str">
            <v>PVPQP</v>
          </cell>
          <cell r="G1125" t="str">
            <v/>
          </cell>
          <cell r="H1125" t="str">
            <v/>
          </cell>
          <cell r="I1125" t="str">
            <v/>
          </cell>
          <cell r="J1125" t="str">
            <v>Inhibition of angiotensin-converting enzyme by synthetic peptide fragments of various beta-caseins.; A new QSAR model, for angiotensin I-converting enzyme inhibitory oligopeptides.</v>
          </cell>
          <cell r="K1125" t="str">
            <v>10.1016/j.foodchem.2012.09.092</v>
          </cell>
          <cell r="L1125" t="str">
            <v>1368548 23194537</v>
          </cell>
        </row>
        <row r="1126">
          <cell r="F1126" t="str">
            <v>PVQALLLNQELLLNP</v>
          </cell>
          <cell r="G1126" t="str">
            <v/>
          </cell>
          <cell r="H1126" t="str">
            <v/>
          </cell>
          <cell r="I1126" t="str">
            <v/>
          </cell>
          <cell r="J1126" t="str">
            <v>Inhibition of angiotensin-converting enzyme by synthetic peptide fragments of various beta-caseins.</v>
          </cell>
          <cell r="K1126" t="str">
            <v/>
          </cell>
          <cell r="L1126" t="str">
            <v>1368548</v>
          </cell>
        </row>
        <row r="1127">
          <cell r="F1127" t="str">
            <v>PVRAVP</v>
          </cell>
          <cell r="G1127" t="str">
            <v/>
          </cell>
          <cell r="H1127" t="str">
            <v/>
          </cell>
          <cell r="I1127" t="str">
            <v/>
          </cell>
          <cell r="J1127" t="str">
            <v>Inhibition of angiotensin-converting enzyme by synthetic peptide fragments of various beta-caseins.; A new QSAR model, for angiotensin I-converting enzyme inhibitory oligopeptides.</v>
          </cell>
          <cell r="K1127" t="str">
            <v>10.1016/j.foodchem.2012.09.092</v>
          </cell>
          <cell r="L1127" t="str">
            <v>1368548 23194537</v>
          </cell>
        </row>
        <row r="1128">
          <cell r="F1128" t="str">
            <v>PVRGPFPIIV</v>
          </cell>
          <cell r="G1128" t="str">
            <v/>
          </cell>
          <cell r="H1128" t="str">
            <v/>
          </cell>
          <cell r="I1128" t="str">
            <v/>
          </cell>
          <cell r="J1128" t="str">
            <v/>
          </cell>
          <cell r="K1128" t="str">
            <v/>
          </cell>
          <cell r="L1128" t="str">
            <v/>
          </cell>
        </row>
        <row r="1129">
          <cell r="F1129" t="str">
            <v>PVVVPPFLQ</v>
          </cell>
          <cell r="G1129" t="str">
            <v/>
          </cell>
          <cell r="H1129" t="str">
            <v/>
          </cell>
          <cell r="I1129" t="str">
            <v/>
          </cell>
          <cell r="J1129" t="str">
            <v/>
          </cell>
          <cell r="K1129" t="str">
            <v/>
          </cell>
          <cell r="L1129" t="str">
            <v/>
          </cell>
        </row>
        <row r="1130">
          <cell r="F1130" t="str">
            <v>PY</v>
          </cell>
          <cell r="G1130" t="str">
            <v/>
          </cell>
          <cell r="H1130" t="str">
            <v/>
          </cell>
          <cell r="I1130" t="str">
            <v/>
          </cell>
          <cell r="J1130" t="str">
            <v>Three-dimensional holograph vector of atomic interaction field (3D-HoVAIF): a novel rotation-translation invariant 3D structure descriptor and its applications to peptides.</v>
          </cell>
          <cell r="K1130" t="str">
            <v>10.1002/psc.892</v>
          </cell>
          <cell r="L1130" t="str">
            <v>17654623</v>
          </cell>
        </row>
        <row r="1131">
          <cell r="F1131" t="str">
            <v>PYK</v>
          </cell>
          <cell r="G1131" t="str">
            <v/>
          </cell>
          <cell r="H1131" t="str">
            <v/>
          </cell>
          <cell r="I1131" t="str">
            <v/>
          </cell>
          <cell r="J1131" t="str">
            <v>Inhibition strength of short peptides derived from an ACE inhibitory peptide.</v>
          </cell>
          <cell r="K1131" t="str">
            <v>10.1021/jf202902r</v>
          </cell>
          <cell r="L1131" t="str">
            <v>21923188</v>
          </cell>
        </row>
        <row r="1132">
          <cell r="F1132" t="str">
            <v>PYKW</v>
          </cell>
          <cell r="G1132" t="str">
            <v/>
          </cell>
          <cell r="H1132" t="str">
            <v/>
          </cell>
          <cell r="I1132" t="str">
            <v/>
          </cell>
          <cell r="J1132" t="str">
            <v>Inhibition strength of short peptides derived from an ACE inhibitory peptide.</v>
          </cell>
          <cell r="K1132" t="str">
            <v>10.1021/jf202902r</v>
          </cell>
          <cell r="L1132" t="str">
            <v>21923188</v>
          </cell>
        </row>
        <row r="1133">
          <cell r="F1133" t="str">
            <v>PYKWLP</v>
          </cell>
          <cell r="G1133" t="str">
            <v/>
          </cell>
          <cell r="H1133" t="str">
            <v/>
          </cell>
          <cell r="I1133" t="str">
            <v/>
          </cell>
          <cell r="J1133" t="str">
            <v>Inhibition strength of short peptides derived from an ACE inhibitory peptide.</v>
          </cell>
          <cell r="K1133" t="str">
            <v>10.1021/jf202902r</v>
          </cell>
          <cell r="L1133" t="str">
            <v>21923188</v>
          </cell>
        </row>
        <row r="1134">
          <cell r="F1134" t="str">
            <v>PYP</v>
          </cell>
          <cell r="G1134" t="str">
            <v/>
          </cell>
          <cell r="H1134" t="str">
            <v/>
          </cell>
          <cell r="I1134" t="str">
            <v/>
          </cell>
          <cell r="J1134" t="str">
            <v>Structural requirements of Angiotensin I-converting enzyme inhibitory peptides: quantitative structure-activity relationship study of di- and tripeptides.; Evaluation of the allergenicity of goat milk, cow milk, and their lactosera in a guinea pig model.</v>
          </cell>
          <cell r="K1134" t="str">
            <v>10.1021/jf051263l; 10.3168/jds.2008-1125</v>
          </cell>
          <cell r="L1134" t="str">
            <v>16448176 19233776</v>
          </cell>
        </row>
        <row r="1135">
          <cell r="F1135" t="str">
            <v>PYVRYL</v>
          </cell>
          <cell r="G1135" t="str">
            <v/>
          </cell>
          <cell r="H1135" t="str">
            <v/>
          </cell>
          <cell r="I1135" t="str">
            <v/>
          </cell>
          <cell r="J1135" t="str">
            <v>Angiotensin-converting enzyme inhibitory activity of peptides derived from caprine kefir.; Antihypertensive peptides: production, bioavailability and incorporation into foods.; Antihypertensive peptides from food proteins: a review.; Novel angiotensin I-converting enzyme inhibitory peptides derived from an edible mushroom, Pleurotus cystidiosus O.K. Miller identified by LC-MS/MS.; Isolation and characterization of peptides with antihypertensive activity in foodstuffs.</v>
          </cell>
          <cell r="K1135" t="str">
            <v>10.3168/jds.S0022-0302(05)73032-0; 10.1016/j.cis.2010.11.001; 10.1039/c2fo10192k; 10.1186/1472-6882-13-313; 10.1080/10408398.2012.664829</v>
          </cell>
          <cell r="L1135" t="str">
            <v>16162521 21185549 22249830 24215325 24915368</v>
          </cell>
        </row>
        <row r="1136">
          <cell r="F1136" t="str">
            <v>QAFT</v>
          </cell>
          <cell r="G1136" t="str">
            <v/>
          </cell>
          <cell r="H1136" t="str">
            <v/>
          </cell>
          <cell r="I1136" t="str">
            <v/>
          </cell>
          <cell r="J1136" t="str">
            <v/>
          </cell>
          <cell r="K1136" t="str">
            <v/>
          </cell>
          <cell r="L1136" t="str">
            <v/>
          </cell>
        </row>
        <row r="1137">
          <cell r="F1137" t="str">
            <v>QEVLP</v>
          </cell>
          <cell r="G1137" t="str">
            <v/>
          </cell>
          <cell r="H1137" t="str">
            <v/>
          </cell>
          <cell r="I1137" t="str">
            <v/>
          </cell>
          <cell r="J1137" t="str">
            <v>Inhibition of angiotensin-converting enzyme by synthetic peptide fragments of various beta-caseins.</v>
          </cell>
          <cell r="K1137" t="str">
            <v/>
          </cell>
          <cell r="L1137" t="str">
            <v>1368548</v>
          </cell>
        </row>
        <row r="1138">
          <cell r="F1138" t="str">
            <v>QF</v>
          </cell>
          <cell r="G1138" t="str">
            <v/>
          </cell>
          <cell r="H1138" t="str">
            <v/>
          </cell>
          <cell r="I1138" t="str">
            <v/>
          </cell>
          <cell r="J1138" t="str">
            <v>Peptides with angiotensin I converting enzyme (ACE) inhibitory activity generated from porcine skeletal muscle proteins by the action of meat-borne Lactobacillus.</v>
          </cell>
          <cell r="K1138" t="str">
            <v>10.1016/j.jprot.2013.06.023</v>
          </cell>
          <cell r="L1138" t="str">
            <v>23806758</v>
          </cell>
        </row>
        <row r="1139">
          <cell r="F1139" t="str">
            <v>QFYQLD</v>
          </cell>
          <cell r="G1139" t="str">
            <v/>
          </cell>
          <cell r="H1139" t="str">
            <v/>
          </cell>
          <cell r="I1139" t="str">
            <v/>
          </cell>
          <cell r="J1139" t="str">
            <v>Hot topic: Changes in angiotensin-converting enzyme inhibition and concentrations of the tripeptides Val-Pro-Pro and Ile-Pro-Pro during ripening of different Swiss cheese varieties.</v>
          </cell>
          <cell r="K1139" t="str">
            <v>10.3168/jds.2008-1531</v>
          </cell>
          <cell r="L1139" t="str">
            <v>19233775</v>
          </cell>
        </row>
        <row r="1140">
          <cell r="F1140" t="str">
            <v>QG</v>
          </cell>
          <cell r="G1140" t="str">
            <v/>
          </cell>
          <cell r="H1140" t="str">
            <v/>
          </cell>
          <cell r="I1140" t="str">
            <v/>
          </cell>
          <cell r="J1140"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What are the ideal properties for functional food peptides with antihypertensive effect? A computational peptidology approach.</v>
          </cell>
          <cell r="K1140" t="str">
            <v>10.1021/jf051263l; 10.1002/psc.892; 10.1007/s00894-010-0862-x; 10.1016/j.foodchem.2013.05.140</v>
          </cell>
          <cell r="L1140" t="str">
            <v>6243277 16448176 17654623 20941517 23871047</v>
          </cell>
        </row>
        <row r="1141">
          <cell r="F1141" t="str">
            <v>QGR</v>
          </cell>
          <cell r="G1141" t="str">
            <v/>
          </cell>
          <cell r="H1141" t="str">
            <v/>
          </cell>
          <cell r="I1141" t="str">
            <v/>
          </cell>
          <cell r="J1141" t="str">
            <v/>
          </cell>
          <cell r="K1141" t="str">
            <v/>
          </cell>
          <cell r="L1141" t="str">
            <v/>
          </cell>
        </row>
        <row r="1142">
          <cell r="F1142" t="str">
            <v>QHEAT</v>
          </cell>
          <cell r="G1142" t="str">
            <v/>
          </cell>
          <cell r="H1142" t="str">
            <v/>
          </cell>
          <cell r="I1142" t="str">
            <v/>
          </cell>
          <cell r="J1142" t="str">
            <v/>
          </cell>
          <cell r="K1142" t="str">
            <v/>
          </cell>
          <cell r="L1142" t="str">
            <v/>
          </cell>
        </row>
        <row r="1143">
          <cell r="F1143" t="str">
            <v>QIGLF</v>
          </cell>
          <cell r="G1143" t="str">
            <v/>
          </cell>
          <cell r="H1143" t="str">
            <v/>
          </cell>
          <cell r="I1143" t="str">
            <v/>
          </cell>
          <cell r="J1143" t="str">
            <v/>
          </cell>
          <cell r="K1143" t="str">
            <v/>
          </cell>
          <cell r="L1143" t="str">
            <v/>
          </cell>
        </row>
        <row r="1144">
          <cell r="F1144" t="str">
            <v>QK</v>
          </cell>
          <cell r="G1144" t="str">
            <v>pea vicilin</v>
          </cell>
          <cell r="H1144" t="str">
            <v/>
          </cell>
          <cell r="I1144" t="str">
            <v/>
          </cell>
          <cell r="J1144" t="str">
            <v>Structural requirements of Angiotensin I-converting enzyme inhibitory peptides: quantitative structure-activity relationship study of di- and tripeptides.; Model of the exofacial substrate-binding site and helical folding of the human Glut1 glucose transporter based on scanning mutagenesis.; Peptides with angiotensin I converting enzyme (ACE) inhibitory activity generated from porcine skeletal muscle proteins by the action of meat-borne Lactobacillus.</v>
          </cell>
          <cell r="K1144" t="str">
            <v>10.1021/jf051263l; 10.1021/bi900521n; 10.1016/j.jprot.2013.06.023</v>
          </cell>
          <cell r="L1144" t="str">
            <v>16448176 19449892 23806758</v>
          </cell>
        </row>
        <row r="1145">
          <cell r="F1145" t="str">
            <v>QKALNEINQF</v>
          </cell>
          <cell r="G1145" t="str">
            <v/>
          </cell>
          <cell r="H1145" t="str">
            <v/>
          </cell>
          <cell r="I1145" t="str">
            <v/>
          </cell>
          <cell r="J1145" t="str">
            <v/>
          </cell>
          <cell r="K1145" t="str">
            <v/>
          </cell>
          <cell r="L1145" t="str">
            <v/>
          </cell>
        </row>
        <row r="1146">
          <cell r="F1146" t="str">
            <v>QKAVPYPQRDMPI</v>
          </cell>
          <cell r="G1146" t="str">
            <v/>
          </cell>
          <cell r="H1146" t="str">
            <v/>
          </cell>
          <cell r="I1146" t="str">
            <v/>
          </cell>
          <cell r="J1146" t="str">
            <v>Identification of angiotensin-I-converting enzyme inhibitory peptides derived from sodium caseinate hydrolysates produced by Lactobacillus helveticus NCC 2765.</v>
          </cell>
          <cell r="K1146" t="str">
            <v>10.1021/jf049510t</v>
          </cell>
          <cell r="L1146" t="str">
            <v>15537298</v>
          </cell>
        </row>
        <row r="1147">
          <cell r="F1147" t="str">
            <v>QKF</v>
          </cell>
          <cell r="G1147" t="str">
            <v/>
          </cell>
          <cell r="H1147" t="str">
            <v/>
          </cell>
          <cell r="I1147" t="str">
            <v/>
          </cell>
          <cell r="J1147" t="str">
            <v/>
          </cell>
          <cell r="K1147" t="str">
            <v/>
          </cell>
          <cell r="L1147" t="str">
            <v/>
          </cell>
        </row>
        <row r="1148">
          <cell r="F1148" t="str">
            <v>QKPRN</v>
          </cell>
          <cell r="G1148" t="str">
            <v/>
          </cell>
          <cell r="H1148" t="str">
            <v/>
          </cell>
          <cell r="I1148" t="str">
            <v/>
          </cell>
          <cell r="J1148" t="str">
            <v/>
          </cell>
          <cell r="K1148" t="str">
            <v/>
          </cell>
          <cell r="L1148" t="str">
            <v/>
          </cell>
        </row>
        <row r="1149">
          <cell r="F1149" t="str">
            <v>QKTAP</v>
          </cell>
          <cell r="G1149" t="str">
            <v/>
          </cell>
          <cell r="H1149" t="str">
            <v/>
          </cell>
          <cell r="I1149" t="str">
            <v/>
          </cell>
          <cell r="J1149" t="str">
            <v>Inhibition of angiotensin-converting enzyme by synthetic peptide fragments of human kappa-casein.</v>
          </cell>
          <cell r="K1149" t="str">
            <v/>
          </cell>
          <cell r="L1149" t="str">
            <v>1368540</v>
          </cell>
        </row>
        <row r="1150">
          <cell r="F1150" t="str">
            <v>QKW</v>
          </cell>
          <cell r="G1150" t="str">
            <v/>
          </cell>
          <cell r="H1150" t="str">
            <v/>
          </cell>
          <cell r="I1150" t="str">
            <v/>
          </cell>
          <cell r="J1150" t="str">
            <v/>
          </cell>
          <cell r="K1150" t="str">
            <v/>
          </cell>
          <cell r="L1150" t="str">
            <v/>
          </cell>
        </row>
        <row r="1151">
          <cell r="F1151" t="str">
            <v>QLGFLGPR</v>
          </cell>
          <cell r="G1151" t="str">
            <v/>
          </cell>
          <cell r="H1151" t="str">
            <v/>
          </cell>
          <cell r="I1151" t="str">
            <v/>
          </cell>
          <cell r="J1151" t="str">
            <v>A new QSAR model, for angiotensin I-converting enzyme inhibitory oligopeptides.; Review on the angiotensin-I-converting enzyme (ACE) inhibitor peptides from marine proteins.</v>
          </cell>
          <cell r="K1151" t="str">
            <v>10.1016/j.foodchem.2012.09.092; 10.1007/s12010-012-0024-y</v>
          </cell>
          <cell r="L1151" t="str">
            <v>23194537 23271625</v>
          </cell>
        </row>
        <row r="1152">
          <cell r="F1152" t="str">
            <v>QLLKLK</v>
          </cell>
          <cell r="G1152" t="str">
            <v/>
          </cell>
          <cell r="H1152" t="str">
            <v/>
          </cell>
          <cell r="I1152" t="str">
            <v/>
          </cell>
          <cell r="J1152" t="str">
            <v>Angiotensin-converting enzyme inhibitory activity of peptides derived from caprine kefir.</v>
          </cell>
          <cell r="K1152" t="str">
            <v>10.3168/jds.S0022-0302(05)73032-0</v>
          </cell>
          <cell r="L1152" t="str">
            <v>16162521</v>
          </cell>
        </row>
        <row r="1153">
          <cell r="F1153" t="str">
            <v>QN</v>
          </cell>
          <cell r="G1153" t="str">
            <v/>
          </cell>
          <cell r="H1153" t="str">
            <v/>
          </cell>
          <cell r="I1153" t="str">
            <v/>
          </cell>
          <cell r="J1153" t="str">
            <v/>
          </cell>
          <cell r="K1153" t="str">
            <v/>
          </cell>
          <cell r="L1153" t="str">
            <v/>
          </cell>
        </row>
        <row r="1154">
          <cell r="F1154" t="str">
            <v>QNALIVRYTR</v>
          </cell>
          <cell r="G1154" t="str">
            <v/>
          </cell>
          <cell r="H1154" t="str">
            <v/>
          </cell>
          <cell r="I1154" t="str">
            <v/>
          </cell>
          <cell r="J1154" t="str">
            <v/>
          </cell>
          <cell r="K1154" t="str">
            <v/>
          </cell>
          <cell r="L1154" t="str">
            <v/>
          </cell>
        </row>
        <row r="1155">
          <cell r="F1155" t="str">
            <v>QNILP</v>
          </cell>
          <cell r="G1155" t="str">
            <v/>
          </cell>
          <cell r="H1155" t="str">
            <v/>
          </cell>
          <cell r="I1155" t="str">
            <v/>
          </cell>
          <cell r="J1155" t="str">
            <v>Inhibition of angiotensin-converting enzyme by synthetic peptide fragments of various beta-caseins.</v>
          </cell>
          <cell r="K1155" t="str">
            <v/>
          </cell>
          <cell r="L1155" t="str">
            <v>1368548</v>
          </cell>
        </row>
        <row r="1156">
          <cell r="F1156" t="str">
            <v>QNIPP</v>
          </cell>
          <cell r="G1156" t="str">
            <v/>
          </cell>
          <cell r="H1156" t="str">
            <v/>
          </cell>
          <cell r="I1156" t="str">
            <v/>
          </cell>
          <cell r="J1156" t="str">
            <v/>
          </cell>
          <cell r="K1156" t="str">
            <v/>
          </cell>
          <cell r="L1156" t="str">
            <v/>
          </cell>
        </row>
        <row r="1157">
          <cell r="F1157" t="str">
            <v>QNLLRF</v>
          </cell>
          <cell r="G1157" t="str">
            <v/>
          </cell>
          <cell r="H1157" t="str">
            <v/>
          </cell>
          <cell r="I1157" t="str">
            <v/>
          </cell>
          <cell r="J1157" t="str">
            <v>Milk protein peptides with angiotensin I-converting enzyme inhibitory (ACEI) activity.</v>
          </cell>
          <cell r="K1157" t="str">
            <v>10.1080/10408390802304198</v>
          </cell>
          <cell r="L1157" t="str">
            <v>20373185</v>
          </cell>
        </row>
        <row r="1158">
          <cell r="F1158" t="str">
            <v>QP</v>
          </cell>
          <cell r="G1158" t="str">
            <v/>
          </cell>
          <cell r="H1158" t="str">
            <v/>
          </cell>
          <cell r="I1158" t="str">
            <v/>
          </cell>
          <cell r="J1158" t="str">
            <v/>
          </cell>
          <cell r="K1158" t="str">
            <v/>
          </cell>
          <cell r="L1158" t="str">
            <v/>
          </cell>
        </row>
        <row r="1159">
          <cell r="F1159" t="str">
            <v>QPIP</v>
          </cell>
          <cell r="G1159" t="str">
            <v/>
          </cell>
          <cell r="H1159" t="str">
            <v/>
          </cell>
          <cell r="I1159" t="str">
            <v/>
          </cell>
          <cell r="J1159" t="str">
            <v>Inhibition of angiotensin-converting enzyme by synthetic peptide fragments of various beta-caseins.; What are the ideal properties for functional food peptides with antihypertensive effect? A computational peptidology approach.</v>
          </cell>
          <cell r="K1159" t="str">
            <v>10.1016/j.foodchem.2013.05.140</v>
          </cell>
          <cell r="L1159" t="str">
            <v>1368548 23871047</v>
          </cell>
        </row>
        <row r="1160">
          <cell r="F1160" t="str">
            <v>QPLIYP</v>
          </cell>
          <cell r="G1160" t="str">
            <v/>
          </cell>
          <cell r="H1160" t="str">
            <v/>
          </cell>
          <cell r="I1160" t="str">
            <v/>
          </cell>
          <cell r="J1160" t="str">
            <v>Inhibition of angiotensin-converting enzyme by synthetic peptide fragments of various beta-caseins.</v>
          </cell>
          <cell r="K1160" t="str">
            <v/>
          </cell>
          <cell r="L1160" t="str">
            <v>1368548</v>
          </cell>
        </row>
        <row r="1161">
          <cell r="F1161" t="str">
            <v>QPQ</v>
          </cell>
          <cell r="G1161" t="str">
            <v/>
          </cell>
          <cell r="H1161" t="str">
            <v/>
          </cell>
          <cell r="I1161" t="str">
            <v/>
          </cell>
          <cell r="J1161" t="str">
            <v>Angiotensin I-converting-enzyme-inhibitory and antibacterial peptides from Lactobacillus helveticus PR4 proteinase-hydrolyzed caseins of milk from six species.</v>
          </cell>
          <cell r="K1161" t="str">
            <v>10.1128/AEM.69.9.5297-5305.2003</v>
          </cell>
          <cell r="L1161" t="str">
            <v>12957917</v>
          </cell>
        </row>
        <row r="1162">
          <cell r="F1162" t="str">
            <v>QPQPLIYP</v>
          </cell>
          <cell r="G1162" t="str">
            <v/>
          </cell>
          <cell r="H1162" t="str">
            <v/>
          </cell>
          <cell r="I1162" t="str">
            <v/>
          </cell>
          <cell r="J1162" t="str">
            <v>Inhibition of angiotensin-converting enzyme by synthetic peptide fragments of various beta-caseins.</v>
          </cell>
          <cell r="K1162" t="str">
            <v/>
          </cell>
          <cell r="L1162" t="str">
            <v>1368548</v>
          </cell>
        </row>
        <row r="1163">
          <cell r="F1163" t="str">
            <v>QQI</v>
          </cell>
          <cell r="G1163" t="str">
            <v/>
          </cell>
          <cell r="H1163" t="str">
            <v/>
          </cell>
          <cell r="I1163" t="str">
            <v/>
          </cell>
          <cell r="J1163" t="str">
            <v/>
          </cell>
          <cell r="K1163" t="str">
            <v/>
          </cell>
          <cell r="L1163" t="str">
            <v/>
          </cell>
        </row>
        <row r="1164">
          <cell r="F1164" t="str">
            <v>QQQG</v>
          </cell>
          <cell r="G1164" t="str">
            <v/>
          </cell>
          <cell r="H1164" t="str">
            <v/>
          </cell>
          <cell r="I1164" t="str">
            <v/>
          </cell>
          <cell r="J1164" t="str">
            <v/>
          </cell>
          <cell r="K1164" t="str">
            <v/>
          </cell>
          <cell r="L1164" t="str">
            <v/>
          </cell>
        </row>
        <row r="1165">
          <cell r="F1165" t="str">
            <v>QSLVYP</v>
          </cell>
          <cell r="G1165" t="str">
            <v/>
          </cell>
          <cell r="H1165" t="str">
            <v/>
          </cell>
          <cell r="I1165" t="str">
            <v/>
          </cell>
          <cell r="J1165" t="str">
            <v>Inhibition of angiotensin-converting enzyme by synthetic peptide fragments of various beta-caseins.; Evaluation of the allergenicity of goat milk, cow milk, and their lactosera in a guinea pig model.</v>
          </cell>
          <cell r="K1165" t="str">
            <v>10.3168/jds.2008-1125</v>
          </cell>
          <cell r="L1165" t="str">
            <v>1368548 19233776</v>
          </cell>
        </row>
        <row r="1166">
          <cell r="F1166" t="str">
            <v>QSWMHQPHQPLPPTVM</v>
          </cell>
          <cell r="G1166" t="str">
            <v/>
          </cell>
          <cell r="H1166" t="str">
            <v/>
          </cell>
          <cell r="I1166" t="str">
            <v/>
          </cell>
          <cell r="J1166" t="str">
            <v/>
          </cell>
          <cell r="K1166" t="str">
            <v/>
          </cell>
          <cell r="L1166" t="str">
            <v/>
          </cell>
        </row>
        <row r="1167">
          <cell r="F1167" t="str">
            <v>QTQSLVYP</v>
          </cell>
          <cell r="G1167" t="str">
            <v/>
          </cell>
          <cell r="H1167" t="str">
            <v/>
          </cell>
          <cell r="I1167" t="str">
            <v/>
          </cell>
          <cell r="J1167" t="str">
            <v>Inhibition of angiotensin-converting enzyme by synthetic peptide fragments of various beta-caseins.; Evaluation of the allergenicity of goat milk, cow milk, and their lactosera in a guinea pig model.</v>
          </cell>
          <cell r="K1167" t="str">
            <v>10.3168/jds.2008-1125</v>
          </cell>
          <cell r="L1167" t="str">
            <v>1368548 19233776</v>
          </cell>
        </row>
        <row r="1168">
          <cell r="F1168" t="str">
            <v>QTQYTDAPSFSDIPNPIGSENSEKTTMPLW</v>
          </cell>
          <cell r="G1168" t="str">
            <v/>
          </cell>
          <cell r="H1168" t="str">
            <v/>
          </cell>
          <cell r="I1168" t="str">
            <v/>
          </cell>
          <cell r="J1168" t="str">
            <v>Antihypertensive effect of the peptides derived from casein by an extracellular proteinase from Lactobacillus helveticus CP790.</v>
          </cell>
          <cell r="K1168" t="str">
            <v>10.3168/jds.S0022-0302(94)77026-0</v>
          </cell>
          <cell r="L1168" t="str">
            <v>8201050</v>
          </cell>
        </row>
        <row r="1169">
          <cell r="F1169" t="str">
            <v>QVPQPIP</v>
          </cell>
          <cell r="G1169" t="str">
            <v/>
          </cell>
          <cell r="H1169" t="str">
            <v/>
          </cell>
          <cell r="I1169" t="str">
            <v/>
          </cell>
          <cell r="J1169" t="str">
            <v>Inhibition of angiotensin-converting enzyme by synthetic peptide fragments of various beta-caseins.</v>
          </cell>
          <cell r="K1169" t="str">
            <v/>
          </cell>
          <cell r="L1169" t="str">
            <v>1368548</v>
          </cell>
        </row>
        <row r="1170">
          <cell r="F1170" t="str">
            <v>QVSLNSGYY</v>
          </cell>
          <cell r="G1170" t="str">
            <v/>
          </cell>
          <cell r="H1170" t="str">
            <v/>
          </cell>
          <cell r="I1170" t="str">
            <v/>
          </cell>
          <cell r="J1170" t="str">
            <v>QSAR study on angiotensin-converting enzyme inhibitor oligopeptides based on a novel set of sequence information descriptors.; A new QSAR model, for angiotensin I-converting enzyme inhibitory oligopeptides.</v>
          </cell>
          <cell r="K1170" t="str">
            <v>10.1007/s00894-010-0862-x; 10.1016/j.foodchem.2012.09.092</v>
          </cell>
          <cell r="L1170" t="str">
            <v>20941517 23194537</v>
          </cell>
        </row>
        <row r="1171">
          <cell r="F1171" t="str">
            <v>QVVF</v>
          </cell>
          <cell r="G1171" t="str">
            <v/>
          </cell>
          <cell r="H1171" t="str">
            <v/>
          </cell>
          <cell r="I1171" t="str">
            <v/>
          </cell>
          <cell r="J1171" t="str">
            <v/>
          </cell>
          <cell r="K1171" t="str">
            <v/>
          </cell>
          <cell r="L1171" t="str">
            <v/>
          </cell>
        </row>
        <row r="1172">
          <cell r="F1172" t="str">
            <v>RA</v>
          </cell>
          <cell r="G1172" t="str">
            <v/>
          </cell>
          <cell r="H1172" t="str">
            <v/>
          </cell>
          <cell r="I1172" t="str">
            <v/>
          </cell>
          <cell r="J1172" t="str">
            <v>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1172" t="str">
            <v>10.1002/psc.892; 10.1007/s00894-010-0862-x; 10.1016/j.jprot.2013.06.023; 10.1016/j.foodchem.2013.05.140</v>
          </cell>
          <cell r="L1172" t="str">
            <v>17654623 20941517 23806758 23871047</v>
          </cell>
        </row>
        <row r="1173">
          <cell r="F1173" t="str">
            <v>RADHP</v>
          </cell>
          <cell r="G1173" t="str">
            <v/>
          </cell>
          <cell r="H1173" t="str">
            <v/>
          </cell>
          <cell r="I1173" t="str">
            <v/>
          </cell>
          <cell r="J1173" t="str">
            <v/>
          </cell>
          <cell r="K1173" t="str">
            <v/>
          </cell>
          <cell r="L1173" t="str">
            <v/>
          </cell>
        </row>
        <row r="1174">
          <cell r="F1174" t="str">
            <v>RADHPF</v>
          </cell>
          <cell r="G1174" t="str">
            <v/>
          </cell>
          <cell r="H1174" t="str">
            <v/>
          </cell>
          <cell r="I1174" t="str">
            <v/>
          </cell>
          <cell r="J1174" t="str">
            <v/>
          </cell>
          <cell r="K1174" t="str">
            <v/>
          </cell>
          <cell r="L1174" t="str">
            <v/>
          </cell>
        </row>
        <row r="1175">
          <cell r="F1175" t="str">
            <v>RADHPFL</v>
          </cell>
          <cell r="G1175" t="str">
            <v/>
          </cell>
          <cell r="H1175" t="str">
            <v/>
          </cell>
          <cell r="I1175" t="str">
            <v/>
          </cell>
          <cell r="J1175" t="str">
            <v>Antihypertensive peptides: production, bioavailability and incorporation into foods.; Antihypertensive peptides from food proteins: a review.</v>
          </cell>
          <cell r="K1175" t="str">
            <v>10.1016/j.cis.2010.11.001; 10.1039/c2fo10192k</v>
          </cell>
          <cell r="L1175" t="str">
            <v>21185549 22249830</v>
          </cell>
        </row>
        <row r="1176">
          <cell r="F1176" t="str">
            <v>RADHRYNDLGHR</v>
          </cell>
          <cell r="G1176" t="str">
            <v/>
          </cell>
          <cell r="H1176" t="str">
            <v/>
          </cell>
          <cell r="I1176" t="str">
            <v/>
          </cell>
          <cell r="J1176" t="str">
            <v/>
          </cell>
          <cell r="K1176" t="str">
            <v/>
          </cell>
          <cell r="L1176" t="str">
            <v/>
          </cell>
        </row>
        <row r="1177">
          <cell r="F1177" t="str">
            <v>RALP</v>
          </cell>
          <cell r="G1177" t="str">
            <v/>
          </cell>
          <cell r="H1177" t="str">
            <v/>
          </cell>
          <cell r="I1177" t="str">
            <v/>
          </cell>
          <cell r="J1177" t="str">
            <v>Glycinyl-histidinyl-serine (GHS), a novel rapeseed protein-derived peptide has blood pressure-lowering effect in spontaneously hypertensive rats.</v>
          </cell>
          <cell r="K1177" t="str">
            <v>10.1021/jf400865m</v>
          </cell>
          <cell r="L1177" t="str">
            <v>23919612</v>
          </cell>
        </row>
        <row r="1178">
          <cell r="F1178" t="str">
            <v>RCPET</v>
          </cell>
          <cell r="G1178" t="str">
            <v/>
          </cell>
          <cell r="H1178" t="str">
            <v/>
          </cell>
          <cell r="I1178" t="str">
            <v/>
          </cell>
          <cell r="J1178" t="str">
            <v/>
          </cell>
          <cell r="K1178" t="str">
            <v/>
          </cell>
          <cell r="L1178" t="str">
            <v/>
          </cell>
        </row>
        <row r="1179">
          <cell r="F1179" t="str">
            <v>RDLPG</v>
          </cell>
          <cell r="G1179" t="str">
            <v/>
          </cell>
          <cell r="H1179" t="str">
            <v/>
          </cell>
          <cell r="I1179" t="str">
            <v/>
          </cell>
          <cell r="J1179" t="str">
            <v/>
          </cell>
          <cell r="K1179" t="str">
            <v/>
          </cell>
          <cell r="L1179" t="str">
            <v/>
          </cell>
        </row>
        <row r="1180">
          <cell r="F1180" t="str">
            <v>RDMPIQAF</v>
          </cell>
          <cell r="G1180" t="str">
            <v/>
          </cell>
          <cell r="H1180" t="str">
            <v/>
          </cell>
          <cell r="I1180" t="str">
            <v/>
          </cell>
          <cell r="J1180" t="str">
            <v>Identification of angiotensin-I-converting enzyme inhibitory peptides derived from sodium caseinate hydrolysates produced by Lactobacillus helveticus NCC 2765.; A new QSAR model, for angiotensin I-converting enzyme inhibitory oligopeptides.</v>
          </cell>
          <cell r="K1180" t="str">
            <v>10.1021/jf049510t; 10.1016/j.foodchem.2012.09.092</v>
          </cell>
          <cell r="L1180" t="str">
            <v>15537298 23194537</v>
          </cell>
        </row>
        <row r="1181">
          <cell r="F1181" t="str">
            <v>REKVLASS</v>
          </cell>
          <cell r="G1181" t="str">
            <v/>
          </cell>
          <cell r="H1181" t="str">
            <v/>
          </cell>
          <cell r="I1181" t="str">
            <v/>
          </cell>
          <cell r="J1181" t="str">
            <v/>
          </cell>
          <cell r="K1181" t="str">
            <v/>
          </cell>
          <cell r="L1181" t="str">
            <v/>
          </cell>
        </row>
        <row r="1182">
          <cell r="F1182" t="str">
            <v>RELEE</v>
          </cell>
          <cell r="G1182" t="str">
            <v/>
          </cell>
          <cell r="H1182" t="str">
            <v/>
          </cell>
          <cell r="I1182" t="str">
            <v/>
          </cell>
          <cell r="J1182" t="str">
            <v>Enterococcus faecalis strains from food, environmental, and clinical origin produce ACE-inhibitory peptides and other bioactive peptides during growth in bovine skim milk.</v>
          </cell>
          <cell r="K1182" t="str">
            <v>10.1016/j.ijfoodmicro.2013.06.019</v>
          </cell>
          <cell r="L1182" t="str">
            <v>23845432</v>
          </cell>
        </row>
        <row r="1183">
          <cell r="F1183" t="str">
            <v>RELEEL</v>
          </cell>
          <cell r="G1183" t="str">
            <v/>
          </cell>
          <cell r="H1183" t="str">
            <v/>
          </cell>
          <cell r="I1183" t="str">
            <v/>
          </cell>
          <cell r="J1183" t="str">
            <v>A new QSAR model, for angiotensin I-converting enzyme inhibitory oligopeptides.</v>
          </cell>
          <cell r="K1183" t="str">
            <v>10.1016/j.foodchem.2012.09.092</v>
          </cell>
          <cell r="L1183" t="str">
            <v>23194537</v>
          </cell>
        </row>
        <row r="1184">
          <cell r="F1184" t="str">
            <v>REQEEL</v>
          </cell>
          <cell r="G1184" t="str">
            <v/>
          </cell>
          <cell r="H1184" t="str">
            <v/>
          </cell>
          <cell r="I1184" t="str">
            <v/>
          </cell>
          <cell r="J1184" t="str">
            <v/>
          </cell>
          <cell r="K1184" t="str">
            <v/>
          </cell>
          <cell r="L1184" t="str">
            <v/>
          </cell>
        </row>
        <row r="1185">
          <cell r="F1185" t="str">
            <v>RF</v>
          </cell>
          <cell r="G1185" t="str">
            <v/>
          </cell>
          <cell r="H1185" t="str">
            <v/>
          </cell>
          <cell r="I1185" t="str">
            <v/>
          </cell>
          <cell r="J1185" t="str">
            <v>Structure and activity of angiotensin I converting enzyme inhibitory peptides from sake and sake lees.;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Bioactive peptides in amaranth (Amaranthus hypochondriacus) seed.; QSAR study on angiotensin-converting enzyme inhibitor oligopeptides based on a novel set of sequence information descriptors.; Antihypertensive peptides from food proteins: a review.; Vegetable foods: a cheap source of proteins and peptides with antihypertensive, antioxidant, and other less occurrence bioactivities.; What are the ideal properties for functional food peptides with antihypertensive effect? A computational peptidology approach.</v>
          </cell>
          <cell r="K1185" t="str">
            <v>10.1271/bbb.58.1767; 10.1021/jf051263l; 10.1002/psc.800; 10.1002/psc.892; 10.1021/jf072911z; 10.1007/s00894-010-0862-x; 10.1039/c2fo10192k; 10.1016/j.talanta.2012.12.041; 10.1016/j.foodchem.2013.05.140</v>
          </cell>
          <cell r="L1185" t="str">
            <v>7765503 16448176 17117396 17654623 18211015 20941517 22249830 23598136 23871047</v>
          </cell>
        </row>
        <row r="1186">
          <cell r="F1186" t="str">
            <v>RFH</v>
          </cell>
          <cell r="G1186" t="str">
            <v/>
          </cell>
          <cell r="H1186" t="str">
            <v/>
          </cell>
          <cell r="I1186" t="str">
            <v/>
          </cell>
          <cell r="J1186" t="str">
            <v>Angiotensin I-converting enzyme inhibitory peptides in an alkaline protease hydrolyzate derived from sardine muscle.; Structural requirements of Angiotensin I-converting enzyme inhibitory peptides: quantitative structure-activity relationship study of di- and tripeptides.; Review on the angiotensin-I-converting enzyme (ACE) inhibitor peptides from marine proteins.; What are the ideal properties for functional food peptides with antihypertensive effect? A computational peptidology approach.</v>
          </cell>
          <cell r="K1186" t="str">
            <v>10.1271/bbb.58.2244; 10.1021/jf051263l; 10.1007/s12010-012-0024-y; 10.1016/j.foodchem.2013.05.140</v>
          </cell>
          <cell r="L1186" t="str">
            <v>7765718 16448176 23271625 23871047</v>
          </cell>
        </row>
        <row r="1187">
          <cell r="F1187" t="str">
            <v>RG</v>
          </cell>
          <cell r="G1187" t="str">
            <v/>
          </cell>
          <cell r="H1187" t="str">
            <v/>
          </cell>
          <cell r="I1187" t="str">
            <v/>
          </cell>
          <cell r="J1187" t="str">
            <v>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v>
          </cell>
          <cell r="K1187" t="str">
            <v>10.1021/jf051263l; 10.1002/psc.800</v>
          </cell>
          <cell r="L1187" t="str">
            <v>16448176 17117396</v>
          </cell>
        </row>
        <row r="1188">
          <cell r="F1188" t="str">
            <v>RGLERA</v>
          </cell>
          <cell r="G1188" t="str">
            <v/>
          </cell>
          <cell r="H1188" t="str">
            <v/>
          </cell>
          <cell r="I1188" t="str">
            <v/>
          </cell>
          <cell r="J1188" t="str">
            <v/>
          </cell>
          <cell r="K1188" t="str">
            <v/>
          </cell>
          <cell r="L1188" t="str">
            <v/>
          </cell>
        </row>
        <row r="1189">
          <cell r="F1189" t="str">
            <v>RGP</v>
          </cell>
          <cell r="G1189" t="str">
            <v/>
          </cell>
          <cell r="H1189" t="str">
            <v/>
          </cell>
          <cell r="I1189" t="str">
            <v/>
          </cell>
          <cell r="J1189"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189" t="str">
            <v>10.1002/psc.800; 10.1007/s00894-010-0862-x; 10.1016/j.foodchem.2013.05.140</v>
          </cell>
          <cell r="L1189" t="str">
            <v>17117396 20941517 23871047</v>
          </cell>
        </row>
        <row r="1190">
          <cell r="F1190" t="str">
            <v>RGPFPIIV</v>
          </cell>
          <cell r="G1190" t="str">
            <v/>
          </cell>
          <cell r="H1190" t="str">
            <v/>
          </cell>
          <cell r="I1190" t="str">
            <v/>
          </cell>
          <cell r="J1190" t="str">
            <v>Putting microbes to work: dairy fermentation, cell factories and bioactive peptides. Part I: overview.</v>
          </cell>
          <cell r="K1190" t="str">
            <v>10.1002/biot.200600246</v>
          </cell>
          <cell r="L1190" t="str">
            <v>17407210</v>
          </cell>
        </row>
        <row r="1191">
          <cell r="F1191" t="str">
            <v>RGY</v>
          </cell>
          <cell r="G1191" t="str">
            <v/>
          </cell>
          <cell r="H1191" t="str">
            <v/>
          </cell>
          <cell r="I1191" t="str">
            <v/>
          </cell>
          <cell r="J1191" t="str">
            <v>ACE inhibitory peptides and antioxidant peptides derived from in vitro digestion hydrolysate of hen egg white lysozyme.</v>
          </cell>
          <cell r="K1191" t="str">
            <v>10.1016/j.foodchem.2012.05.059</v>
          </cell>
          <cell r="L1191" t="str">
            <v>22953850</v>
          </cell>
        </row>
        <row r="1192">
          <cell r="F1192" t="str">
            <v>RIGLF</v>
          </cell>
          <cell r="G1192" t="str">
            <v/>
          </cell>
          <cell r="H1192" t="str">
            <v/>
          </cell>
          <cell r="I1192" t="str">
            <v/>
          </cell>
          <cell r="J1192" t="str">
            <v>Novel angiotensin I-converting enzyme inhibitory peptides derived from edible mushroom Agaricus bisporus (J.E. Lange) Imbach identified by LC-MS/MS.</v>
          </cell>
          <cell r="K1192" t="str">
            <v>10.1016/j.foodchem.2013.10.053</v>
          </cell>
          <cell r="L1192" t="str">
            <v>24262574</v>
          </cell>
        </row>
        <row r="1193">
          <cell r="F1193" t="str">
            <v>RIY</v>
          </cell>
          <cell r="G1193" t="str">
            <v/>
          </cell>
          <cell r="H1193" t="str">
            <v/>
          </cell>
          <cell r="I1193" t="str">
            <v/>
          </cell>
          <cell r="J1193" t="str">
            <v>New antihypertensive peptides isolated from rapeseed.; Structural requirements of Angiotensin I-converting enzyme inhibitory peptides: quantitative structure-activity relationship study of di- and tripeptides.; Angiotensin converting enzyme inhibitory peptides derived from food proteins: biochemistry, bioactivity and production.; Antihypertensive peptides from food proteins: a review.; What are the ideal properties for functional food peptides with antihypertensive effect? A computational peptidology approach.; Glycinyl-histidinyl-serine (GHS), a novel rapeseed protein-derived peptide has blood pressure-lowering effect in spontaneously hypertensive rats.</v>
          </cell>
          <cell r="K1193" t="str">
            <v>10.1016/s0196-9781(03)00174-8; 10.1021/jf051263l; 10.2174/138161207780363068; 10.1039/c2fo10192k; 10.1016/j.foodchem.2013.05.140; 10.1021/jf400865m</v>
          </cell>
          <cell r="L1193" t="str">
            <v>12948830 16448176 17430180 22249830 23871047 23919612</v>
          </cell>
        </row>
        <row r="1194">
          <cell r="F1194" t="str">
            <v>RL</v>
          </cell>
          <cell r="G1194" t="str">
            <v/>
          </cell>
          <cell r="H1194" t="str">
            <v/>
          </cell>
          <cell r="I1194" t="str">
            <v/>
          </cell>
          <cell r="J1194" t="str">
            <v>Structural requirements of Angiotensin I-converting enzyme inhibitory peptides: quantitative structure-activity relationship study of di- and tripeptides.; Bioactive peptides in amaranth (Amaranthus hypochondriacus) seed.; Quality and acceptability of a set-type yogurt made from camel milk.; Peptides with angiotensin I converting enzyme (ACE) inhibitory activity generated from porcine skeletal muscle proteins by the action of meat-borne Lactobacillus.</v>
          </cell>
          <cell r="K1194" t="str">
            <v>10.1021/jf051263l; 10.1021/jf072911z; 10.3168/jds.2008-1408; 10.1016/j.jprot.2013.06.023</v>
          </cell>
          <cell r="L1194" t="str">
            <v>16448176 18211015 19233778 23806758</v>
          </cell>
        </row>
        <row r="1195">
          <cell r="F1195" t="str">
            <v>RLPSEFDLSAFLRA</v>
          </cell>
          <cell r="G1195" t="str">
            <v/>
          </cell>
          <cell r="H1195" t="str">
            <v/>
          </cell>
          <cell r="I1195" t="str">
            <v/>
          </cell>
          <cell r="J1195" t="str">
            <v>Characterisation of a new antihypertensive angiotensin I-converting enzyme inhibitory peptide from Pleurotus cornucopiae.; Vegetable foods: a cheap source of proteins and peptides with antihypertensive, antioxidant, and other less occurrence bioactivities.; Characterization of an antihypertensive angiotensin I-converting enzyme inhibitory peptide from the edible mushroom Hypsizygus marmoreus.</v>
          </cell>
          <cell r="K1195" t="str">
            <v>10.1016/j.foodchem.2011.01.010; 10.1016/j.talanta.2012.12.041; 10.1155/2013/283964</v>
          </cell>
          <cell r="L1195" t="str">
            <v>23140680 23598136 24380081</v>
          </cell>
        </row>
        <row r="1196">
          <cell r="F1196" t="str">
            <v>RLSGQTIEVTSEYLFRH</v>
          </cell>
          <cell r="G1196" t="str">
            <v/>
          </cell>
          <cell r="H1196" t="str">
            <v/>
          </cell>
          <cell r="I1196" t="str">
            <v/>
          </cell>
          <cell r="J1196" t="str">
            <v>Antihypertensive peptides from food proteins: a review.; Characterisation of a new antihypertensive angiotensin I-converting enzyme inhibitory peptide from Pleurotus cornucopiae.; Vegetable foods: a cheap source of proteins and peptides with antihypertensive, antioxidant, and other less occurrence bioactivities.; Characterization of an antihypertensive angiotensin I-converting enzyme inhibitory peptide from the edible mushroom Hypsizygus marmoreus.</v>
          </cell>
          <cell r="K1196" t="str">
            <v>10.1039/c2fo10192k; 10.1016/j.foodchem.2011.01.010; 10.1016/j.talanta.2012.12.041; 10.1155/2013/283964</v>
          </cell>
          <cell r="L1196" t="str">
            <v>22249830 23140680 23598136 24380081</v>
          </cell>
        </row>
        <row r="1197">
          <cell r="F1197" t="str">
            <v>RML</v>
          </cell>
          <cell r="G1197" t="str">
            <v/>
          </cell>
          <cell r="H1197" t="str">
            <v/>
          </cell>
          <cell r="I1197" t="str">
            <v/>
          </cell>
          <cell r="J1197" t="str">
            <v>Structural requirements of Angiotensin I-converting enzyme inhibitory peptides: quantitative structure-activity relationship study of di- and tripeptides.</v>
          </cell>
          <cell r="K1197" t="str">
            <v>10.1021/jf051263l</v>
          </cell>
          <cell r="L1197" t="str">
            <v>16448176</v>
          </cell>
        </row>
        <row r="1198">
          <cell r="F1198" t="str">
            <v>RMLGNTPTK</v>
          </cell>
          <cell r="G1198" t="str">
            <v/>
          </cell>
          <cell r="H1198" t="str">
            <v/>
          </cell>
          <cell r="I1198" t="str">
            <v/>
          </cell>
          <cell r="J1198" t="str">
            <v>Strategies for designing novel functional meat products.</v>
          </cell>
          <cell r="K1198" t="str">
            <v>10.1016/j.meatsci.2006.04.028</v>
          </cell>
          <cell r="L1198" t="str">
            <v>22062731</v>
          </cell>
        </row>
        <row r="1199">
          <cell r="F1199" t="str">
            <v>RMLGQ</v>
          </cell>
          <cell r="G1199" t="str">
            <v/>
          </cell>
          <cell r="H1199" t="str">
            <v/>
          </cell>
          <cell r="I1199" t="str">
            <v/>
          </cell>
          <cell r="J1199" t="str">
            <v>A new QSAR model, for angiotensin I-converting enzyme inhibitory oligopeptides.</v>
          </cell>
          <cell r="K1199" t="str">
            <v>10.1016/j.foodchem.2012.09.092</v>
          </cell>
          <cell r="L1199" t="str">
            <v>23194537</v>
          </cell>
        </row>
        <row r="1200">
          <cell r="F1200" t="str">
            <v>RMLGQTP</v>
          </cell>
          <cell r="G1200" t="str">
            <v/>
          </cell>
          <cell r="H1200" t="str">
            <v/>
          </cell>
          <cell r="I1200" t="str">
            <v/>
          </cell>
          <cell r="J1200" t="str">
            <v>A new QSAR model, for angiotensin I-converting enzyme inhibitory oligopeptides.</v>
          </cell>
          <cell r="K1200" t="str">
            <v>10.1016/j.foodchem.2012.09.092</v>
          </cell>
          <cell r="L1200" t="str">
            <v>23194537</v>
          </cell>
        </row>
        <row r="1201">
          <cell r="F1201" t="str">
            <v>RMLGQTPTK</v>
          </cell>
          <cell r="G1201" t="str">
            <v/>
          </cell>
          <cell r="H1201" t="str">
            <v/>
          </cell>
          <cell r="I1201" t="str">
            <v/>
          </cell>
          <cell r="J1201" t="str">
            <v>QSAR study on angiotensin-converting enzyme inhibitor oligopeptides based on a novel set of sequence information descriptors.; A new QSAR model, for angiotensin I-converting enzyme inhibitory oligopeptides.</v>
          </cell>
          <cell r="K1201" t="str">
            <v>10.1007/s00894-010-0862-x; 10.1016/j.foodchem.2012.09.092</v>
          </cell>
          <cell r="L1201" t="str">
            <v>20941517 23194537</v>
          </cell>
        </row>
        <row r="1202">
          <cell r="F1202" t="str">
            <v>RMLGQTPWK</v>
          </cell>
          <cell r="G1202" t="str">
            <v/>
          </cell>
          <cell r="H1202" t="str">
            <v/>
          </cell>
          <cell r="I1202" t="str">
            <v/>
          </cell>
          <cell r="J1202" t="str">
            <v>Angiotensin-I converting enzyme inhibitory peptide derived from porcine skeletal muscle myosin and its antihypertensive activity in spontaneously hypertensive rats.; A new QSAR model, for angiotensin I-converting enzyme inhibitory oligopeptides.</v>
          </cell>
          <cell r="K1202" t="str">
            <v>10.1111/j.1750-3841.2007.00571.x; 10.1016/j.foodchem.2012.09.092</v>
          </cell>
          <cell r="L1202" t="str">
            <v>18034756 23194537</v>
          </cell>
        </row>
        <row r="1203">
          <cell r="F1203" t="str">
            <v>RMLGQYPYK</v>
          </cell>
          <cell r="G1203" t="str">
            <v/>
          </cell>
          <cell r="H1203" t="str">
            <v/>
          </cell>
          <cell r="I1203" t="str">
            <v/>
          </cell>
          <cell r="J1203" t="str">
            <v>Angiotensin I-converting enzyme-inhibitory peptides obtained from chicken collagen hydrolysate.</v>
          </cell>
          <cell r="K1203" t="str">
            <v>10.1021/jf072669w</v>
          </cell>
          <cell r="L1203" t="str">
            <v>18808143</v>
          </cell>
        </row>
        <row r="1204">
          <cell r="F1204" t="str">
            <v>RP</v>
          </cell>
          <cell r="G1204" t="str">
            <v/>
          </cell>
          <cell r="H1204" t="str">
            <v/>
          </cell>
          <cell r="I1204" t="str">
            <v/>
          </cell>
          <cell r="J1204" t="str">
            <v>Binding of peptide substrates and inhibitors of angiotensin-converting enzyme. Importance of the COOH-terminal dipeptide sequence.; Angiotensin I-converting enzyme inhibitory activity and insulin secretion stimulative activity of fermented fish sauce.;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Review on the angiotensin-I-converting enzyme (ACE) inhibitor peptides from marine proteins.;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1204" t="str">
            <v>10.1016/S1389-1723(03)70138-8; 10.1021/jf051263l; 10.1002/psc.800; 10.1002/psc.892; 10.1007/s00894-010-0862-x; 10.1007/s12010-012-0024-y; 10.1016/j.jprot.2013.06.023; 10.1016/j.foodchem.2013.05.140</v>
          </cell>
          <cell r="L1204" t="str">
            <v>6243277 16233562 16448176 17117396 17654623 20941517 23271625 23806758 23871047</v>
          </cell>
        </row>
        <row r="1205">
          <cell r="F1205" t="str">
            <v>RPF</v>
          </cell>
          <cell r="G1205" t="str">
            <v/>
          </cell>
          <cell r="H1205" t="str">
            <v/>
          </cell>
          <cell r="I1205" t="str">
            <v/>
          </cell>
          <cell r="J1205"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205" t="str">
            <v>10.1002/psc.800; 10.1007/s00894-010-0862-x; 10.1016/j.foodchem.2013.05.140</v>
          </cell>
          <cell r="L1205" t="str">
            <v>17117396 20941517 23871047</v>
          </cell>
        </row>
        <row r="1206">
          <cell r="F1206" t="str">
            <v>RPG</v>
          </cell>
          <cell r="G1206" t="str">
            <v/>
          </cell>
          <cell r="H1206" t="str">
            <v/>
          </cell>
          <cell r="I1206" t="str">
            <v/>
          </cell>
          <cell r="J1206"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206" t="str">
            <v>10.1002/psc.800; 10.1007/s00894-010-0862-x; 10.1016/j.foodchem.2013.05.140</v>
          </cell>
          <cell r="L1206" t="str">
            <v>17117396 20941517 23871047</v>
          </cell>
        </row>
        <row r="1207">
          <cell r="F1207" t="str">
            <v>RPK</v>
          </cell>
          <cell r="G1207" t="str">
            <v/>
          </cell>
          <cell r="H1207" t="str">
            <v/>
          </cell>
          <cell r="I1207" t="str">
            <v/>
          </cell>
          <cell r="J1207" t="str">
            <v>Structural requirements of Angiotensin I-converting enzyme inhibitory peptides: quantitative structure-activity relationship study of di- and tripeptides.; Bioactive peptides in ovine and caprine cheeselike systems prepared with proteases from Cynara cardunculus.</v>
          </cell>
          <cell r="K1207" t="str">
            <v>10.1021/jf051263l; 10.3168/jds.S0022-0302(06)72370-0</v>
          </cell>
          <cell r="L1207" t="str">
            <v>16448176 16899666</v>
          </cell>
        </row>
        <row r="1208">
          <cell r="F1208" t="str">
            <v>RPKH</v>
          </cell>
          <cell r="G1208" t="str">
            <v/>
          </cell>
          <cell r="H1208" t="str">
            <v/>
          </cell>
          <cell r="I1208" t="str">
            <v/>
          </cell>
          <cell r="J1208" t="str">
            <v>Angiotensin I-converting-enzyme-inhibitory and antibacterial peptides from Lactobacillus helveticus PR4 proteinase-hydrolyzed caseins of milk from six species.</v>
          </cell>
          <cell r="K1208" t="str">
            <v>10.1128/AEM.69.9.5297-5305.2003</v>
          </cell>
          <cell r="L1208" t="str">
            <v>12957917</v>
          </cell>
        </row>
        <row r="1209">
          <cell r="F1209" t="str">
            <v>RPKHP</v>
          </cell>
          <cell r="G1209" t="str">
            <v/>
          </cell>
          <cell r="H1209" t="str">
            <v/>
          </cell>
          <cell r="I1209" t="str">
            <v/>
          </cell>
          <cell r="J1209" t="str">
            <v>Enterococcus faecalis strains from food, environmental, and clinical origin produce ACE-inhibitory peptides and other bioactive peptides during growth in bovine skim milk.</v>
          </cell>
          <cell r="K1209" t="str">
            <v>10.1016/j.ijfoodmicro.2013.06.019</v>
          </cell>
          <cell r="L1209" t="str">
            <v>23845432</v>
          </cell>
        </row>
        <row r="1210">
          <cell r="F1210" t="str">
            <v>RPKHPI</v>
          </cell>
          <cell r="G1210" t="str">
            <v/>
          </cell>
          <cell r="H1210" t="str">
            <v/>
          </cell>
          <cell r="I1210" t="str">
            <v/>
          </cell>
          <cell r="J1210" t="str">
            <v>Angiotensin I-converting-enzyme-inhibitory and antibacterial peptides from Lactobacillus helveticus PR4 proteinase-hydrolyzed caseins of milk from six species.; Identification of angiotensin-I-converting enzyme inhibitory peptides derived from sodium caseinate hydrolysates produced by Lactobacillus helveticus NCC 2765.; A new QSAR model, for angiotensin I-converting enzyme inhibitory oligopeptides.</v>
          </cell>
          <cell r="K1210" t="str">
            <v>10.1128/AEM.69.9.5297-5305.2003; 10.1021/jf049510t; 10.1016/j.foodchem.2012.09.092</v>
          </cell>
          <cell r="L1210" t="str">
            <v>12957917 15537298 23194537</v>
          </cell>
        </row>
        <row r="1211">
          <cell r="F1211" t="str">
            <v>RPKHPIK</v>
          </cell>
          <cell r="G1211" t="str">
            <v/>
          </cell>
          <cell r="H1211" t="str">
            <v/>
          </cell>
          <cell r="I1211" t="str">
            <v/>
          </cell>
          <cell r="J1211" t="str">
            <v/>
          </cell>
          <cell r="K1211" t="str">
            <v/>
          </cell>
          <cell r="L1211" t="str">
            <v/>
          </cell>
        </row>
        <row r="1212">
          <cell r="F1212" t="str">
            <v>RPKHPIKH</v>
          </cell>
          <cell r="G1212" t="str">
            <v/>
          </cell>
          <cell r="H1212" t="str">
            <v/>
          </cell>
          <cell r="I1212" t="str">
            <v/>
          </cell>
          <cell r="J1212" t="str">
            <v>Bioactive peptides in ovine and caprine cheeselike systems prepared with proteases from Cynara cardunculus.</v>
          </cell>
          <cell r="K1212" t="str">
            <v>10.3168/jds.S0022-0302(06)72370-0</v>
          </cell>
          <cell r="L1212" t="str">
            <v>16899666</v>
          </cell>
        </row>
        <row r="1213">
          <cell r="F1213" t="str">
            <v>RPKHPIKHQ</v>
          </cell>
          <cell r="G1213" t="str">
            <v/>
          </cell>
          <cell r="H1213" t="str">
            <v/>
          </cell>
          <cell r="I1213" t="str">
            <v/>
          </cell>
          <cell r="J1213" t="str">
            <v>Isolation and structural analysis of antihypertensive peptides that exist naturally in Gouda cheese.; Identification of angiotensin-I-converting enzyme inhibitory peptides derived from sodium caseinate hydrolysates produced by Lactobacillus helveticus NCC 2765.; QSAR study on angiotensin-converting enzyme inhibitor oligopeptides based on a novel set of sequence information descriptors.; Antihypertensive peptides: production, bioavailability and incorporation into foods.; Antihypertensive peptides from food proteins: a review.; A new QSAR model, for angiotensin I-converting enzyme inhibitory oligopeptides.; Isolation and characterization of peptides with antihypertensive activity in foodstuffs.</v>
          </cell>
          <cell r="K1213" t="str">
            <v>10.3168/jds.S0022-0302(00)75013-2; 10.1021/jf049510t; 10.1007/s00894-010-0862-x; 10.1016/j.cis.2010.11.001; 10.1039/c2fo10192k; 10.1016/j.foodchem.2012.09.092; 10.1080/10408398.2012.664829</v>
          </cell>
          <cell r="L1213" t="str">
            <v>10908049 15537298 20941517 21185549 22249830 23194537 24915368</v>
          </cell>
        </row>
        <row r="1214">
          <cell r="F1214" t="str">
            <v>RPKHPIKHQGLPQ</v>
          </cell>
          <cell r="G1214" t="str">
            <v/>
          </cell>
          <cell r="H1214" t="str">
            <v/>
          </cell>
          <cell r="I1214" t="str">
            <v/>
          </cell>
          <cell r="J1214" t="str">
            <v>Isolation and structural analysis of antihypertensive peptides that exist naturally in Gouda cheese.; Isolation and characterization of peptides with antihypertensive activity in foodstuffs.</v>
          </cell>
          <cell r="K1214" t="str">
            <v>10.3168/jds.S0022-0302(00)75013-2; 10.1080/10408398.2012.664829</v>
          </cell>
          <cell r="L1214" t="str">
            <v>10908049 24915368</v>
          </cell>
        </row>
        <row r="1215">
          <cell r="F1215" t="str">
            <v>RPKHPIKHQGLPQEV</v>
          </cell>
          <cell r="G1215" t="str">
            <v/>
          </cell>
          <cell r="H1215" t="str">
            <v/>
          </cell>
          <cell r="I1215" t="str">
            <v/>
          </cell>
          <cell r="J1215" t="str">
            <v/>
          </cell>
          <cell r="K1215" t="str">
            <v/>
          </cell>
          <cell r="L1215" t="str">
            <v/>
          </cell>
        </row>
        <row r="1216">
          <cell r="F1216" t="str">
            <v>RPKHPIKHQGLPQEVLNEN</v>
          </cell>
          <cell r="G1216" t="str">
            <v/>
          </cell>
          <cell r="H1216" t="str">
            <v/>
          </cell>
          <cell r="I1216" t="str">
            <v/>
          </cell>
          <cell r="J1216" t="str">
            <v/>
          </cell>
          <cell r="K1216" t="str">
            <v/>
          </cell>
          <cell r="L1216" t="str">
            <v/>
          </cell>
        </row>
        <row r="1217">
          <cell r="F1217" t="str">
            <v>RPLA</v>
          </cell>
          <cell r="G1217" t="str">
            <v/>
          </cell>
          <cell r="H1217" t="str">
            <v/>
          </cell>
          <cell r="I1217" t="str">
            <v/>
          </cell>
          <cell r="J1217" t="str">
            <v/>
          </cell>
          <cell r="K1217" t="str">
            <v/>
          </cell>
          <cell r="L1217" t="str">
            <v/>
          </cell>
        </row>
        <row r="1218">
          <cell r="F1218" t="str">
            <v>RPLKPW</v>
          </cell>
          <cell r="G1218" t="str">
            <v/>
          </cell>
          <cell r="H1218" t="str">
            <v/>
          </cell>
          <cell r="I1218" t="str">
            <v/>
          </cell>
          <cell r="J1218" t="str">
            <v/>
          </cell>
          <cell r="K1218" t="str">
            <v/>
          </cell>
          <cell r="L1218" t="str">
            <v/>
          </cell>
        </row>
        <row r="1219">
          <cell r="F1219" t="str">
            <v>RPP</v>
          </cell>
          <cell r="G1219" t="str">
            <v/>
          </cell>
          <cell r="H1219" t="str">
            <v/>
          </cell>
          <cell r="I1219" t="str">
            <v/>
          </cell>
          <cell r="J1219" t="str">
            <v>Structural requirements of Angiotensin I-converting enzyme inhibitory peptides: quantitative structure-activity relationship study of di- and tripeptides.</v>
          </cell>
          <cell r="K1219" t="str">
            <v>10.1021/jf051263l</v>
          </cell>
          <cell r="L1219" t="str">
            <v>16448176</v>
          </cell>
        </row>
        <row r="1220">
          <cell r="F1220" t="str">
            <v>RPQIPP</v>
          </cell>
          <cell r="G1220" t="str">
            <v/>
          </cell>
          <cell r="H1220" t="str">
            <v/>
          </cell>
          <cell r="I1220" t="str">
            <v/>
          </cell>
          <cell r="J1220" t="str">
            <v>A new QSAR model, for angiotensin I-converting enzyme inhibitory oligopeptides.</v>
          </cell>
          <cell r="K1220" t="str">
            <v>10.1016/j.foodchem.2012.09.092</v>
          </cell>
          <cell r="L1220" t="str">
            <v>23194537</v>
          </cell>
        </row>
        <row r="1221">
          <cell r="F1221" t="str">
            <v>RPR</v>
          </cell>
          <cell r="G1221" t="str">
            <v/>
          </cell>
          <cell r="H1221" t="str">
            <v/>
          </cell>
          <cell r="I1221" t="str">
            <v/>
          </cell>
          <cell r="J1221" t="str">
            <v>Angiotensin I-converting enzyme inhibitory peptides generated from in vitro gastrointestinal digestion of pork meat.; What are the ideal properties for functional food peptides with antihypertensive effect? A computational peptidology approach.; Isolation and characterization of peptides with antihypertensive activity in foodstuffs.</v>
          </cell>
          <cell r="K1221" t="str">
            <v>10.1021/jf904204n; 10.1016/j.foodchem.2013.05.140; 10.1080/10408398.2012.664829</v>
          </cell>
          <cell r="L1221" t="str">
            <v>20151679 23871047 24915368</v>
          </cell>
        </row>
        <row r="1222">
          <cell r="F1222" t="str">
            <v>RPYL</v>
          </cell>
          <cell r="G1222" t="str">
            <v/>
          </cell>
          <cell r="H1222" t="str">
            <v/>
          </cell>
          <cell r="I1222" t="str">
            <v/>
          </cell>
          <cell r="J1222" t="str">
            <v/>
          </cell>
          <cell r="K1222" t="str">
            <v/>
          </cell>
          <cell r="L1222" t="str">
            <v/>
          </cell>
        </row>
        <row r="1223">
          <cell r="F1223" t="str">
            <v>RR</v>
          </cell>
          <cell r="G1223" t="str">
            <v/>
          </cell>
          <cell r="H1223" t="str">
            <v/>
          </cell>
          <cell r="I1223" t="str">
            <v/>
          </cell>
          <cell r="J1223" t="str">
            <v>Quantitative structure-activity relationship study of bitter di- and tri-peptides including relationship with angiotensin I-converting enzyme inhibitory activity.; What are the ideal properties for functional food peptides with antihypertensive effect? A computational peptidology approach.</v>
          </cell>
          <cell r="K1223" t="str">
            <v>10.1002/psc.800; 10.1016/j.foodchem.2013.05.140</v>
          </cell>
          <cell r="L1223" t="str">
            <v>17117396 23871047</v>
          </cell>
        </row>
        <row r="1224">
          <cell r="F1224" t="str">
            <v>RRR</v>
          </cell>
          <cell r="G1224" t="str">
            <v/>
          </cell>
          <cell r="H1224" t="str">
            <v/>
          </cell>
          <cell r="I1224" t="str">
            <v/>
          </cell>
          <cell r="J1224"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224" t="str">
            <v>10.1002/psc.800; 10.1007/s00894-010-0862-x; 10.1016/j.foodchem.2013.05.140</v>
          </cell>
          <cell r="L1224" t="str">
            <v>17117396 20941517 23871047</v>
          </cell>
        </row>
        <row r="1225">
          <cell r="F1225" t="str">
            <v>RRWQWR</v>
          </cell>
          <cell r="G1225" t="str">
            <v/>
          </cell>
          <cell r="H1225" t="str">
            <v/>
          </cell>
          <cell r="I1225" t="str">
            <v/>
          </cell>
          <cell r="J1225" t="str">
            <v>Antihypertensive peptides from food proteins: a review.</v>
          </cell>
          <cell r="K1225" t="str">
            <v>10.1039/c2fo10192k</v>
          </cell>
          <cell r="L1225" t="str">
            <v>22249830</v>
          </cell>
        </row>
        <row r="1226">
          <cell r="F1226" t="str">
            <v>RS</v>
          </cell>
          <cell r="G1226" t="str">
            <v/>
          </cell>
          <cell r="H1226" t="str">
            <v/>
          </cell>
          <cell r="I1226" t="str">
            <v/>
          </cell>
          <cell r="J1226" t="str">
            <v/>
          </cell>
          <cell r="K1226" t="str">
            <v/>
          </cell>
          <cell r="L1226" t="str">
            <v/>
          </cell>
        </row>
        <row r="1227">
          <cell r="F1227" t="str">
            <v>RVAPEEHPT</v>
          </cell>
          <cell r="G1227" t="str">
            <v/>
          </cell>
          <cell r="H1227" t="str">
            <v/>
          </cell>
          <cell r="I1227" t="str">
            <v/>
          </cell>
          <cell r="J1227" t="str">
            <v>Angiotensin I-converting enzyme inhibitory peptides generated from in vitro gastrointestinal digestion of pork meat.</v>
          </cell>
          <cell r="K1227" t="str">
            <v>10.1021/jf904204n</v>
          </cell>
          <cell r="L1227" t="str">
            <v>20151679</v>
          </cell>
        </row>
        <row r="1228">
          <cell r="F1228" t="str">
            <v>RVPSL</v>
          </cell>
          <cell r="G1228" t="str">
            <v/>
          </cell>
          <cell r="H1228" t="str">
            <v/>
          </cell>
          <cell r="I1228" t="str">
            <v/>
          </cell>
          <cell r="J1228" t="str">
            <v/>
          </cell>
          <cell r="K1228" t="str">
            <v/>
          </cell>
          <cell r="L1228" t="str">
            <v/>
          </cell>
        </row>
        <row r="1229">
          <cell r="F1229" t="str">
            <v>RVPSLM</v>
          </cell>
          <cell r="G1229" t="str">
            <v/>
          </cell>
          <cell r="H1229" t="str">
            <v/>
          </cell>
          <cell r="I1229" t="str">
            <v/>
          </cell>
          <cell r="J1229" t="str">
            <v/>
          </cell>
          <cell r="K1229" t="str">
            <v/>
          </cell>
          <cell r="L1229" t="str">
            <v/>
          </cell>
        </row>
        <row r="1230">
          <cell r="F1230" t="str">
            <v>RVY</v>
          </cell>
          <cell r="G1230" t="str">
            <v/>
          </cell>
          <cell r="H1230" t="str">
            <v/>
          </cell>
          <cell r="I1230" t="str">
            <v/>
          </cell>
          <cell r="J1230" t="str">
            <v>Angiotensin I-converting enzyme inhibitory peptides in an alkaline protease hydrolyzate derived from sardine muscle.; Structural requirements of Angiotensin I-converting enzyme inhibitory peptides: quantitative structure-activity relationship study of di- and tripeptides.; Review on the angiotensin-I-converting enzyme (ACE) inhibitor peptides from marine proteins.; What are the ideal properties for functional food peptides with antihypertensive effect? A computational peptidology approach.</v>
          </cell>
          <cell r="K1230" t="str">
            <v>10.1271/bbb.58.2244; 10.1021/jf051263l; 10.1007/s12010-012-0024-y; 10.1016/j.foodchem.2013.05.140</v>
          </cell>
          <cell r="L1230" t="str">
            <v>7765718 16448176 23271625 23871047</v>
          </cell>
        </row>
        <row r="1231">
          <cell r="F1231" t="str">
            <v>RW</v>
          </cell>
          <cell r="G1231" t="str">
            <v/>
          </cell>
          <cell r="H1231" t="str">
            <v/>
          </cell>
          <cell r="I1231" t="str">
            <v/>
          </cell>
          <cell r="J1231"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Inhibition strength of short peptides derived from an ACE inhibitory peptide.; What are the ideal properties for functional food peptides with antihypertensive effect? A computational peptidology approach.</v>
          </cell>
          <cell r="K1231" t="str">
            <v>10.1021/jf051263l; 10.1002/psc.892; 10.1007/s00894-010-0862-x; 10.1021/jf202902r; 10.1016/j.foodchem.2013.05.140</v>
          </cell>
          <cell r="L1231" t="str">
            <v>6243277 16448176 17654623 20941517 21923188 23871047</v>
          </cell>
        </row>
        <row r="1232">
          <cell r="F1232" t="str">
            <v>RY</v>
          </cell>
          <cell r="G1232" t="str">
            <v/>
          </cell>
          <cell r="H1232" t="str">
            <v/>
          </cell>
          <cell r="I1232" t="str">
            <v/>
          </cell>
          <cell r="J1232" t="str">
            <v>Angiotensin I-converting enzyme inhibitory peptides in an alkaline protease hydrolyzate derived from sardine muscle.; Structural requirements of Angiotensin I-converting enzyme inhibitory peptides: quantitative structure-activity relationship study of di- and tripeptides.; Bioactive peptides in amaranth (Amaranthus hypochondriacus) seed.; Review on the angiotensin-I-converting enzyme (ACE) inhibitor peptides from marine proteins.; What are the ideal properties for functional food peptides with antihypertensive effect? A computational peptidology approach.</v>
          </cell>
          <cell r="K1232" t="str">
            <v>10.1271/bbb.58.2244; 10.1021/jf051263l; 10.1021/jf072911z; 10.1007/s12010-012-0024-y; 10.1016/j.foodchem.2013.05.140</v>
          </cell>
          <cell r="L1232" t="str">
            <v>7765718 16448176 18211015 23271625 23871047</v>
          </cell>
        </row>
        <row r="1233">
          <cell r="F1233" t="str">
            <v>RYLGY</v>
          </cell>
          <cell r="G1233" t="str">
            <v/>
          </cell>
          <cell r="H1233" t="str">
            <v/>
          </cell>
          <cell r="I1233" t="str">
            <v/>
          </cell>
          <cell r="J1233" t="str">
            <v>Antihypertensive peptides: production, bioavailability and incorporation into foods.; Antihypertensive peptides from food proteins: a review.; A new QSAR model, for angiotensin I-converting enzyme inhibitory oligopeptides.; Glycinyl-histidinyl-serine (GHS), a novel rapeseed protein-derived peptide has blood pressure-lowering effect in spontaneously hypertensive rats.; Isolation and characterization of peptides with antihypertensive activity in foodstuffs.</v>
          </cell>
          <cell r="K1233" t="str">
            <v>10.1016/j.cis.2010.11.001; 10.1039/c2fo10192k; 10.1016/j.foodchem.2012.09.092; 10.1021/jf400865m; 10.1080/10408398.2012.664829</v>
          </cell>
          <cell r="L1233" t="str">
            <v>21185549 22249830 23194537 23919612 24915368</v>
          </cell>
        </row>
        <row r="1234">
          <cell r="F1234" t="str">
            <v>RYPSYG</v>
          </cell>
          <cell r="G1234" t="str">
            <v/>
          </cell>
          <cell r="H1234" t="str">
            <v/>
          </cell>
          <cell r="I1234" t="str">
            <v/>
          </cell>
          <cell r="J1234" t="str">
            <v>Antihypertensive peptides from food proteins: a review.</v>
          </cell>
          <cell r="K1234" t="str">
            <v>10.1039/c2fo10192k</v>
          </cell>
          <cell r="L1234" t="str">
            <v>22249830</v>
          </cell>
        </row>
        <row r="1235">
          <cell r="F1235" t="str">
            <v>SAPLRVY</v>
          </cell>
          <cell r="G1235" t="str">
            <v/>
          </cell>
          <cell r="H1235" t="str">
            <v/>
          </cell>
          <cell r="I1235" t="str">
            <v/>
          </cell>
          <cell r="J1235" t="str">
            <v/>
          </cell>
          <cell r="K1235" t="str">
            <v/>
          </cell>
          <cell r="L1235" t="str">
            <v/>
          </cell>
        </row>
        <row r="1236">
          <cell r="F1236" t="str">
            <v>SAYPGQITSN</v>
          </cell>
          <cell r="G1236" t="str">
            <v/>
          </cell>
          <cell r="H1236" t="str">
            <v/>
          </cell>
          <cell r="I1236" t="str">
            <v/>
          </cell>
          <cell r="J1236" t="str">
            <v/>
          </cell>
          <cell r="K1236" t="str">
            <v/>
          </cell>
          <cell r="L1236" t="str">
            <v/>
          </cell>
        </row>
        <row r="1237">
          <cell r="F1237" t="str">
            <v>SCHTG</v>
          </cell>
          <cell r="G1237" t="str">
            <v/>
          </cell>
          <cell r="H1237" t="str">
            <v/>
          </cell>
          <cell r="I1237" t="str">
            <v/>
          </cell>
          <cell r="J1237" t="str">
            <v/>
          </cell>
          <cell r="K1237" t="str">
            <v/>
          </cell>
          <cell r="L1237" t="str">
            <v/>
          </cell>
        </row>
        <row r="1238">
          <cell r="F1238" t="str">
            <v>SF</v>
          </cell>
          <cell r="G1238" t="str">
            <v>garlic</v>
          </cell>
          <cell r="H1238" t="str">
            <v/>
          </cell>
          <cell r="I1238" t="str">
            <v/>
          </cell>
          <cell r="J1238" t="str">
            <v>Structural requirements of Angiotensin I-converting enzyme inhibitory peptides: quantitative structure-activity relationship study of di- and tripeptides.; Max-E47, a designed minimalist protein that targets the E-box DNA site in vivo and in vitro.;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1238" t="str">
            <v>10.1021/jf051263l; 10.1021/ja901306q; 10.1016/j.talanta.2012.12.041; 10.1016/j.foodchem.2013.05.140; 10.1080/10408398.2012.664829</v>
          </cell>
          <cell r="L1238" t="str">
            <v>16448176 19449889 23598136 23871047 24915368</v>
          </cell>
        </row>
        <row r="1239">
          <cell r="F1239" t="str">
            <v>SFQPQPLIYP</v>
          </cell>
          <cell r="G1239" t="str">
            <v/>
          </cell>
          <cell r="H1239" t="str">
            <v/>
          </cell>
          <cell r="I1239" t="str">
            <v/>
          </cell>
          <cell r="J1239" t="str">
            <v>Inhibition of angiotensin-converting enzyme by synthetic peptide fragments of various beta-caseins.</v>
          </cell>
          <cell r="K1239" t="str">
            <v/>
          </cell>
          <cell r="L1239" t="str">
            <v>1368548</v>
          </cell>
        </row>
        <row r="1240">
          <cell r="F1240" t="str">
            <v>SG</v>
          </cell>
          <cell r="G1240" t="str">
            <v>pea vicilin</v>
          </cell>
          <cell r="H1240" t="str">
            <v/>
          </cell>
          <cell r="I1240" t="str">
            <v/>
          </cell>
          <cell r="J1240"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Model of the exofacial substrate-binding site and helical folding of the human Glut1 glucose transporter based on scanning mutagenesis.;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1240" t="str">
            <v>10.1021/jf051263l; 10.1002/psc.892; 10.1021/bi900521n; 10.1007/s00894-010-0862-x; 10.1016/j.jprot.2013.06.023; 10.1016/j.foodchem.2013.05.140</v>
          </cell>
          <cell r="L1240" t="str">
            <v>6243277 16448176 17654623 19449892 20941517 23806758 23871047</v>
          </cell>
        </row>
        <row r="1241">
          <cell r="F1241" t="str">
            <v>SHP</v>
          </cell>
          <cell r="G1241" t="str">
            <v/>
          </cell>
          <cell r="H1241" t="str">
            <v/>
          </cell>
          <cell r="I1241" t="str">
            <v/>
          </cell>
          <cell r="J1241" t="str">
            <v>Inhibition of angiotensin-converting enzyme by synthetic peptide fragments of human kappa-casein.; What are the ideal properties for functional food peptides with antihypertensive effect? A computational peptidology approach.</v>
          </cell>
          <cell r="K1241" t="str">
            <v>10.1016/j.foodchem.2013.05.140</v>
          </cell>
          <cell r="L1241" t="str">
            <v>1368540 23871047</v>
          </cell>
        </row>
        <row r="1242">
          <cell r="F1242" t="str">
            <v>SKPHT</v>
          </cell>
          <cell r="G1242" t="str">
            <v/>
          </cell>
          <cell r="H1242" t="str">
            <v/>
          </cell>
          <cell r="I1242" t="str">
            <v/>
          </cell>
          <cell r="J1242" t="str">
            <v/>
          </cell>
          <cell r="K1242" t="str">
            <v/>
          </cell>
          <cell r="L1242" t="str">
            <v/>
          </cell>
        </row>
        <row r="1243">
          <cell r="F1243" t="str">
            <v>SKVLPVPE</v>
          </cell>
          <cell r="G1243" t="str">
            <v/>
          </cell>
          <cell r="H1243" t="str">
            <v/>
          </cell>
          <cell r="I1243" t="str">
            <v/>
          </cell>
          <cell r="J1243" t="str">
            <v>Antihypertensive effect of the peptides derived from casein by an extracellular proteinase from Lactobacillus helveticus CP790.</v>
          </cell>
          <cell r="K1243" t="str">
            <v>10.3168/jds.S0022-0302(94)77026-0</v>
          </cell>
          <cell r="L1243" t="str">
            <v>8201050</v>
          </cell>
        </row>
        <row r="1244">
          <cell r="F1244" t="str">
            <v>SKVLPVPQ</v>
          </cell>
          <cell r="G1244" t="str">
            <v/>
          </cell>
          <cell r="H1244" t="str">
            <v/>
          </cell>
          <cell r="I1244" t="str">
            <v/>
          </cell>
          <cell r="J1244" t="str">
            <v>Identification of angiotensin-I-converting enzyme inhibitory peptides derived from sodium caseinate hydrolysates produced by Lactobacillus helveticus NCC 2765.</v>
          </cell>
          <cell r="K1244" t="str">
            <v>10.1021/jf049510t</v>
          </cell>
          <cell r="L1244" t="str">
            <v>15537298</v>
          </cell>
        </row>
        <row r="1245">
          <cell r="F1245" t="str">
            <v>SKVLPVPQK</v>
          </cell>
          <cell r="G1245" t="str">
            <v/>
          </cell>
          <cell r="H1245" t="str">
            <v/>
          </cell>
          <cell r="I1245" t="str">
            <v/>
          </cell>
          <cell r="J1245" t="str">
            <v>Isolation and characterization of peptides with antihypertensive activity in foodstuffs.</v>
          </cell>
          <cell r="K1245" t="str">
            <v>10.1080/10408398.2012.664829</v>
          </cell>
          <cell r="L1245" t="str">
            <v>24915368</v>
          </cell>
        </row>
        <row r="1246">
          <cell r="F1246" t="str">
            <v>SKVPP</v>
          </cell>
          <cell r="G1246" t="str">
            <v/>
          </cell>
          <cell r="H1246" t="str">
            <v/>
          </cell>
          <cell r="I1246" t="str">
            <v/>
          </cell>
          <cell r="J1246" t="str">
            <v>Effects of angiotensin I-converting enzyme inhibitory substances derived from Indonesian dried-salted fish on blood pressure of rats.</v>
          </cell>
          <cell r="K1246" t="str">
            <v>10.1271/bbb.59.425</v>
          </cell>
          <cell r="L1246" t="str">
            <v>7766180</v>
          </cell>
        </row>
        <row r="1247">
          <cell r="F1247" t="str">
            <v>SKVYP</v>
          </cell>
          <cell r="G1247" t="str">
            <v/>
          </cell>
          <cell r="H1247" t="str">
            <v/>
          </cell>
          <cell r="I1247" t="str">
            <v/>
          </cell>
          <cell r="J1247" t="str">
            <v>Technological options for the production of health-promoting proteins and peptides derived from milk and colostrum.; Antihypertensive peptides: production, bioavailability and incorporation into foods.; A new QSAR model, for angiotensin I-converting enzyme inhibitory oligopeptides.; The impact of milk proteins and peptides on blood pressure and vascular function: a review of evidence from human intervention studies.</v>
          </cell>
          <cell r="K1247" t="str">
            <v>10.2174/138161207780363112; 10.1016/j.cis.2010.11.001; 10.1016/j.foodchem.2012.09.092; 10.1017/S0954422413000139</v>
          </cell>
          <cell r="L1247" t="str">
            <v>17430184 21185549 23194537 24135454</v>
          </cell>
        </row>
        <row r="1248">
          <cell r="F1248" t="str">
            <v>SKVYPFPGPI</v>
          </cell>
          <cell r="G1248" t="str">
            <v/>
          </cell>
          <cell r="H1248" t="str">
            <v/>
          </cell>
          <cell r="I1248" t="str">
            <v/>
          </cell>
          <cell r="J1248" t="str">
            <v>Technological options for the production of health-promoting proteins and peptides derived from milk and colostrum.</v>
          </cell>
          <cell r="K1248" t="str">
            <v>10.2174/138161207780363112</v>
          </cell>
          <cell r="L1248" t="str">
            <v>17430184</v>
          </cell>
        </row>
        <row r="1249">
          <cell r="F1249" t="str">
            <v>SL</v>
          </cell>
          <cell r="G1249" t="str">
            <v/>
          </cell>
          <cell r="H1249" t="str">
            <v/>
          </cell>
          <cell r="I1249" t="str">
            <v/>
          </cell>
          <cell r="J1249" t="str">
            <v>Three-dimensional holograph vector of atomic interaction field (3D-HoVAIF): a novel rotation-translation invariant 3D structure descriptor and its applications to peptides.</v>
          </cell>
          <cell r="K1249" t="str">
            <v>10.1002/psc.892</v>
          </cell>
          <cell r="L1249" t="str">
            <v>17654623</v>
          </cell>
        </row>
        <row r="1250">
          <cell r="F1250" t="str">
            <v>SLPQ</v>
          </cell>
          <cell r="G1250" t="str">
            <v/>
          </cell>
          <cell r="H1250" t="str">
            <v/>
          </cell>
          <cell r="I1250" t="str">
            <v/>
          </cell>
          <cell r="J1250" t="str">
            <v>Identification and characterization of novel angiotensin-converting enzyme inhibitors obtained from goat milk.; What are the ideal properties for functional food peptides with antihypertensive effect? A computational peptidology approach.; Isolation and characterization of peptides with antihypertensive activity in foodstuffs.</v>
          </cell>
          <cell r="K1250" t="str">
            <v>10.3168/jds.S0022-0302(06)72369-4; 10.1016/j.foodchem.2013.05.140; 10.1080/10408398.2012.664829</v>
          </cell>
          <cell r="L1250" t="str">
            <v>16899665 23871047 24915368</v>
          </cell>
        </row>
        <row r="1251">
          <cell r="F1251" t="str">
            <v>SLVLPVPE</v>
          </cell>
          <cell r="G1251" t="str">
            <v/>
          </cell>
          <cell r="H1251" t="str">
            <v/>
          </cell>
          <cell r="I1251" t="str">
            <v/>
          </cell>
          <cell r="J1251" t="str">
            <v>A new QSAR model, for angiotensin I-converting enzyme inhibitory oligopeptides.</v>
          </cell>
          <cell r="K1251" t="str">
            <v>10.1016/j.foodchem.2012.09.092</v>
          </cell>
          <cell r="L1251" t="str">
            <v>23194537</v>
          </cell>
        </row>
        <row r="1252">
          <cell r="F1252" t="str">
            <v>SLVYP</v>
          </cell>
          <cell r="G1252" t="str">
            <v/>
          </cell>
          <cell r="H1252" t="str">
            <v/>
          </cell>
          <cell r="I1252" t="str">
            <v/>
          </cell>
          <cell r="J1252" t="str">
            <v>Inhibition of angiotensin-converting enzyme by synthetic peptide fragments of various beta-caseins.; Evaluation of the allergenicity of goat milk, cow milk, and their lactosera in a guinea pig model.; A new QSAR model, for angiotensin I-converting enzyme inhibitory oligopeptides.</v>
          </cell>
          <cell r="K1252" t="str">
            <v>10.3168/jds.2008-1125; 10.1016/j.foodchem.2012.09.092</v>
          </cell>
          <cell r="L1252" t="str">
            <v>1368548 19233776 23194537</v>
          </cell>
        </row>
        <row r="1253">
          <cell r="F1253" t="str">
            <v>SNIP</v>
          </cell>
          <cell r="G1253" t="str">
            <v/>
          </cell>
          <cell r="H1253" t="str">
            <v/>
          </cell>
          <cell r="I1253" t="str">
            <v/>
          </cell>
          <cell r="J1253" t="str">
            <v/>
          </cell>
          <cell r="K1253" t="str">
            <v/>
          </cell>
          <cell r="L1253" t="str">
            <v/>
          </cell>
        </row>
        <row r="1254">
          <cell r="F1254" t="str">
            <v>SPP</v>
          </cell>
          <cell r="G1254" t="str">
            <v/>
          </cell>
          <cell r="H1254" t="str">
            <v/>
          </cell>
          <cell r="I1254" t="str">
            <v/>
          </cell>
          <cell r="J1254" t="str">
            <v/>
          </cell>
          <cell r="K1254" t="str">
            <v/>
          </cell>
          <cell r="L1254" t="str">
            <v/>
          </cell>
        </row>
        <row r="1255">
          <cell r="F1255" t="str">
            <v>SPPEIN</v>
          </cell>
          <cell r="G1255" t="str">
            <v/>
          </cell>
          <cell r="H1255" t="str">
            <v/>
          </cell>
          <cell r="I1255" t="str">
            <v/>
          </cell>
          <cell r="J1255" t="str">
            <v/>
          </cell>
          <cell r="K1255" t="str">
            <v/>
          </cell>
          <cell r="L1255" t="str">
            <v/>
          </cell>
        </row>
        <row r="1256">
          <cell r="F1256" t="str">
            <v>SPPPFYL</v>
          </cell>
          <cell r="G1256" t="str">
            <v/>
          </cell>
          <cell r="H1256" t="str">
            <v/>
          </cell>
          <cell r="I1256" t="str">
            <v/>
          </cell>
          <cell r="J1256" t="str">
            <v>A new QSAR model, for angiotensin I-converting enzyme inhibitory oligopeptides.</v>
          </cell>
          <cell r="K1256" t="str">
            <v>10.1016/j.foodchem.2012.09.092</v>
          </cell>
          <cell r="L1256" t="str">
            <v>23194537</v>
          </cell>
        </row>
        <row r="1257">
          <cell r="F1257" t="str">
            <v>SPYP</v>
          </cell>
          <cell r="G1257" t="str">
            <v/>
          </cell>
          <cell r="H1257" t="str">
            <v/>
          </cell>
          <cell r="I1257" t="str">
            <v/>
          </cell>
          <cell r="J1257" t="str">
            <v>What are the ideal properties for functional food peptides with antihypertensive effect? A computational peptidology approach.</v>
          </cell>
          <cell r="K1257" t="str">
            <v>10.1016/j.foodchem.2013.05.140</v>
          </cell>
          <cell r="L1257" t="str">
            <v>23871047</v>
          </cell>
        </row>
        <row r="1258">
          <cell r="F1258" t="str">
            <v>SQPK</v>
          </cell>
          <cell r="G1258" t="str">
            <v/>
          </cell>
          <cell r="H1258" t="str">
            <v/>
          </cell>
          <cell r="I1258" t="str">
            <v/>
          </cell>
          <cell r="J1258" t="str">
            <v>Identification and characterization of novel angiotensin-converting enzyme inhibitors obtained from goat milk.; What are the ideal properties for functional food peptides with antihypertensive effect? A computational peptidology approach.; Isolation and characterization of peptides with antihypertensive activity in foodstuffs.</v>
          </cell>
          <cell r="K1258" t="str">
            <v>10.3168/jds.S0022-0302(06)72369-4; 10.1016/j.foodchem.2013.05.140; 10.1080/10408398.2012.664829</v>
          </cell>
          <cell r="L1258" t="str">
            <v>16899665 23871047 24915368</v>
          </cell>
        </row>
        <row r="1259">
          <cell r="F1259" t="str">
            <v>SQSKVLPVPQ</v>
          </cell>
          <cell r="G1259" t="str">
            <v/>
          </cell>
          <cell r="H1259" t="str">
            <v/>
          </cell>
          <cell r="I1259" t="str">
            <v/>
          </cell>
          <cell r="J1259" t="str">
            <v>Casein fermentate of Lactobacillus animalis DPC6134 contains a range of novel propeptide angiotensin-converting enzyme inhibitors.</v>
          </cell>
          <cell r="K1259" t="str">
            <v>10.1128/AEM.00096-07</v>
          </cell>
          <cell r="L1259" t="str">
            <v>17483275</v>
          </cell>
        </row>
        <row r="1260">
          <cell r="F1260" t="str">
            <v>SRGKQ</v>
          </cell>
          <cell r="G1260" t="str">
            <v/>
          </cell>
          <cell r="H1260" t="str">
            <v/>
          </cell>
          <cell r="I1260" t="str">
            <v/>
          </cell>
          <cell r="J1260" t="str">
            <v/>
          </cell>
          <cell r="K1260" t="str">
            <v/>
          </cell>
          <cell r="L1260" t="str">
            <v/>
          </cell>
        </row>
        <row r="1261">
          <cell r="F1261" t="str">
            <v>SRY</v>
          </cell>
          <cell r="G1261" t="str">
            <v/>
          </cell>
          <cell r="H1261" t="str">
            <v/>
          </cell>
          <cell r="I1261" t="str">
            <v/>
          </cell>
          <cell r="J1261" t="str">
            <v/>
          </cell>
          <cell r="K1261" t="str">
            <v/>
          </cell>
          <cell r="L1261" t="str">
            <v/>
          </cell>
        </row>
        <row r="1262">
          <cell r="F1262" t="str">
            <v>SSIQSQPQAFT</v>
          </cell>
          <cell r="G1262" t="str">
            <v/>
          </cell>
          <cell r="H1262" t="str">
            <v/>
          </cell>
          <cell r="I1262" t="str">
            <v/>
          </cell>
          <cell r="J1262" t="str">
            <v>A new QSAR model, for angiotensin I-converting enzyme inhibitory oligopeptides.</v>
          </cell>
          <cell r="K1262" t="str">
            <v>10.1016/j.foodchem.2012.09.092</v>
          </cell>
          <cell r="L1262" t="str">
            <v>23194537</v>
          </cell>
        </row>
        <row r="1263">
          <cell r="F1263" t="str">
            <v>ST</v>
          </cell>
          <cell r="G1263" t="str">
            <v/>
          </cell>
          <cell r="H1263" t="str">
            <v/>
          </cell>
          <cell r="I1263" t="str">
            <v/>
          </cell>
          <cell r="J1263" t="str">
            <v>Review on the angiotensin-I-converting enzyme (ACE) inhibitor peptides from marine proteins.; Isolation and characterization of peptides with antihypertensive activity in foodstuffs.</v>
          </cell>
          <cell r="K1263" t="str">
            <v>10.1007/s12010-012-0024-y; 10.1080/10408398.2012.664829</v>
          </cell>
          <cell r="L1263" t="str">
            <v>23271625 24915368</v>
          </cell>
        </row>
        <row r="1264">
          <cell r="F1264" t="str">
            <v>STYQT</v>
          </cell>
          <cell r="G1264" t="str">
            <v/>
          </cell>
          <cell r="H1264" t="str">
            <v/>
          </cell>
          <cell r="I1264" t="str">
            <v/>
          </cell>
          <cell r="J1264" t="str">
            <v/>
          </cell>
          <cell r="K1264" t="str">
            <v/>
          </cell>
          <cell r="L1264" t="str">
            <v/>
          </cell>
        </row>
        <row r="1265">
          <cell r="F1265" t="str">
            <v>SVAKL</v>
          </cell>
          <cell r="G1265" t="str">
            <v/>
          </cell>
          <cell r="H1265" t="str">
            <v/>
          </cell>
          <cell r="I1265" t="str">
            <v/>
          </cell>
          <cell r="J1265" t="str">
            <v>A new QSAR model, for angiotensin I-converting enzyme inhibitory oligopeptides.</v>
          </cell>
          <cell r="K1265" t="str">
            <v>10.1016/j.foodchem.2012.09.092</v>
          </cell>
          <cell r="L1265" t="str">
            <v>23194537</v>
          </cell>
        </row>
        <row r="1266">
          <cell r="F1266" t="str">
            <v>SVAKLE</v>
          </cell>
          <cell r="G1266" t="str">
            <v/>
          </cell>
          <cell r="H1266" t="str">
            <v/>
          </cell>
          <cell r="I1266" t="str">
            <v/>
          </cell>
          <cell r="J1266" t="str">
            <v>A new QSAR model, for angiotensin I-converting enzyme inhibitory oligopeptides.</v>
          </cell>
          <cell r="K1266" t="str">
            <v>10.1016/j.foodchem.2012.09.092</v>
          </cell>
          <cell r="L1266" t="str">
            <v>23194537</v>
          </cell>
        </row>
        <row r="1267">
          <cell r="F1267" t="str">
            <v>SVAKLEK</v>
          </cell>
          <cell r="G1267" t="str">
            <v/>
          </cell>
          <cell r="H1267" t="str">
            <v/>
          </cell>
          <cell r="I1267" t="str">
            <v/>
          </cell>
          <cell r="J1267" t="str">
            <v>Isolation and characterization of angiotensin I-converting enzyme inhibitory peptides derived from bonito bowels.</v>
          </cell>
          <cell r="K1267" t="str">
            <v>10.1271/bbb.57.1743</v>
          </cell>
          <cell r="L1267" t="str">
            <v>7764272</v>
          </cell>
        </row>
        <row r="1268">
          <cell r="F1268" t="str">
            <v>SVR</v>
          </cell>
          <cell r="G1268" t="str">
            <v/>
          </cell>
          <cell r="H1268" t="str">
            <v/>
          </cell>
          <cell r="I1268" t="str">
            <v/>
          </cell>
          <cell r="J1268" t="str">
            <v/>
          </cell>
          <cell r="K1268" t="str">
            <v/>
          </cell>
          <cell r="L1268" t="str">
            <v/>
          </cell>
        </row>
        <row r="1269">
          <cell r="F1269" t="str">
            <v>SVY</v>
          </cell>
          <cell r="G1269" t="str">
            <v/>
          </cell>
          <cell r="H1269" t="str">
            <v/>
          </cell>
          <cell r="I1269" t="str">
            <v/>
          </cell>
          <cell r="J1269" t="str">
            <v>Structural requirements of Angiotensin I-converting enzyme inhibitory peptides: quantitative structure-activity relationship study of di- and tripeptides.</v>
          </cell>
          <cell r="K1269" t="str">
            <v>10.1021/jf051263l</v>
          </cell>
          <cell r="L1269" t="str">
            <v>16448176</v>
          </cell>
        </row>
        <row r="1270">
          <cell r="F1270" t="str">
            <v>SWSF</v>
          </cell>
          <cell r="G1270" t="str">
            <v/>
          </cell>
          <cell r="H1270" t="str">
            <v/>
          </cell>
          <cell r="I1270" t="str">
            <v/>
          </cell>
          <cell r="J1270" t="str">
            <v>Vegetable foods: a cheap source of proteins and peptides with antihypertensive, antioxidant, and other less occurrence bioactivities.</v>
          </cell>
          <cell r="K1270" t="str">
            <v>10.1016/j.talanta.2012.12.041</v>
          </cell>
          <cell r="L1270" t="str">
            <v>23598136</v>
          </cell>
        </row>
        <row r="1271">
          <cell r="F1271" t="str">
            <v>SY</v>
          </cell>
          <cell r="G1271" t="str">
            <v>garlic</v>
          </cell>
          <cell r="H1271" t="str">
            <v/>
          </cell>
          <cell r="I1271" t="str">
            <v/>
          </cell>
          <cell r="J1271" t="str">
            <v>Structural requirements of Angiotensin I-converting enzyme inhibitory peptides: quantitative structure-activity relationship study of di- and tripeptides.; Max-E47, a designed minimalist protein that targets the E-box DNA site in vivo and in vitro.; Antihypertensive effect of peptide-enriched soy sauce-like seasoning and identification of its angiotensin I-converting enzyme inhibitory substances.;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ell>
          <cell r="K1271" t="str">
            <v>10.1021/jf051263l; 10.1021/ja901306q; 10.1021/jf903261h; 10.1016/j.talanta.2012.12.041; 10.1016/j.jprot.2013.06.023; 10.1016/j.foodchem.2013.05.140; 10.1080/10408398.2012.664829</v>
          </cell>
          <cell r="L1271" t="str">
            <v>16448176 19449889 19994857 23598136 23806758 23871047 24915368</v>
          </cell>
        </row>
        <row r="1272">
          <cell r="F1272" t="str">
            <v>TAP</v>
          </cell>
          <cell r="G1272" t="str">
            <v/>
          </cell>
          <cell r="H1272" t="str">
            <v/>
          </cell>
          <cell r="I1272" t="str">
            <v/>
          </cell>
          <cell r="J1272" t="str">
            <v>Inhibition of angiotensin-converting enzyme by synthetic peptide fragments of human kappa-casein.; Structural requirements of Angiotensin I-converting enzyme inhibitory peptides: quantitative structure-activity relationship study of di- and tripeptides.; Bioactive peptides in amaranth (Amaranthus hypochondriacus) seed.; What are the ideal properties for functional food peptides with antihypertensive effect? A computational peptidology approach.</v>
          </cell>
          <cell r="K1272" t="str">
            <v>10.1021/jf051263l; 10.1021/jf072911z; 10.1016/j.foodchem.2013.05.140</v>
          </cell>
          <cell r="L1272" t="str">
            <v>1368540 16448176 18211015 23871047</v>
          </cell>
        </row>
        <row r="1273">
          <cell r="F1273" t="str">
            <v>TAPY</v>
          </cell>
          <cell r="G1273" t="str">
            <v/>
          </cell>
          <cell r="H1273" t="str">
            <v/>
          </cell>
          <cell r="I1273" t="str">
            <v/>
          </cell>
          <cell r="J1273" t="str">
            <v>Preparation and characterization of novel bioactive peptides responsible for angiotensin I-converting enzyme inhibition from wheat germ.</v>
          </cell>
          <cell r="K1273" t="str">
            <v>10.1002/(SICI)1099-1387(199907)5:7&lt;289::AID-PSC196&gt;3.0.CO;2-6</v>
          </cell>
          <cell r="L1273" t="str">
            <v>10442764</v>
          </cell>
        </row>
        <row r="1274">
          <cell r="F1274" t="str">
            <v>TAQVTSTEV</v>
          </cell>
          <cell r="G1274" t="str">
            <v/>
          </cell>
          <cell r="H1274" t="str">
            <v/>
          </cell>
          <cell r="I1274" t="str">
            <v/>
          </cell>
          <cell r="J1274" t="str">
            <v>Sheep kappa-casein peptides inhibit platelet aggregation.</v>
          </cell>
          <cell r="K1274" t="str">
            <v>10.1016/0304-4165(95)00047-f</v>
          </cell>
          <cell r="L1274" t="str">
            <v>7599162</v>
          </cell>
        </row>
        <row r="1275">
          <cell r="F1275" t="str">
            <v>TCRGLERA</v>
          </cell>
          <cell r="G1275" t="str">
            <v/>
          </cell>
          <cell r="H1275" t="str">
            <v/>
          </cell>
          <cell r="I1275" t="str">
            <v/>
          </cell>
          <cell r="J1275" t="str">
            <v/>
          </cell>
          <cell r="K1275" t="str">
            <v/>
          </cell>
          <cell r="L1275" t="str">
            <v/>
          </cell>
        </row>
        <row r="1276">
          <cell r="F1276" t="str">
            <v>TCSP</v>
          </cell>
          <cell r="G1276" t="str">
            <v/>
          </cell>
          <cell r="H1276" t="str">
            <v/>
          </cell>
          <cell r="I1276" t="str">
            <v/>
          </cell>
          <cell r="J1276" t="str">
            <v>Free radical scavenging and angiotensin-I converting enzyme inhibitory peptides from Pacific cod (Gadus macrocephalus) skin gelatin.</v>
          </cell>
          <cell r="K1276" t="str">
            <v>10.1016/j.ijbiomac.2011.09.009</v>
          </cell>
          <cell r="L1276" t="str">
            <v>21945677</v>
          </cell>
        </row>
        <row r="1277">
          <cell r="F1277" t="str">
            <v>TDQHQDKIYP</v>
          </cell>
          <cell r="G1277" t="str">
            <v/>
          </cell>
          <cell r="H1277" t="str">
            <v/>
          </cell>
          <cell r="I1277" t="str">
            <v/>
          </cell>
          <cell r="J1277" t="str">
            <v>Inhibition of angiotensin-converting enzyme by synthetic peptide fragments of various beta-caseins.; A new QSAR model, for angiotensin I-converting enzyme inhibitory oligopeptides.</v>
          </cell>
          <cell r="K1277" t="str">
            <v>10.1016/j.foodchem.2012.09.092</v>
          </cell>
          <cell r="L1277" t="str">
            <v>1368548 23194537</v>
          </cell>
        </row>
        <row r="1278">
          <cell r="F1278" t="str">
            <v>TDVEK</v>
          </cell>
          <cell r="G1278" t="str">
            <v/>
          </cell>
          <cell r="H1278" t="str">
            <v/>
          </cell>
          <cell r="I1278" t="str">
            <v/>
          </cell>
          <cell r="J1278" t="str">
            <v/>
          </cell>
          <cell r="K1278" t="str">
            <v/>
          </cell>
          <cell r="L1278" t="str">
            <v/>
          </cell>
        </row>
        <row r="1279">
          <cell r="F1279" t="str">
            <v>TE</v>
          </cell>
          <cell r="G1279" t="str">
            <v/>
          </cell>
          <cell r="H1279" t="str">
            <v/>
          </cell>
          <cell r="I1279" t="str">
            <v/>
          </cell>
          <cell r="J1279" t="str">
            <v>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ell>
          <cell r="K1279" t="str">
            <v>10.1007/s00216-008-1990-3; 10.1016/j.jprot.2013.06.023</v>
          </cell>
          <cell r="L1279" t="str">
            <v>18392815 23806758</v>
          </cell>
        </row>
        <row r="1280">
          <cell r="F1280" t="str">
            <v>TEDELQDKIHP</v>
          </cell>
          <cell r="G1280" t="str">
            <v/>
          </cell>
          <cell r="H1280" t="str">
            <v/>
          </cell>
          <cell r="I1280" t="str">
            <v/>
          </cell>
          <cell r="J1280" t="str">
            <v>Casein fermentate of Lactobacillus animalis DPC6134 contains a range of novel propeptide angiotensin-converting enzyme inhibitors.</v>
          </cell>
          <cell r="K1280" t="str">
            <v>10.1128/AEM.00096-07</v>
          </cell>
          <cell r="L1280" t="str">
            <v>17483275</v>
          </cell>
        </row>
        <row r="1281">
          <cell r="F1281" t="str">
            <v>TF</v>
          </cell>
          <cell r="G1281" t="str">
            <v/>
          </cell>
          <cell r="H1281" t="str">
            <v/>
          </cell>
          <cell r="I1281" t="str">
            <v/>
          </cell>
          <cell r="J1281" t="str">
            <v>Structural requirements of Angiotensin I-converting enzyme inhibitory peptides: quantitative structure-activity relationship study of di- and tripeptides.; Angiotensin I converting enzyme inhibitory peptides produced by autolysis reactions from wheat bran.;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Glycinyl-histidinyl-serine (GHS), a novel rapeseed protein-derived peptide has blood pressure-lowering effect in spontaneously hypertensive rats.; Isolation and characterization of peptides with antihypertensive activity in foodstuffs.</v>
          </cell>
          <cell r="K1281" t="str">
            <v>10.1021/jf051263l; 10.1021/jf900857w; 10.1016/j.talanta.2012.12.041; 10.1016/j.jprot.2013.06.023; 10.1016/j.foodchem.2013.05.140; 10.1021/jf400865m; 10.1080/10408398.2012.664829</v>
          </cell>
          <cell r="L1281" t="str">
            <v>16448176 19572648 23598136 23806758 23871047 23919612 24915368</v>
          </cell>
        </row>
        <row r="1282">
          <cell r="F1282" t="str">
            <v>TFPHGP</v>
          </cell>
          <cell r="G1282" t="str">
            <v/>
          </cell>
          <cell r="H1282" t="str">
            <v/>
          </cell>
          <cell r="I1282" t="str">
            <v/>
          </cell>
          <cell r="J1282" t="str">
            <v>Review on the angiotensin-I-converting enzyme (ACE) inhibitor peptides from marine proteins.</v>
          </cell>
          <cell r="K1282" t="str">
            <v>10.1007/s12010-012-0024-y</v>
          </cell>
          <cell r="L1282" t="str">
            <v>23271625</v>
          </cell>
        </row>
        <row r="1283">
          <cell r="F1283" t="str">
            <v>TG</v>
          </cell>
          <cell r="G1283" t="str">
            <v/>
          </cell>
          <cell r="H1283" t="str">
            <v/>
          </cell>
          <cell r="I1283" t="str">
            <v/>
          </cell>
          <cell r="J1283"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1283" t="str">
            <v>10.1021/jf051263l; 10.1002/psc.892; 10.1007/s00894-010-0862-x; 10.1016/j.jprot.2013.06.023; 10.1016/j.foodchem.2013.05.140</v>
          </cell>
          <cell r="L1283" t="str">
            <v>6243277 16448176 17654623 20941517 23806758 23871047</v>
          </cell>
        </row>
        <row r="1284">
          <cell r="F1284" t="str">
            <v>TGGGNA</v>
          </cell>
          <cell r="G1284" t="str">
            <v/>
          </cell>
          <cell r="H1284" t="str">
            <v/>
          </cell>
          <cell r="I1284" t="str">
            <v/>
          </cell>
          <cell r="J1284" t="str">
            <v/>
          </cell>
          <cell r="K1284" t="str">
            <v/>
          </cell>
          <cell r="L1284" t="str">
            <v/>
          </cell>
        </row>
        <row r="1285">
          <cell r="F1285" t="str">
            <v>TGGGNV</v>
          </cell>
          <cell r="G1285" t="str">
            <v/>
          </cell>
          <cell r="H1285" t="str">
            <v/>
          </cell>
          <cell r="I1285" t="str">
            <v/>
          </cell>
          <cell r="J1285" t="str">
            <v>Free radical scavenging and angiotensin-I converting enzyme inhibitory peptides from Pacific cod (Gadus macrocephalus) skin gelatin.</v>
          </cell>
          <cell r="K1285" t="str">
            <v>10.1016/j.ijbiomac.2011.09.009</v>
          </cell>
          <cell r="L1285" t="str">
            <v>21945677</v>
          </cell>
        </row>
        <row r="1286">
          <cell r="F1286" t="str">
            <v>TGPIPN</v>
          </cell>
          <cell r="G1286" t="str">
            <v/>
          </cell>
          <cell r="H1286" t="str">
            <v/>
          </cell>
          <cell r="I1286" t="str">
            <v/>
          </cell>
          <cell r="J1286" t="str">
            <v>Identification and characterization of novel angiotensin-converting enzyme inhibitors obtained from goat milk.</v>
          </cell>
          <cell r="K1286" t="str">
            <v>10.3168/jds.S0022-0302(06)72369-4</v>
          </cell>
          <cell r="L1286" t="str">
            <v>16899665</v>
          </cell>
        </row>
        <row r="1287">
          <cell r="F1287" t="str">
            <v>TGPIPNSLPQ</v>
          </cell>
          <cell r="G1287" t="str">
            <v/>
          </cell>
          <cell r="H1287" t="str">
            <v/>
          </cell>
          <cell r="I1287" t="str">
            <v/>
          </cell>
          <cell r="J1287" t="str">
            <v>Angiotensin-converting enzyme inhibitory activity of peptides derived from caprine kefir.</v>
          </cell>
          <cell r="K1287" t="str">
            <v>10.3168/jds.S0022-0302(05)73032-0</v>
          </cell>
          <cell r="L1287" t="str">
            <v>16162521</v>
          </cell>
        </row>
        <row r="1288">
          <cell r="F1288" t="str">
            <v>TGVY</v>
          </cell>
          <cell r="G1288" t="str">
            <v/>
          </cell>
          <cell r="H1288" t="str">
            <v/>
          </cell>
          <cell r="I1288" t="str">
            <v/>
          </cell>
          <cell r="J1288" t="str">
            <v>Antihypertensive peptides from food proteins: a review.; What are the ideal properties for functional food peptides with antihypertensive effect? A computational peptidology approach.</v>
          </cell>
          <cell r="K1288" t="str">
            <v>10.1039/c2fo10192k; 10.1016/j.foodchem.2013.05.140</v>
          </cell>
          <cell r="L1288" t="str">
            <v>22249830 23871047</v>
          </cell>
        </row>
        <row r="1289">
          <cell r="F1289" t="str">
            <v>THIKWGD</v>
          </cell>
          <cell r="G1289" t="str">
            <v/>
          </cell>
          <cell r="H1289" t="str">
            <v/>
          </cell>
          <cell r="I1289" t="str">
            <v/>
          </cell>
          <cell r="J1289" t="str">
            <v>Potent synthetic analogues of angiotensin-converting enzyme inhibitor derived from Tuna muscle.</v>
          </cell>
          <cell r="K1289" t="str">
            <v/>
          </cell>
          <cell r="L1289" t="str">
            <v>1368734</v>
          </cell>
        </row>
        <row r="1290">
          <cell r="F1290" t="str">
            <v>TIIPLPV</v>
          </cell>
          <cell r="G1290" t="str">
            <v/>
          </cell>
          <cell r="H1290" t="str">
            <v/>
          </cell>
          <cell r="I1290" t="str">
            <v/>
          </cell>
          <cell r="J1290" t="str">
            <v/>
          </cell>
          <cell r="K1290" t="str">
            <v/>
          </cell>
          <cell r="L1290" t="str">
            <v/>
          </cell>
        </row>
        <row r="1291">
          <cell r="F1291" t="str">
            <v>TK</v>
          </cell>
          <cell r="G1291" t="str">
            <v/>
          </cell>
          <cell r="H1291" t="str">
            <v/>
          </cell>
          <cell r="I1291" t="str">
            <v/>
          </cell>
          <cell r="J1291" t="str">
            <v>Structural requirements of Angiotensin I-converting enzyme inhibitory peptides: quantitative structure-activity relationship study of di- and tripeptides.</v>
          </cell>
          <cell r="K1291" t="str">
            <v>10.1021/jf051263l</v>
          </cell>
          <cell r="L1291" t="str">
            <v>16448176</v>
          </cell>
        </row>
        <row r="1292">
          <cell r="F1292" t="str">
            <v>TKIVP</v>
          </cell>
          <cell r="G1292" t="str">
            <v/>
          </cell>
          <cell r="H1292" t="str">
            <v/>
          </cell>
          <cell r="I1292" t="str">
            <v/>
          </cell>
          <cell r="J1292" t="str">
            <v>A new QSAR model, for angiotensin I-converting enzyme inhibitory oligopeptides.</v>
          </cell>
          <cell r="K1292" t="str">
            <v>10.1016/j.foodchem.2012.09.092</v>
          </cell>
          <cell r="L1292" t="str">
            <v>23194537</v>
          </cell>
        </row>
        <row r="1293">
          <cell r="F1293" t="str">
            <v>TKKTKLTEEEKNRL</v>
          </cell>
          <cell r="G1293" t="str">
            <v/>
          </cell>
          <cell r="H1293" t="str">
            <v/>
          </cell>
          <cell r="I1293" t="str">
            <v/>
          </cell>
          <cell r="J1293" t="str">
            <v/>
          </cell>
          <cell r="K1293" t="str">
            <v/>
          </cell>
          <cell r="L1293" t="str">
            <v/>
          </cell>
        </row>
        <row r="1294">
          <cell r="F1294" t="str">
            <v>TKTGRSAHVLSRYRPRA</v>
          </cell>
          <cell r="G1294" t="str">
            <v/>
          </cell>
          <cell r="H1294" t="str">
            <v/>
          </cell>
          <cell r="I1294" t="str">
            <v/>
          </cell>
          <cell r="J1294" t="str">
            <v/>
          </cell>
          <cell r="K1294" t="str">
            <v/>
          </cell>
          <cell r="L1294" t="str">
            <v/>
          </cell>
        </row>
        <row r="1295">
          <cell r="F1295" t="str">
            <v>TKVIP</v>
          </cell>
          <cell r="G1295" t="str">
            <v/>
          </cell>
          <cell r="H1295" t="str">
            <v/>
          </cell>
          <cell r="I1295" t="str">
            <v/>
          </cell>
          <cell r="J1295" t="str">
            <v>Identification of two distinct antibacterial domains within the sequence of bovine alpha(s2)-casein.; Antihypertensive peptides: production, bioavailability and incorporation into foods.; Antihypertensive peptides from food proteins: a review.; A new QSAR model, for angiotensin I-converting enzyme inhibitory oligopeptides.</v>
          </cell>
          <cell r="K1295" t="str">
            <v>10.1016/s0304-4165(99)00079-3; 10.1016/j.cis.2010.11.001; 10.1039/c2fo10192k; 10.1016/j.foodchem.2012.09.092</v>
          </cell>
          <cell r="L1295" t="str">
            <v>10434050 21185549 22249830 23194537</v>
          </cell>
        </row>
        <row r="1296">
          <cell r="F1296" t="str">
            <v>TKY</v>
          </cell>
          <cell r="G1296" t="str">
            <v/>
          </cell>
          <cell r="H1296" t="str">
            <v/>
          </cell>
          <cell r="I1296" t="str">
            <v/>
          </cell>
          <cell r="J1296" t="str">
            <v>Structural requirements of Angiotensin I-converting enzyme inhibitory peptides: quantitative structure-activity relationship study of di- and tripeptides.; Inhibition strength of short peptides derived from an ACE inhibitory peptide.; Isolation and characterization of peptides with antihypertensive activity in foodstuffs.</v>
          </cell>
          <cell r="K1296" t="str">
            <v>10.1021/jf051263l; 10.1021/jf202902r; 10.1080/10408398.2012.664829</v>
          </cell>
          <cell r="L1296" t="str">
            <v>16448176 21923188 24915368</v>
          </cell>
        </row>
        <row r="1297">
          <cell r="F1297" t="str">
            <v>TNGIIR</v>
          </cell>
          <cell r="G1297" t="str">
            <v/>
          </cell>
          <cell r="H1297" t="str">
            <v/>
          </cell>
          <cell r="I1297" t="str">
            <v/>
          </cell>
          <cell r="J1297" t="str">
            <v/>
          </cell>
          <cell r="K1297" t="str">
            <v/>
          </cell>
          <cell r="L1297" t="str">
            <v/>
          </cell>
        </row>
        <row r="1298">
          <cell r="F1298" t="str">
            <v>TNP</v>
          </cell>
          <cell r="G1298" t="str">
            <v/>
          </cell>
          <cell r="H1298" t="str">
            <v/>
          </cell>
          <cell r="I1298" t="str">
            <v/>
          </cell>
          <cell r="J1298" t="str">
            <v>Structural requirements of Angiotensin I-converting enzyme inhibitory peptides: quantitative structure-activity relationship study of di- and tripeptides.; Peptide inhibitors for angiotensin I-converting enzyme from enzymatic hydrolysates of porcine skeletal muscle proteins.</v>
          </cell>
          <cell r="K1298" t="str">
            <v>10.1021/jf051263l; 10.1016/s0309-1740(00)00108-x</v>
          </cell>
          <cell r="L1298" t="str">
            <v>16448176 22061507</v>
          </cell>
        </row>
        <row r="1299">
          <cell r="F1299" t="str">
            <v>TP</v>
          </cell>
          <cell r="G1299" t="str">
            <v/>
          </cell>
          <cell r="H1299" t="str">
            <v/>
          </cell>
          <cell r="I1299" t="str">
            <v/>
          </cell>
          <cell r="J1299" t="str">
            <v>Angiotensin I-converting enzyme inhibitory activity and insulin secretion stimulative activity of fermented fish sauce.; Structural requirements of Angiotensin I-converting enzyme inhibitory peptides: quantitative structure-activity relationship study of di- and tripeptides.; What are the ideal properties for functional food peptides with antihypertensive effect? A computational peptidology approach.</v>
          </cell>
          <cell r="K1299" t="str">
            <v>10.1016/S1389-1723(03)70138-8; 10.1021/jf051263l; 10.1016/j.foodchem.2013.05.140</v>
          </cell>
          <cell r="L1299" t="str">
            <v>16233562 16448176 23871047</v>
          </cell>
        </row>
        <row r="1300">
          <cell r="F1300" t="str">
            <v>TPPAGPDGGPP</v>
          </cell>
          <cell r="G1300" t="str">
            <v/>
          </cell>
          <cell r="H1300" t="str">
            <v/>
          </cell>
          <cell r="I1300" t="str">
            <v/>
          </cell>
          <cell r="J1300" t="str">
            <v>A novel peptide from the ACEI/BPP-CNP precursor in the venom of Crotalus durissus collilineatus.</v>
          </cell>
          <cell r="K1300" t="str">
            <v>10.1016/j.cbpc.2006.04.006</v>
          </cell>
          <cell r="L1300" t="str">
            <v>16979945</v>
          </cell>
        </row>
        <row r="1301">
          <cell r="F1301" t="str">
            <v>TPRVF</v>
          </cell>
          <cell r="G1301" t="str">
            <v/>
          </cell>
          <cell r="H1301" t="str">
            <v/>
          </cell>
          <cell r="I1301" t="str">
            <v/>
          </cell>
          <cell r="J1301" t="str">
            <v/>
          </cell>
          <cell r="K1301" t="str">
            <v/>
          </cell>
          <cell r="L1301" t="str">
            <v/>
          </cell>
        </row>
        <row r="1302">
          <cell r="F1302" t="str">
            <v>TPSPR</v>
          </cell>
          <cell r="G1302" t="str">
            <v/>
          </cell>
          <cell r="H1302" t="str">
            <v/>
          </cell>
          <cell r="I1302" t="str">
            <v/>
          </cell>
          <cell r="J1302" t="str">
            <v/>
          </cell>
          <cell r="K1302" t="str">
            <v/>
          </cell>
          <cell r="L1302" t="str">
            <v/>
          </cell>
        </row>
        <row r="1303">
          <cell r="F1303" t="str">
            <v>TPVVVPPFLQP</v>
          </cell>
          <cell r="G1303" t="str">
            <v/>
          </cell>
          <cell r="H1303" t="str">
            <v/>
          </cell>
          <cell r="I1303" t="str">
            <v/>
          </cell>
          <cell r="J1303" t="str">
            <v>Structural analysis of new antihypertensive peptides derived from cheese whey protein by proteinase K digestion.; Antihypertensive peptides: production, bioavailability and incorporation into foods.; Antihypertensive peptides from food proteins: a review.; Isolation and characterization of peptides with antihypertensive activity in foodstuffs.</v>
          </cell>
          <cell r="K1303" t="str">
            <v>10.3168/jds.S0022-0302(98)75878-3; 10.1016/j.cis.2010.11.001; 10.1039/c2fo10192k; 10.1080/10408398.2012.664829</v>
          </cell>
          <cell r="L1303" t="str">
            <v>9891260 21185549 22249830 24915368</v>
          </cell>
        </row>
        <row r="1304">
          <cell r="F1304" t="str">
            <v>TPWVPPFLQP</v>
          </cell>
          <cell r="G1304" t="str">
            <v/>
          </cell>
          <cell r="H1304" t="str">
            <v/>
          </cell>
          <cell r="I1304" t="str">
            <v/>
          </cell>
          <cell r="J1304" t="str">
            <v>A new QSAR model, for angiotensin I-converting enzyme inhibitory oligopeptides.</v>
          </cell>
          <cell r="K1304" t="str">
            <v>10.1016/j.foodchem.2012.09.092</v>
          </cell>
          <cell r="L1304" t="str">
            <v>23194537</v>
          </cell>
        </row>
        <row r="1305">
          <cell r="F1305" t="str">
            <v>TQ</v>
          </cell>
          <cell r="G1305" t="str">
            <v/>
          </cell>
          <cell r="H1305" t="str">
            <v/>
          </cell>
          <cell r="I1305" t="str">
            <v/>
          </cell>
          <cell r="J1305" t="str">
            <v>Application of at-line two-dimensional liquid chromatography-mass spectrometry for identification of small hydrophilic angiotensin I-inhibiting peptides in milk hydrolysates.</v>
          </cell>
          <cell r="K1305" t="str">
            <v>10.1007/s00216-008-1990-3</v>
          </cell>
          <cell r="L1305" t="str">
            <v>18392815</v>
          </cell>
        </row>
        <row r="1306">
          <cell r="F1306" t="str">
            <v>TQPKTNAIPY</v>
          </cell>
          <cell r="G1306" t="str">
            <v/>
          </cell>
          <cell r="H1306" t="str">
            <v/>
          </cell>
          <cell r="I1306" t="str">
            <v/>
          </cell>
          <cell r="J1306" t="str">
            <v/>
          </cell>
          <cell r="K1306" t="str">
            <v/>
          </cell>
          <cell r="L1306" t="str">
            <v/>
          </cell>
        </row>
        <row r="1307">
          <cell r="F1307" t="str">
            <v>TQSLVYP</v>
          </cell>
          <cell r="G1307" t="str">
            <v/>
          </cell>
          <cell r="H1307" t="str">
            <v/>
          </cell>
          <cell r="I1307" t="str">
            <v/>
          </cell>
          <cell r="J1307" t="str">
            <v>Inhibition of angiotensin-converting enzyme by synthetic peptide fragments of various beta-caseins.; Evaluation of the allergenicity of goat milk, cow milk, and their lactosera in a guinea pig model.</v>
          </cell>
          <cell r="K1307" t="str">
            <v>10.3168/jds.2008-1125</v>
          </cell>
          <cell r="L1307" t="str">
            <v>1368548 19233776</v>
          </cell>
        </row>
        <row r="1308">
          <cell r="F1308" t="str">
            <v>TQTPVVVPPFIQPE</v>
          </cell>
          <cell r="G1308" t="str">
            <v/>
          </cell>
          <cell r="H1308" t="str">
            <v/>
          </cell>
          <cell r="I1308" t="str">
            <v/>
          </cell>
          <cell r="J1308" t="str">
            <v>Casein fermentate of Lactobacillus animalis DPC6134 contains a range of novel propeptide angiotensin-converting enzyme inhibitors.</v>
          </cell>
          <cell r="K1308" t="str">
            <v>10.1128/AEM.00096-07</v>
          </cell>
          <cell r="L1308" t="str">
            <v>17483275</v>
          </cell>
        </row>
        <row r="1309">
          <cell r="F1309" t="str">
            <v>TQVY</v>
          </cell>
          <cell r="G1309" t="str">
            <v/>
          </cell>
          <cell r="H1309" t="str">
            <v/>
          </cell>
          <cell r="I1309" t="str">
            <v/>
          </cell>
          <cell r="J1309" t="str">
            <v>Depressor effect of wheat germ hydrolysate and its novel angiotensin I-converting enzyme inhibitory peptide, Ile-Val-Tyr, and the metabolism in rat and human plasma.; Antihypertensive effect of rice protein hydrolysate with in vitro angiotensin I-converting enzyme inhibitory activity in spontaneously hypertensive rats.; Vegetable foods: a cheap source of proteins and peptides with antihypertensive, antioxidant, and other less occurrence bioactivities.; Isolation and characterization of peptides with antihypertensive activity in foodstuffs.</v>
          </cell>
          <cell r="K1309" t="str">
            <v>10.1248/bpb.23.427; 10.1016/j.talanta.2012.12.041; 10.1080/10408398.2012.664829</v>
          </cell>
          <cell r="L1309" t="str">
            <v>10784421 17392118 23598136 24915368</v>
          </cell>
        </row>
        <row r="1310">
          <cell r="F1310" t="str">
            <v>TRDQQ</v>
          </cell>
          <cell r="G1310" t="str">
            <v/>
          </cell>
          <cell r="H1310" t="str">
            <v/>
          </cell>
          <cell r="I1310" t="str">
            <v/>
          </cell>
          <cell r="J1310" t="str">
            <v/>
          </cell>
          <cell r="K1310" t="str">
            <v/>
          </cell>
          <cell r="L1310" t="str">
            <v/>
          </cell>
        </row>
        <row r="1311">
          <cell r="F1311" t="str">
            <v>TRGKQ</v>
          </cell>
          <cell r="G1311" t="str">
            <v/>
          </cell>
          <cell r="H1311" t="str">
            <v/>
          </cell>
          <cell r="I1311" t="str">
            <v/>
          </cell>
          <cell r="J1311" t="str">
            <v/>
          </cell>
          <cell r="K1311" t="str">
            <v/>
          </cell>
          <cell r="L1311" t="str">
            <v/>
          </cell>
        </row>
        <row r="1312">
          <cell r="F1312" t="str">
            <v>TTI</v>
          </cell>
          <cell r="G1312" t="str">
            <v/>
          </cell>
          <cell r="H1312" t="str">
            <v/>
          </cell>
          <cell r="I1312" t="str">
            <v/>
          </cell>
          <cell r="J1312" t="str">
            <v>Isolation and characterization of peptides with antihypertensive activity in foodstuffs.</v>
          </cell>
          <cell r="K1312" t="str">
            <v>10.1080/10408398.2012.664829</v>
          </cell>
          <cell r="L1312" t="str">
            <v>24915368</v>
          </cell>
        </row>
        <row r="1313">
          <cell r="F1313" t="str">
            <v>TTMLIQDEDDLEMA</v>
          </cell>
          <cell r="G1313" t="str">
            <v/>
          </cell>
          <cell r="H1313" t="str">
            <v/>
          </cell>
          <cell r="I1313" t="str">
            <v/>
          </cell>
          <cell r="J1313" t="str">
            <v>Casein fermentate of Lactobacillus animalis DPC6134 contains a range of novel propeptide angiotensin-converting enzyme inhibitors.</v>
          </cell>
          <cell r="K1313" t="str">
            <v>10.1128/AEM.00096-07</v>
          </cell>
          <cell r="L1313" t="str">
            <v>17483275</v>
          </cell>
        </row>
        <row r="1314">
          <cell r="F1314" t="str">
            <v>TTMPLW</v>
          </cell>
          <cell r="G1314" t="str">
            <v/>
          </cell>
          <cell r="H1314" t="str">
            <v/>
          </cell>
          <cell r="I1314" t="str">
            <v/>
          </cell>
          <cell r="J1314" t="str">
            <v>Antihypertensive peptides: production, bioavailability and incorporation into foods.; Bioactive peptides derived from milk proteins and their health beneficial potentials: an update.; Antihypertensive peptides from food proteins: a review.; A new QSAR model, for angiotensin I-converting enzyme inhibitory oligopeptides.</v>
          </cell>
          <cell r="K1314" t="str">
            <v>10.1016/j.cis.2010.11.001; 10.1039/c0fo00016g; 10.1039/c2fo10192k; 10.1016/j.foodchem.2012.09.092</v>
          </cell>
          <cell r="L1314" t="str">
            <v>21185549 21773582 22249830 23194537</v>
          </cell>
        </row>
        <row r="1315">
          <cell r="F1315" t="str">
            <v>TTN</v>
          </cell>
          <cell r="G1315" t="str">
            <v/>
          </cell>
          <cell r="H1315" t="str">
            <v/>
          </cell>
          <cell r="I1315" t="str">
            <v/>
          </cell>
          <cell r="J1315" t="str">
            <v>Structural requirements of Angiotensin I-converting enzyme inhibitory peptides: quantitative structure-activity relationship study of di- and tripeptides.; Peptide inhibitors for angiotensin I-converting enzyme from enzymatic hydrolysates of porcine skeletal muscle proteins.</v>
          </cell>
          <cell r="K1315" t="str">
            <v>10.1021/jf051263l; 10.1016/s0309-1740(00)00108-x</v>
          </cell>
          <cell r="L1315" t="str">
            <v>16448176 22061507</v>
          </cell>
        </row>
        <row r="1316">
          <cell r="F1316" t="str">
            <v>TVDQ</v>
          </cell>
          <cell r="G1316" t="str">
            <v/>
          </cell>
          <cell r="H1316" t="str">
            <v/>
          </cell>
          <cell r="I1316" t="str">
            <v/>
          </cell>
          <cell r="J1316" t="str">
            <v>Angiotensin I-converting-enzyme-inhibitory and antibacterial peptides from Lactobacillus helveticus PR4 proteinase-hydrolyzed caseins of milk from six species.</v>
          </cell>
          <cell r="K1316" t="str">
            <v>10.1128/AEM.69.9.5297-5305.2003</v>
          </cell>
          <cell r="L1316" t="str">
            <v>12957917</v>
          </cell>
        </row>
        <row r="1317">
          <cell r="F1317" t="str">
            <v>TVDQHQ</v>
          </cell>
          <cell r="G1317" t="str">
            <v/>
          </cell>
          <cell r="H1317" t="str">
            <v/>
          </cell>
          <cell r="I1317" t="str">
            <v/>
          </cell>
          <cell r="J1317" t="str">
            <v>Angiotensin I-converting-enzyme-inhibitory and antibacterial peptides from Lactobacillus helveticus PR4 proteinase-hydrolyzed caseins of milk from six species.; A new QSAR model, for angiotensin I-converting enzyme inhibitory oligopeptides.</v>
          </cell>
          <cell r="K1317" t="str">
            <v>10.1128/AEM.69.9.5297-5305.2003; 10.1016/j.foodchem.2012.09.092</v>
          </cell>
          <cell r="L1317" t="str">
            <v>12957917 23194537</v>
          </cell>
        </row>
        <row r="1318">
          <cell r="F1318" t="str">
            <v>TVPY</v>
          </cell>
          <cell r="G1318" t="str">
            <v/>
          </cell>
          <cell r="H1318" t="str">
            <v/>
          </cell>
          <cell r="I1318" t="str">
            <v/>
          </cell>
          <cell r="J1318" t="str">
            <v>Preparation and characterization of novel bioactive peptides responsible for angiotensin I-converting enzyme inhibition from wheat germ.</v>
          </cell>
          <cell r="K1318" t="str">
            <v>10.1002/(SICI)1099-1387(199907)5:7&lt;289::AID-PSC196&gt;3.0.CO;2-6</v>
          </cell>
          <cell r="L1318" t="str">
            <v>10442764</v>
          </cell>
        </row>
        <row r="1319">
          <cell r="F1319" t="str">
            <v>TVVPG</v>
          </cell>
          <cell r="G1319" t="str">
            <v/>
          </cell>
          <cell r="H1319" t="str">
            <v/>
          </cell>
          <cell r="I1319" t="str">
            <v/>
          </cell>
          <cell r="J1319" t="str">
            <v>A new QSAR model, for angiotensin I-converting enzyme inhibitory oligopeptides.</v>
          </cell>
          <cell r="K1319" t="str">
            <v>10.1016/j.foodchem.2012.09.092</v>
          </cell>
          <cell r="L1319" t="str">
            <v>23194537</v>
          </cell>
        </row>
        <row r="1320">
          <cell r="F1320" t="str">
            <v>TVY</v>
          </cell>
          <cell r="G1320" t="str">
            <v/>
          </cell>
          <cell r="H1320" t="str">
            <v/>
          </cell>
          <cell r="I1320" t="str">
            <v/>
          </cell>
          <cell r="J1320" t="str">
            <v>Structural requirements of Angiotensin I-converting enzyme inhibitory peptides: quantitative structure-activity relationship study of di- and tripeptides.; What are the ideal properties for functional food peptides with antihypertensive effect? A computational peptidology approach.</v>
          </cell>
          <cell r="K1320" t="str">
            <v>10.1021/jf051263l; 10.1016/j.foodchem.2013.05.140</v>
          </cell>
          <cell r="L1320" t="str">
            <v>16448176 23871047</v>
          </cell>
        </row>
        <row r="1321">
          <cell r="F1321" t="str">
            <v>TVYTKGRVMP</v>
          </cell>
          <cell r="G1321" t="str">
            <v/>
          </cell>
          <cell r="H1321" t="str">
            <v/>
          </cell>
          <cell r="I1321" t="str">
            <v/>
          </cell>
          <cell r="J1321" t="str">
            <v>Inhibition of angiotensin-converting enzyme by synthetic peptide fragments of various beta-caseins.</v>
          </cell>
          <cell r="K1321" t="str">
            <v/>
          </cell>
          <cell r="L1321" t="str">
            <v>1368548</v>
          </cell>
        </row>
        <row r="1322">
          <cell r="F1322" t="str">
            <v>TYCQ</v>
          </cell>
          <cell r="G1322" t="str">
            <v/>
          </cell>
          <cell r="H1322" t="str">
            <v/>
          </cell>
          <cell r="I1322" t="str">
            <v/>
          </cell>
          <cell r="J1322" t="str">
            <v/>
          </cell>
          <cell r="K1322" t="str">
            <v/>
          </cell>
          <cell r="L1322" t="str">
            <v/>
          </cell>
        </row>
        <row r="1323">
          <cell r="F1323" t="str">
            <v>TYLGS</v>
          </cell>
          <cell r="G1323" t="str">
            <v/>
          </cell>
          <cell r="H1323" t="str">
            <v/>
          </cell>
          <cell r="I1323" t="str">
            <v/>
          </cell>
          <cell r="J1323" t="str">
            <v>Inhibition strength of short peptides derived from an ACE inhibitory peptide.; A new QSAR model, for angiotensin I-converting enzyme inhibitory oligopeptides.</v>
          </cell>
          <cell r="K1323" t="str">
            <v>10.1021/jf202902r; 10.1016/j.foodchem.2012.09.092</v>
          </cell>
          <cell r="L1323" t="str">
            <v>21923188 23194537</v>
          </cell>
        </row>
        <row r="1324">
          <cell r="F1324" t="str">
            <v>VA</v>
          </cell>
          <cell r="G1324" t="str">
            <v/>
          </cell>
          <cell r="H1324" t="str">
            <v/>
          </cell>
          <cell r="I1324" t="str">
            <v/>
          </cell>
          <cell r="J1324" t="str">
            <v>Three-dimensional holograph vector of atomic interaction field (3D-HoVAIF): a novel rotation-translation invariant 3D structure descriptor and its applications to peptides.</v>
          </cell>
          <cell r="K1324" t="str">
            <v>10.1002/psc.892</v>
          </cell>
          <cell r="L1324" t="str">
            <v>17654623</v>
          </cell>
        </row>
        <row r="1325">
          <cell r="F1325" t="str">
            <v>VAA</v>
          </cell>
          <cell r="G1325" t="str">
            <v/>
          </cell>
          <cell r="H1325" t="str">
            <v/>
          </cell>
          <cell r="I1325" t="str">
            <v/>
          </cell>
          <cell r="J1325" t="str">
            <v>Structures and activity of angiotensin-converting enzyme inhibitors in an alpha-zein hydrolysate.; Bioactive peptides in amaranth (Amaranthus hypochondriacus) seed.; Cellular membrane disruption by amyloid fibrils involved intermolecular disulfide cross-linking.; What are the ideal properties for functional food peptides with antihypertensive effect? A computational peptidology approach.</v>
          </cell>
          <cell r="K1325" t="str">
            <v>10.1021/jf072911z; 10.1021/bi900219c; 10.1016/j.foodchem.2013.05.140</v>
          </cell>
          <cell r="L1325" t="str">
            <v>1368684 18211015 19449893 23871047</v>
          </cell>
        </row>
        <row r="1326">
          <cell r="F1326" t="str">
            <v>VADVYVGK</v>
          </cell>
          <cell r="G1326" t="str">
            <v/>
          </cell>
          <cell r="H1326" t="str">
            <v/>
          </cell>
          <cell r="I1326" t="str">
            <v/>
          </cell>
          <cell r="J1326" t="str">
            <v>A new QSAR model, for angiotensin I-converting enzyme inhibitory oligopeptides.</v>
          </cell>
          <cell r="K1326" t="str">
            <v>10.1016/j.foodchem.2012.09.092</v>
          </cell>
          <cell r="L1326" t="str">
            <v>23194537</v>
          </cell>
        </row>
        <row r="1327">
          <cell r="F1327" t="str">
            <v>VAF</v>
          </cell>
          <cell r="G1327" t="str">
            <v/>
          </cell>
          <cell r="H1327" t="str">
            <v/>
          </cell>
          <cell r="I1327" t="str">
            <v/>
          </cell>
          <cell r="J1327" t="str">
            <v>Review on the angiotensin-I-converting enzyme (ACE) inhibitor peptides from marine proteins.; Vegetable foods: a cheap source of proteins and peptides with antihypertensive, antioxidant, and other less occurrence bioactivities.</v>
          </cell>
          <cell r="K1327" t="str">
            <v>10.1007/s12010-012-0024-y; 10.1016/j.talanta.2012.12.041</v>
          </cell>
          <cell r="L1327" t="str">
            <v>23271625 23598136</v>
          </cell>
        </row>
        <row r="1328">
          <cell r="F1328" t="str">
            <v>VAGTW</v>
          </cell>
          <cell r="G1328" t="str">
            <v/>
          </cell>
          <cell r="H1328" t="str">
            <v/>
          </cell>
          <cell r="I1328" t="str">
            <v/>
          </cell>
          <cell r="J1328" t="str">
            <v>Angiotensin I-converting enzyme inhibitory properties of whey protein digests: concentration and characterization of active peptides.; A new QSAR model, for angiotensin I-converting enzyme inhibitory oligopeptides.</v>
          </cell>
          <cell r="K1328" t="str">
            <v>10.1017/s0022029999003982; 10.1016/j.foodchem.2012.09.092</v>
          </cell>
          <cell r="L1328" t="str">
            <v>10717843 23194537</v>
          </cell>
        </row>
        <row r="1329">
          <cell r="F1329" t="str">
            <v>VAGTWY</v>
          </cell>
          <cell r="G1329" t="str">
            <v/>
          </cell>
          <cell r="H1329" t="str">
            <v/>
          </cell>
          <cell r="I1329" t="str">
            <v/>
          </cell>
          <cell r="J1329" t="str">
            <v>Quality and acceptability of a set-type yogurt made from camel milk.; A new QSAR model, for angiotensin I-converting enzyme inhibitory oligopeptides.</v>
          </cell>
          <cell r="K1329" t="str">
            <v>10.3168/jds.2008-1408; 10.1016/j.foodchem.2012.09.092</v>
          </cell>
          <cell r="L1329" t="str">
            <v>19233778 23194537</v>
          </cell>
        </row>
        <row r="1330">
          <cell r="F1330" t="str">
            <v>VAHINVGK</v>
          </cell>
          <cell r="G1330" t="str">
            <v/>
          </cell>
          <cell r="H1330" t="str">
            <v/>
          </cell>
          <cell r="I1330" t="str">
            <v/>
          </cell>
          <cell r="J1330" t="str">
            <v>A new QSAR model, for angiotensin I-converting enzyme inhibitory oligopeptides.</v>
          </cell>
          <cell r="K1330" t="str">
            <v>10.1016/j.foodchem.2012.09.092</v>
          </cell>
          <cell r="L1330" t="str">
            <v>23194537</v>
          </cell>
        </row>
        <row r="1331">
          <cell r="F1331" t="str">
            <v>VAHINVWK</v>
          </cell>
          <cell r="G1331" t="str">
            <v/>
          </cell>
          <cell r="H1331" t="str">
            <v/>
          </cell>
          <cell r="I1331" t="str">
            <v/>
          </cell>
          <cell r="J1331" t="str">
            <v>A new QSAR model, for angiotensin I-converting enzyme inhibitory oligopeptides.</v>
          </cell>
          <cell r="K1331" t="str">
            <v>10.1016/j.foodchem.2012.09.092</v>
          </cell>
          <cell r="L1331" t="str">
            <v>23194537</v>
          </cell>
        </row>
        <row r="1332">
          <cell r="F1332" t="str">
            <v>VAND</v>
          </cell>
          <cell r="G1332" t="str">
            <v/>
          </cell>
          <cell r="H1332" t="str">
            <v/>
          </cell>
          <cell r="I1332" t="str">
            <v/>
          </cell>
          <cell r="J1332" t="str">
            <v>Vegetable foods: a cheap source of proteins and peptides with antihypertensive, antioxidant, and other less occurrence bioactivities.</v>
          </cell>
          <cell r="K1332" t="str">
            <v>10.1016/j.talanta.2012.12.041</v>
          </cell>
          <cell r="L1332" t="str">
            <v>23598136</v>
          </cell>
        </row>
        <row r="1333">
          <cell r="F1333" t="str">
            <v>VAP</v>
          </cell>
          <cell r="G1333" t="str">
            <v/>
          </cell>
          <cell r="H1333" t="str">
            <v/>
          </cell>
          <cell r="I1333" t="str">
            <v/>
          </cell>
          <cell r="J1333" t="str">
            <v>Structural requirements of Angiotensin I-converting enzyme inhibitory peptides: quantitative structure-activity relationship study of di- and tripeptides.; Bioactive peptides in amaranth (Amaranthus hypochondriacus) seed.; Vegetable foods: a cheap source of proteins and peptides with antihypertensive, antioxidant, and other less occurrence bioactivities.; What are the ideal properties for functional food peptides with antihypertensive effect? A computational peptidology approach.; Glycinyl-histidinyl-serine (GHS), a novel rapeseed protein-derived peptide has blood pressure-lowering effect in spontaneously hypertensive rats.</v>
          </cell>
          <cell r="K1333" t="str">
            <v>10.1021/jf051263l; 10.1021/jf072911z; 10.1016/j.talanta.2012.12.041; 10.1016/j.foodchem.2013.05.140; 10.1021/jf400865m</v>
          </cell>
          <cell r="L1333" t="str">
            <v>16448176 18211015 23598136 23871047 23919612</v>
          </cell>
        </row>
        <row r="1334">
          <cell r="F1334" t="str">
            <v>VAPEEHPT</v>
          </cell>
          <cell r="G1334" t="str">
            <v/>
          </cell>
          <cell r="H1334" t="str">
            <v/>
          </cell>
          <cell r="I1334" t="str">
            <v/>
          </cell>
          <cell r="J1334" t="str">
            <v>Angiotensin I-converting enzyme inhibitory peptides generated from in vitro gastrointestinal digestion of pork meat.</v>
          </cell>
          <cell r="K1334" t="str">
            <v>10.1021/jf904204n</v>
          </cell>
          <cell r="L1334" t="str">
            <v>20151679</v>
          </cell>
        </row>
        <row r="1335">
          <cell r="F1335" t="str">
            <v>VAPFPEV</v>
          </cell>
          <cell r="G1335" t="str">
            <v/>
          </cell>
          <cell r="H1335" t="str">
            <v/>
          </cell>
          <cell r="I1335" t="str">
            <v/>
          </cell>
          <cell r="J1335" t="str">
            <v/>
          </cell>
          <cell r="K1335" t="str">
            <v/>
          </cell>
          <cell r="L1335" t="str">
            <v/>
          </cell>
        </row>
        <row r="1336">
          <cell r="F1336" t="str">
            <v>VAPFPEVF</v>
          </cell>
          <cell r="G1336" t="str">
            <v/>
          </cell>
          <cell r="H1336" t="str">
            <v/>
          </cell>
          <cell r="I1336" t="str">
            <v/>
          </cell>
          <cell r="J1336" t="str">
            <v>A new QSAR model, for angiotensin I-converting enzyme inhibitory oligopeptides.</v>
          </cell>
          <cell r="K1336" t="str">
            <v>10.1016/j.foodchem.2012.09.092</v>
          </cell>
          <cell r="L1336" t="str">
            <v>23194537</v>
          </cell>
        </row>
        <row r="1337">
          <cell r="F1337" t="str">
            <v>VAPFPEVFGKE</v>
          </cell>
          <cell r="G1337" t="str">
            <v/>
          </cell>
          <cell r="H1337" t="str">
            <v/>
          </cell>
          <cell r="I1337" t="str">
            <v/>
          </cell>
          <cell r="J1337" t="str">
            <v/>
          </cell>
          <cell r="K1337" t="str">
            <v/>
          </cell>
          <cell r="L1337" t="str">
            <v/>
          </cell>
        </row>
        <row r="1338">
          <cell r="F1338" t="str">
            <v>VAV</v>
          </cell>
          <cell r="G1338" t="str">
            <v/>
          </cell>
          <cell r="H1338" t="str">
            <v/>
          </cell>
          <cell r="I1338" t="str">
            <v/>
          </cell>
          <cell r="J1338" t="str">
            <v>Inhibition of angiotensin-converting enzyme by synthetic peptide fragments of human kappa-casein.; What are the ideal properties for functional food peptides with antihypertensive effect? A computational peptidology approach.</v>
          </cell>
          <cell r="K1338" t="str">
            <v>10.1016/j.foodchem.2013.05.140</v>
          </cell>
          <cell r="L1338" t="str">
            <v>1368540 23871047</v>
          </cell>
        </row>
        <row r="1339">
          <cell r="F1339" t="str">
            <v>VAW</v>
          </cell>
          <cell r="G1339" t="str">
            <v/>
          </cell>
          <cell r="H1339" t="str">
            <v/>
          </cell>
          <cell r="I1339" t="str">
            <v/>
          </cell>
          <cell r="J1339" t="str">
            <v>ACE inhibitory peptides and antioxidant peptides derived from in vitro digestion hydrolysate of hen egg white lysozyme.</v>
          </cell>
          <cell r="K1339" t="str">
            <v>10.1016/j.foodchem.2012.05.059</v>
          </cell>
          <cell r="L1339" t="str">
            <v>22953850</v>
          </cell>
        </row>
        <row r="1340">
          <cell r="F1340" t="str">
            <v>VAWKL</v>
          </cell>
          <cell r="G1340" t="str">
            <v/>
          </cell>
          <cell r="H1340" t="str">
            <v/>
          </cell>
          <cell r="I1340" t="str">
            <v/>
          </cell>
          <cell r="J1340" t="str">
            <v>Effects of angiotensin I-converting enzyme inhibitory substances derived from Indonesian dried-salted fish on blood pressure of rats.; A new QSAR model, for angiotensin I-converting enzyme inhibitory oligopeptides.</v>
          </cell>
          <cell r="K1340" t="str">
            <v>10.1271/bbb.59.425; 10.1016/j.foodchem.2012.09.092</v>
          </cell>
          <cell r="L1340" t="str">
            <v>7766180 23194537</v>
          </cell>
        </row>
        <row r="1341">
          <cell r="F1341" t="str">
            <v>VAY</v>
          </cell>
          <cell r="G1341" t="str">
            <v/>
          </cell>
          <cell r="H1341" t="str">
            <v/>
          </cell>
          <cell r="I1341" t="str">
            <v/>
          </cell>
          <cell r="J1341" t="str">
            <v>Structures and activity of angiotensin-converting enzyme inhibitors in an alpha-zein hydrolysate.; Bioactive peptides in amaranth (Amaranthus hypochondriacus) seed.; Cellular membrane disruption by amyloid fibrils involved intermolecular disulfide cross-linking.; What are the ideal properties for functional food peptides with antihypertensive effect? A computational peptidology approach.</v>
          </cell>
          <cell r="K1341" t="str">
            <v>10.1021/jf072911z; 10.1021/bi900219c; 10.1016/j.foodchem.2013.05.140</v>
          </cell>
          <cell r="L1341" t="str">
            <v>1368684 18211015 19449893 23871047</v>
          </cell>
        </row>
        <row r="1342">
          <cell r="F1342" t="str">
            <v>VCYNQ</v>
          </cell>
          <cell r="G1342" t="str">
            <v/>
          </cell>
          <cell r="H1342" t="str">
            <v/>
          </cell>
          <cell r="I1342" t="str">
            <v/>
          </cell>
          <cell r="J1342" t="str">
            <v/>
          </cell>
          <cell r="K1342" t="str">
            <v/>
          </cell>
          <cell r="L1342" t="str">
            <v/>
          </cell>
        </row>
        <row r="1343">
          <cell r="F1343" t="str">
            <v>VD</v>
          </cell>
          <cell r="G1343" t="str">
            <v/>
          </cell>
          <cell r="H1343" t="str">
            <v/>
          </cell>
          <cell r="I1343" t="str">
            <v/>
          </cell>
          <cell r="J1343" t="str">
            <v>Quantitative structure-activity relationship study of bitter di- and tri-peptides including relationship with angiotensin I-converting enzyme inhibitory activity.</v>
          </cell>
          <cell r="K1343" t="str">
            <v>10.1002/psc.800</v>
          </cell>
          <cell r="L1343" t="str">
            <v>17117396</v>
          </cell>
        </row>
        <row r="1344">
          <cell r="F1344" t="str">
            <v>VDF</v>
          </cell>
          <cell r="G1344" t="str">
            <v/>
          </cell>
          <cell r="H1344" t="str">
            <v/>
          </cell>
          <cell r="I1344" t="str">
            <v/>
          </cell>
          <cell r="J1344" t="str">
            <v>Isolation and characterization of peptides with antihypertensive activity in foodstuffs.</v>
          </cell>
          <cell r="K1344" t="str">
            <v>10.1080/10408398.2012.664829</v>
          </cell>
          <cell r="L1344" t="str">
            <v>24915368</v>
          </cell>
        </row>
        <row r="1345">
          <cell r="F1345" t="str">
            <v>VDKEA</v>
          </cell>
          <cell r="G1345" t="str">
            <v/>
          </cell>
          <cell r="H1345" t="str">
            <v/>
          </cell>
          <cell r="I1345" t="str">
            <v/>
          </cell>
          <cell r="J1345" t="str">
            <v/>
          </cell>
          <cell r="K1345" t="str">
            <v/>
          </cell>
          <cell r="L1345" t="str">
            <v/>
          </cell>
        </row>
        <row r="1346">
          <cell r="F1346" t="str">
            <v>VDP</v>
          </cell>
          <cell r="G1346" t="str">
            <v/>
          </cell>
          <cell r="H1346" t="str">
            <v/>
          </cell>
          <cell r="I1346" t="str">
            <v/>
          </cell>
          <cell r="J1346" t="str">
            <v/>
          </cell>
          <cell r="K1346" t="str">
            <v/>
          </cell>
          <cell r="L1346" t="str">
            <v/>
          </cell>
        </row>
        <row r="1347">
          <cell r="F1347" t="str">
            <v>VDW</v>
          </cell>
          <cell r="G1347" t="str">
            <v/>
          </cell>
          <cell r="H1347" t="str">
            <v/>
          </cell>
          <cell r="I1347" t="str">
            <v/>
          </cell>
          <cell r="J1347" t="str">
            <v/>
          </cell>
          <cell r="K1347" t="str">
            <v/>
          </cell>
          <cell r="L1347" t="str">
            <v/>
          </cell>
        </row>
        <row r="1348">
          <cell r="F1348" t="str">
            <v>VE</v>
          </cell>
          <cell r="G1348" t="str">
            <v/>
          </cell>
          <cell r="H1348" t="str">
            <v/>
          </cell>
          <cell r="I1348" t="str">
            <v/>
          </cell>
          <cell r="J1348" t="str">
            <v>Quantitative structure-activity relationship study of bitter di- and tri-peptides including relationship with angiotensin I-converting enzyme inhibitory activity.; 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ell>
          <cell r="K1348" t="str">
            <v>10.1002/psc.800; 10.1007/s00216-008-1990-3; 10.1016/j.jprot.2013.06.023</v>
          </cell>
          <cell r="L1348" t="str">
            <v>17117396 18392815 23806758</v>
          </cell>
        </row>
        <row r="1349">
          <cell r="F1349" t="str">
            <v>VECYGPNRPQF</v>
          </cell>
          <cell r="G1349" t="str">
            <v/>
          </cell>
          <cell r="H1349" t="str">
            <v/>
          </cell>
          <cell r="I1349" t="str">
            <v/>
          </cell>
          <cell r="J1349" t="str">
            <v>Review on the angiotensin-I-converting enzyme (ACE) inhibitor peptides from marine proteins.; Glycinyl-histidinyl-serine (GHS), a novel rapeseed protein-derived peptide has blood pressure-lowering effect in spontaneously hypertensive rats.</v>
          </cell>
          <cell r="K1349" t="str">
            <v>10.1007/s12010-012-0024-y; 10.1021/jf400865m</v>
          </cell>
          <cell r="L1349" t="str">
            <v>23271625 23919612</v>
          </cell>
        </row>
        <row r="1350">
          <cell r="F1350" t="str">
            <v>VEELKP</v>
          </cell>
          <cell r="G1350" t="str">
            <v/>
          </cell>
          <cell r="H1350" t="str">
            <v/>
          </cell>
          <cell r="I1350" t="str">
            <v/>
          </cell>
          <cell r="J1350" t="str">
            <v/>
          </cell>
          <cell r="K1350" t="str">
            <v/>
          </cell>
          <cell r="L1350" t="str">
            <v/>
          </cell>
        </row>
        <row r="1351">
          <cell r="F1351" t="str">
            <v>VEF</v>
          </cell>
          <cell r="G1351" t="str">
            <v/>
          </cell>
          <cell r="H1351" t="str">
            <v/>
          </cell>
          <cell r="I1351" t="str">
            <v/>
          </cell>
          <cell r="J1351" t="str">
            <v/>
          </cell>
          <cell r="K1351" t="str">
            <v/>
          </cell>
          <cell r="L1351" t="str">
            <v/>
          </cell>
        </row>
        <row r="1352">
          <cell r="F1352" t="str">
            <v>VEFEG</v>
          </cell>
          <cell r="G1352" t="str">
            <v/>
          </cell>
          <cell r="H1352" t="str">
            <v/>
          </cell>
          <cell r="I1352" t="str">
            <v/>
          </cell>
          <cell r="J1352" t="str">
            <v/>
          </cell>
          <cell r="K1352" t="str">
            <v/>
          </cell>
          <cell r="L1352" t="str">
            <v/>
          </cell>
        </row>
        <row r="1353">
          <cell r="F1353" t="str">
            <v>VEGY</v>
          </cell>
          <cell r="G1353" t="str">
            <v/>
          </cell>
          <cell r="H1353" t="str">
            <v/>
          </cell>
          <cell r="I1353" t="str">
            <v/>
          </cell>
          <cell r="J1353" t="str">
            <v/>
          </cell>
          <cell r="K1353" t="str">
            <v/>
          </cell>
          <cell r="L1353" t="str">
            <v/>
          </cell>
        </row>
        <row r="1354">
          <cell r="F1354" t="str">
            <v>VENLHLPLPL</v>
          </cell>
          <cell r="G1354" t="str">
            <v/>
          </cell>
          <cell r="H1354" t="str">
            <v/>
          </cell>
          <cell r="I1354" t="str">
            <v/>
          </cell>
          <cell r="J1354" t="str">
            <v>Identification of angiotensin-I-converting enzyme inhibitory peptides derived from sodium caseinate hydrolysates produced by Lactobacillus helveticus NCC 2765.</v>
          </cell>
          <cell r="K1354" t="str">
            <v>10.1021/jf049510t</v>
          </cell>
          <cell r="L1354" t="str">
            <v>15537298</v>
          </cell>
        </row>
        <row r="1355">
          <cell r="F1355" t="str">
            <v>VENLHLPLPLL</v>
          </cell>
          <cell r="G1355" t="str">
            <v/>
          </cell>
          <cell r="H1355" t="str">
            <v/>
          </cell>
          <cell r="I1355" t="str">
            <v/>
          </cell>
          <cell r="J1355" t="str">
            <v>Identification of angiotensin-I-converting enzyme inhibitory peptides derived from sodium caseinate hydrolysates produced by Lactobacillus helveticus NCC 2765.</v>
          </cell>
          <cell r="K1355" t="str">
            <v>10.1021/jf049510t</v>
          </cell>
          <cell r="L1355" t="str">
            <v>15537298</v>
          </cell>
        </row>
        <row r="1356">
          <cell r="F1356" t="str">
            <v>VEP</v>
          </cell>
          <cell r="G1356" t="str">
            <v/>
          </cell>
          <cell r="H1356" t="str">
            <v/>
          </cell>
          <cell r="I1356" t="str">
            <v/>
          </cell>
          <cell r="J1356" t="str">
            <v/>
          </cell>
          <cell r="K1356" t="str">
            <v/>
          </cell>
          <cell r="L1356" t="str">
            <v/>
          </cell>
        </row>
        <row r="1357">
          <cell r="F1357" t="str">
            <v>VEY</v>
          </cell>
          <cell r="G1357" t="str">
            <v/>
          </cell>
          <cell r="H1357" t="str">
            <v/>
          </cell>
          <cell r="I1357" t="str">
            <v/>
          </cell>
          <cell r="J1357" t="str">
            <v/>
          </cell>
          <cell r="K1357" t="str">
            <v/>
          </cell>
          <cell r="L1357" t="str">
            <v/>
          </cell>
        </row>
        <row r="1358">
          <cell r="F1358" t="str">
            <v>VF</v>
          </cell>
          <cell r="G1358" t="str">
            <v/>
          </cell>
          <cell r="H1358" t="str">
            <v/>
          </cell>
          <cell r="I1358" t="str">
            <v/>
          </cell>
          <cell r="J1358" t="str">
            <v>Angiotensin I-converting enzyme inhibitory peptides in an alkaline protease hydrolyzate derived from sardine muscle.; Antihypertensive effects of Undaria pinnatifida (wakame) peptide on blood pressure in spontaneously hypertensive rats.;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Bioactive peptides in amaranth (Amaranthus hypochondriacus) seed.; Ala-Val-Phe and Val-Phe: ACE inhibitory peptides derived from insect protein with antihypertensive activity in spontaneously hypertensive rats.; QSAR study on angiotensin-converting enzyme inhibitor oligopeptides based on a novel set of sequence information descriptors.; Antihypertensive peptides from food proteins: a review.; Review on the angiotensin-I-converting enzyme (ACE) inhibitor peptides from marine proteins.;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ell>
          <cell r="K1358" t="str">
            <v>10.1271/bbb.58.2244; 10.1016/j.jnutbio.2003.11.004; 10.1021/jf051263l; 10.1002/psc.800; 10.1002/psc.892; 10.1021/jf072911z; 10.1016/j.peptides.2009.05.029; 10.1007/s00894-010-0862-x; 10.1039/c2fo10192k; 10.1007/s12010-012-0024-y; 10.1016/j.talanta.2012.12.041; 10.1016/j.jprot.2013.06.023; 10.1016/j.foodchem.2013.05.140; 10.1080/10408398.2012.664829</v>
          </cell>
          <cell r="L1358" t="str">
            <v>7765718 15135150 16448176 17117396 17654623 18211015 19524628 20941517 22249830 23271625 23598136 23806758 23871047 24915368</v>
          </cell>
        </row>
        <row r="1359">
          <cell r="F1359" t="str">
            <v>VFER</v>
          </cell>
          <cell r="G1359" t="str">
            <v/>
          </cell>
          <cell r="H1359" t="str">
            <v/>
          </cell>
          <cell r="I1359" t="str">
            <v/>
          </cell>
          <cell r="J1359" t="str">
            <v>Isolation and characterization of peptides with antihypertensive activity in foodstuffs.</v>
          </cell>
          <cell r="K1359" t="str">
            <v>10.1080/10408398.2012.664829</v>
          </cell>
          <cell r="L1359" t="str">
            <v>24915368</v>
          </cell>
        </row>
        <row r="1360">
          <cell r="F1360" t="str">
            <v>VFEWAFAR</v>
          </cell>
          <cell r="G1360" t="str">
            <v/>
          </cell>
          <cell r="H1360" t="str">
            <v/>
          </cell>
          <cell r="I1360" t="str">
            <v/>
          </cell>
          <cell r="J1360" t="str">
            <v/>
          </cell>
          <cell r="K1360" t="str">
            <v/>
          </cell>
          <cell r="L1360" t="str">
            <v/>
          </cell>
        </row>
        <row r="1361">
          <cell r="F1361" t="str">
            <v>VFGKEK</v>
          </cell>
          <cell r="G1361" t="str">
            <v/>
          </cell>
          <cell r="H1361" t="str">
            <v/>
          </cell>
          <cell r="I1361" t="str">
            <v/>
          </cell>
          <cell r="J1361" t="str">
            <v>Enterococcus faecalis strains from food, environmental, and clinical origin produce ACE-inhibitory peptides and other bioactive peptides during growth in bovine skim milk.</v>
          </cell>
          <cell r="K1361" t="str">
            <v>10.1016/j.ijfoodmicro.2013.06.019</v>
          </cell>
          <cell r="L1361" t="str">
            <v>23845432</v>
          </cell>
        </row>
        <row r="1362">
          <cell r="F1362" t="str">
            <v>VFGR</v>
          </cell>
          <cell r="G1362" t="str">
            <v/>
          </cell>
          <cell r="H1362" t="str">
            <v/>
          </cell>
          <cell r="I1362" t="str">
            <v/>
          </cell>
          <cell r="J1362" t="str">
            <v>What are the ideal properties for functional food peptides with antihypertensive effect? A computational peptidology approach.</v>
          </cell>
          <cell r="K1362" t="str">
            <v>10.1016/j.foodchem.2013.05.140</v>
          </cell>
          <cell r="L1362" t="str">
            <v>23871047</v>
          </cell>
        </row>
        <row r="1363">
          <cell r="F1363" t="str">
            <v>VFK</v>
          </cell>
          <cell r="G1363" t="str">
            <v/>
          </cell>
          <cell r="H1363" t="str">
            <v/>
          </cell>
          <cell r="I1363" t="str">
            <v/>
          </cell>
          <cell r="J1363" t="str">
            <v>Angiotensin I-converting enzyme inhibitory properties of whey protein digests: concentration and characterization of active peptides.; Structural requirements of Angiotensin I-converting enzyme inhibitory peptides: quantitative structure-activity relationship study of di- and tripeptides.</v>
          </cell>
          <cell r="K1363" t="str">
            <v>10.1017/s0022029999003982; 10.1021/jf051263l</v>
          </cell>
          <cell r="L1363" t="str">
            <v>10717843 16448176</v>
          </cell>
        </row>
        <row r="1364">
          <cell r="F1364" t="str">
            <v>VFPS</v>
          </cell>
          <cell r="G1364" t="str">
            <v/>
          </cell>
          <cell r="H1364" t="str">
            <v/>
          </cell>
          <cell r="I1364" t="str">
            <v/>
          </cell>
          <cell r="J1364" t="str">
            <v>Inhibition strength of short peptides derived from an ACE inhibitory peptide.</v>
          </cell>
          <cell r="K1364" t="str">
            <v>10.1021/jf202902r</v>
          </cell>
          <cell r="L1364" t="str">
            <v>21923188</v>
          </cell>
        </row>
        <row r="1365">
          <cell r="F1365" t="str">
            <v>VG</v>
          </cell>
          <cell r="G1365" t="str">
            <v/>
          </cell>
          <cell r="H1365" t="str">
            <v/>
          </cell>
          <cell r="I1365" t="str">
            <v/>
          </cell>
          <cell r="J1365" t="str">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Antihypertensive effect of peptide-enriched soy sauce-like seasoning and identification of its angiotensin I-converting enzyme inhibitory substances.; QSAR study on angiotensin-converting enzyme inhibitor oligopeptides based on a novel set of sequence information descriptors.;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ell>
          <cell r="K1365" t="str">
            <v>10.1021/jf051263l; 10.1002/psc.892; 10.1021/jf903261h; 10.1007/s00894-010-0862-x; 10.1016/j.talanta.2012.12.041; 10.1016/j.jprot.2013.06.023; 10.1016/j.foodchem.2013.05.140; 10.1080/10408398.2012.664829</v>
          </cell>
          <cell r="L1365" t="str">
            <v>6243277 16448176 17654623 19994857 20941517 23598136 23806758 23871047 24915368</v>
          </cell>
        </row>
        <row r="1366">
          <cell r="F1366" t="str">
            <v>VGINYWLAHK</v>
          </cell>
          <cell r="G1366" t="str">
            <v/>
          </cell>
          <cell r="H1366" t="str">
            <v/>
          </cell>
          <cell r="I1366" t="str">
            <v/>
          </cell>
          <cell r="J1366" t="str">
            <v>Angiotensin I-converting enzyme inhibitory properties of whey protein digests: concentration and characterization of active peptides.</v>
          </cell>
          <cell r="K1366" t="str">
            <v>10.1017/s0022029999003982</v>
          </cell>
          <cell r="L1366" t="str">
            <v>10717843</v>
          </cell>
        </row>
        <row r="1367">
          <cell r="F1367" t="str">
            <v>VGINYWLAHKHK</v>
          </cell>
          <cell r="G1367" t="str">
            <v/>
          </cell>
          <cell r="H1367" t="str">
            <v/>
          </cell>
          <cell r="I1367" t="str">
            <v/>
          </cell>
          <cell r="J1367" t="str">
            <v/>
          </cell>
          <cell r="K1367" t="str">
            <v/>
          </cell>
          <cell r="L1367" t="str">
            <v/>
          </cell>
        </row>
        <row r="1368">
          <cell r="F1368" t="str">
            <v>VGLPIF</v>
          </cell>
          <cell r="G1368" t="str">
            <v/>
          </cell>
          <cell r="H1368" t="str">
            <v/>
          </cell>
          <cell r="I1368" t="str">
            <v/>
          </cell>
          <cell r="J1368" t="str">
            <v>A new QSAR model, for angiotensin I-converting enzyme inhibitory oligopeptides.</v>
          </cell>
          <cell r="K1368" t="str">
            <v>10.1016/j.foodchem.2012.09.092</v>
          </cell>
          <cell r="L1368" t="str">
            <v>23194537</v>
          </cell>
        </row>
        <row r="1369">
          <cell r="F1369" t="str">
            <v>VGP</v>
          </cell>
          <cell r="G1369" t="str">
            <v/>
          </cell>
          <cell r="H1369" t="str">
            <v/>
          </cell>
          <cell r="I1369" t="str">
            <v/>
          </cell>
          <cell r="J1369" t="str">
            <v>Structural requirements of Angiotensin I-converting enzyme inhibitory peptides: quantitative structure-activity relationship study of di- and tripeptides.</v>
          </cell>
          <cell r="K1369" t="str">
            <v>10.1021/jf051263l</v>
          </cell>
          <cell r="L1369" t="str">
            <v>16448176</v>
          </cell>
        </row>
        <row r="1370">
          <cell r="F1370" t="str">
            <v>VGPR</v>
          </cell>
          <cell r="G1370" t="str">
            <v/>
          </cell>
          <cell r="H1370" t="str">
            <v/>
          </cell>
          <cell r="I1370" t="str">
            <v/>
          </cell>
          <cell r="J1370" t="str">
            <v>Isolation and characterization of peptides with antihypertensive activity in foodstuffs.</v>
          </cell>
          <cell r="K1370" t="str">
            <v>10.1080/10408398.2012.664829</v>
          </cell>
          <cell r="L1370" t="str">
            <v>24915368</v>
          </cell>
        </row>
        <row r="1371">
          <cell r="F1371" t="str">
            <v>VHIPP</v>
          </cell>
          <cell r="G1371" t="str">
            <v/>
          </cell>
          <cell r="H1371" t="str">
            <v/>
          </cell>
          <cell r="I1371" t="str">
            <v/>
          </cell>
          <cell r="J1371" t="str">
            <v/>
          </cell>
          <cell r="K1371" t="str">
            <v/>
          </cell>
          <cell r="L1371" t="str">
            <v/>
          </cell>
        </row>
        <row r="1372">
          <cell r="F1372" t="str">
            <v>VHLAP</v>
          </cell>
          <cell r="G1372" t="str">
            <v/>
          </cell>
          <cell r="H1372" t="str">
            <v/>
          </cell>
          <cell r="I1372" t="str">
            <v/>
          </cell>
          <cell r="J1372" t="str">
            <v>A new QSAR model, for angiotensin I-converting enzyme inhibitory oligopeptides.</v>
          </cell>
          <cell r="K1372" t="str">
            <v>10.1016/j.foodchem.2012.09.092</v>
          </cell>
          <cell r="L1372" t="str">
            <v>23194537</v>
          </cell>
        </row>
        <row r="1373">
          <cell r="F1373" t="str">
            <v>VHLPP</v>
          </cell>
          <cell r="G1373" t="str">
            <v/>
          </cell>
          <cell r="H1373" t="str">
            <v/>
          </cell>
          <cell r="I1373" t="str">
            <v/>
          </cell>
          <cell r="J1373" t="str">
            <v>A new QSAR model, for angiotensin I-converting enzyme inhibitory oligopeptides.</v>
          </cell>
          <cell r="K1373" t="str">
            <v>10.1016/j.foodchem.2012.09.092</v>
          </cell>
          <cell r="L1373" t="str">
            <v>23194537</v>
          </cell>
        </row>
        <row r="1374">
          <cell r="F1374" t="str">
            <v>VHLPPP</v>
          </cell>
          <cell r="G1374" t="str">
            <v/>
          </cell>
          <cell r="H1374" t="str">
            <v/>
          </cell>
          <cell r="I1374" t="str">
            <v/>
          </cell>
          <cell r="J1374" t="str">
            <v>A new QSAR model, for angiotensin I-converting enzyme inhibitory oligopeptides.</v>
          </cell>
          <cell r="K1374" t="str">
            <v>10.1016/j.foodchem.2012.09.092</v>
          </cell>
          <cell r="L1374" t="str">
            <v>23194537</v>
          </cell>
        </row>
        <row r="1375">
          <cell r="F1375" t="str">
            <v>VHRKC</v>
          </cell>
          <cell r="G1375" t="str">
            <v/>
          </cell>
          <cell r="H1375" t="str">
            <v/>
          </cell>
          <cell r="I1375" t="str">
            <v/>
          </cell>
          <cell r="J1375" t="str">
            <v/>
          </cell>
          <cell r="K1375" t="str">
            <v/>
          </cell>
          <cell r="L1375" t="str">
            <v/>
          </cell>
        </row>
        <row r="1376">
          <cell r="F1376" t="str">
            <v>VHSSIQSQPQAFT</v>
          </cell>
          <cell r="G1376" t="str">
            <v/>
          </cell>
          <cell r="H1376" t="str">
            <v/>
          </cell>
          <cell r="I1376" t="str">
            <v/>
          </cell>
          <cell r="J1376" t="str">
            <v/>
          </cell>
          <cell r="K1376" t="str">
            <v/>
          </cell>
          <cell r="L1376" t="str">
            <v/>
          </cell>
        </row>
        <row r="1377">
          <cell r="F1377" t="str">
            <v>VHY</v>
          </cell>
          <cell r="G1377" t="str">
            <v/>
          </cell>
          <cell r="H1377" t="str">
            <v/>
          </cell>
          <cell r="I1377" t="str">
            <v/>
          </cell>
          <cell r="J1377" t="str">
            <v/>
          </cell>
          <cell r="K1377" t="str">
            <v/>
          </cell>
          <cell r="L1377" t="str">
            <v/>
          </cell>
        </row>
        <row r="1378">
          <cell r="F1378" t="str">
            <v>VHYEA</v>
          </cell>
          <cell r="G1378" t="str">
            <v/>
          </cell>
          <cell r="H1378" t="str">
            <v/>
          </cell>
          <cell r="I1378" t="str">
            <v/>
          </cell>
          <cell r="J1378" t="str">
            <v/>
          </cell>
          <cell r="K1378" t="str">
            <v/>
          </cell>
          <cell r="L1378" t="str">
            <v/>
          </cell>
        </row>
        <row r="1379">
          <cell r="F1379" t="str">
            <v>VI</v>
          </cell>
          <cell r="G1379" t="str">
            <v/>
          </cell>
          <cell r="H1379" t="str">
            <v/>
          </cell>
          <cell r="I1379" t="str">
            <v/>
          </cell>
          <cell r="J1379" t="str">
            <v>Quantitative structure-activity relationship study of bitter di- and tri-peptides including relationship with angiotensin I-converting enzyme inhibitory activity.</v>
          </cell>
          <cell r="K1379" t="str">
            <v>10.1002/psc.800</v>
          </cell>
          <cell r="L1379" t="str">
            <v>17117396</v>
          </cell>
        </row>
        <row r="1380">
          <cell r="F1380" t="str">
            <v>VIEKYP</v>
          </cell>
          <cell r="G1380" t="str">
            <v>mushroom</v>
          </cell>
          <cell r="H1380" t="str">
            <v/>
          </cell>
          <cell r="I1380" t="str">
            <v/>
          </cell>
          <cell r="J1380" t="str">
            <v>Angiotensin converting enzyme inhibitory peptides derived from food proteins: biochemistry, bioactivity and production.; Langmuir monolayers of a hydrogenated/fluorinated catanionic surfactant: from the macroscopic to the nanoscopic size scale.; A new QSAR model, for angiotensin I-converting enzyme inhibitory oligopeptides.</v>
          </cell>
          <cell r="K1380" t="str">
            <v>10.2174/138161207780363068; 10.1021/la900593c; 10.1016/j.foodchem.2012.09.092</v>
          </cell>
          <cell r="L1380" t="str">
            <v>17430180 19449890 23194537</v>
          </cell>
        </row>
        <row r="1381">
          <cell r="F1381" t="str">
            <v>VIF</v>
          </cell>
          <cell r="G1381" t="str">
            <v/>
          </cell>
          <cell r="H1381" t="str">
            <v/>
          </cell>
          <cell r="I1381" t="str">
            <v/>
          </cell>
          <cell r="J1381"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Review on the angiotensin-I-converting enzyme (ACE) inhibitor peptides from marine proteins.; What are the ideal properties for functional food peptides with antihypertensive effect? A computational peptidology approach.</v>
          </cell>
          <cell r="K1381" t="str">
            <v>10.1002/psc.800; 10.1007/s00894-010-0862-x; 10.1007/s12010-012-0024-y; 10.1016/j.foodchem.2013.05.140</v>
          </cell>
          <cell r="L1381" t="str">
            <v>17117396 20941517 23271625 23871047</v>
          </cell>
        </row>
        <row r="1382">
          <cell r="F1382" t="str">
            <v>VIGSPPEIN</v>
          </cell>
          <cell r="G1382" t="str">
            <v/>
          </cell>
          <cell r="H1382" t="str">
            <v/>
          </cell>
          <cell r="I1382" t="str">
            <v/>
          </cell>
          <cell r="J1382" t="str">
            <v/>
          </cell>
          <cell r="K1382" t="str">
            <v/>
          </cell>
          <cell r="L1382" t="str">
            <v/>
          </cell>
        </row>
        <row r="1383">
          <cell r="F1383" t="str">
            <v>VIGSPPQIN</v>
          </cell>
          <cell r="G1383" t="str">
            <v/>
          </cell>
          <cell r="H1383" t="str">
            <v/>
          </cell>
          <cell r="I1383" t="str">
            <v/>
          </cell>
          <cell r="J1383" t="str">
            <v>QSAR study on angiotensin-converting enzyme inhibitor oligopeptides based on a novel set of sequence information descriptors.; A new QSAR model, for angiotensin I-converting enzyme inhibitory oligopeptides.</v>
          </cell>
          <cell r="K1383" t="str">
            <v>10.1007/s00894-010-0862-x; 10.1016/j.foodchem.2012.09.092</v>
          </cell>
          <cell r="L1383" t="str">
            <v>20941517 23194537</v>
          </cell>
        </row>
        <row r="1384">
          <cell r="F1384" t="str">
            <v>VIIF</v>
          </cell>
          <cell r="G1384" t="str">
            <v/>
          </cell>
          <cell r="H1384" t="str">
            <v/>
          </cell>
          <cell r="I1384" t="str">
            <v/>
          </cell>
          <cell r="J1384" t="str">
            <v>Review on the angiotensin-I-converting enzyme (ACE) inhibitor peptides from marine proteins.; What are the ideal properties for functional food peptides with antihypertensive effect? A computational peptidology approach.</v>
          </cell>
          <cell r="K1384" t="str">
            <v>10.1007/s12010-012-0024-y; 10.1016/j.foodchem.2013.05.140</v>
          </cell>
          <cell r="L1384" t="str">
            <v>23271625 23871047</v>
          </cell>
        </row>
        <row r="1385">
          <cell r="F1385" t="str">
            <v>VIKP</v>
          </cell>
          <cell r="G1385" t="str">
            <v/>
          </cell>
          <cell r="H1385" t="str">
            <v/>
          </cell>
          <cell r="I1385" t="str">
            <v/>
          </cell>
          <cell r="J1385" t="str">
            <v>What are the ideal properties for functional food peptides with antihypertensive effect? A computational peptidology approach.</v>
          </cell>
          <cell r="K1385" t="str">
            <v>10.1016/j.foodchem.2013.05.140</v>
          </cell>
          <cell r="L1385" t="str">
            <v>23871047</v>
          </cell>
        </row>
        <row r="1386">
          <cell r="F1386" t="str">
            <v>VIP</v>
          </cell>
          <cell r="G1386" t="str">
            <v/>
          </cell>
          <cell r="H1386" t="str">
            <v/>
          </cell>
          <cell r="I1386" t="str">
            <v/>
          </cell>
          <cell r="J1386" t="str">
            <v/>
          </cell>
          <cell r="K1386" t="str">
            <v/>
          </cell>
          <cell r="L1386" t="str">
            <v/>
          </cell>
        </row>
        <row r="1387">
          <cell r="F1387" t="str">
            <v>VIPAAY</v>
          </cell>
          <cell r="G1387" t="str">
            <v/>
          </cell>
          <cell r="H1387" t="str">
            <v/>
          </cell>
          <cell r="I1387" t="str">
            <v/>
          </cell>
          <cell r="J1387" t="str">
            <v/>
          </cell>
          <cell r="K1387" t="str">
            <v/>
          </cell>
          <cell r="L1387" t="str">
            <v/>
          </cell>
        </row>
        <row r="1388">
          <cell r="F1388" t="str">
            <v>VIPEL</v>
          </cell>
          <cell r="G1388" t="str">
            <v/>
          </cell>
          <cell r="H1388" t="str">
            <v/>
          </cell>
          <cell r="I1388" t="str">
            <v/>
          </cell>
          <cell r="J1388" t="str">
            <v>Angiotensin I-converting enzyme inhibitory peptides generated from in vitro gastrointestinal digestion of pork meat.; A new QSAR model, for angiotensin I-converting enzyme inhibitory oligopeptides.; Isolation and characterization of peptides with antihypertensive activity in foodstuffs.</v>
          </cell>
          <cell r="K1388" t="str">
            <v>10.1021/jf904204n; 10.1016/j.foodchem.2012.09.092; 10.1080/10408398.2012.664829</v>
          </cell>
          <cell r="L1388" t="str">
            <v>20151679 23194537 24915368</v>
          </cell>
        </row>
        <row r="1389">
          <cell r="F1389" t="str">
            <v>VIY</v>
          </cell>
          <cell r="G1389" t="str">
            <v/>
          </cell>
          <cell r="H1389" t="str">
            <v/>
          </cell>
          <cell r="I1389" t="str">
            <v/>
          </cell>
          <cell r="J1389" t="str">
            <v>Structural requirements of Angiotensin I-converting enzyme inhibitory peptides: quantitative structure-activity relationship study of di- and tripeptides.; Antihypertensive effect of angiotensin I-converting enzyme inhibitory peptides from a sesame protein hydrolysate in spontaneously hypertensive rats.; Antihypertensive peptides from food proteins: a review.;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1389" t="str">
            <v>10.1021/jf051263l; 10.1271/bbb.70.1118; 10.1039/c2fo10192k; 10.1016/j.talanta.2012.12.041; 10.1016/j.foodchem.2013.05.140; 10.1080/10408398.2012.664829</v>
          </cell>
          <cell r="L1389" t="str">
            <v>16448176 16717411 22249830 23598136 23871047 24915368</v>
          </cell>
        </row>
        <row r="1390">
          <cell r="F1390" t="str">
            <v>VK</v>
          </cell>
          <cell r="G1390" t="str">
            <v>pea vicilin</v>
          </cell>
          <cell r="H1390" t="str">
            <v/>
          </cell>
          <cell r="I1390" t="str">
            <v/>
          </cell>
          <cell r="J1390" t="str">
            <v>Structural requirements of Angiotensin I-converting enzyme inhibitory peptides: quantitative structure-activity relationship study of di- and tripeptides.; Model of the exofacial substrate-binding site and helical folding of the human Glut1 glucose transporter based on scanning mutagenesis.; Peptides with angiotensin I converting enzyme (ACE) inhibitory activity generated from porcine skeletal muscle proteins by the action of meat-borne Lactobacillus.; Isolation and characterization of peptides with antihypertensive activity in foodstuffs.</v>
          </cell>
          <cell r="K1390" t="str">
            <v>10.1021/jf051263l; 10.1021/bi900521n; 10.1016/j.jprot.2013.06.023; 10.1080/10408398.2012.664829</v>
          </cell>
          <cell r="L1390" t="str">
            <v>16448176 19449892 23806758 24915368</v>
          </cell>
        </row>
        <row r="1391">
          <cell r="F1391" t="str">
            <v>VKAGE</v>
          </cell>
          <cell r="G1391" t="str">
            <v/>
          </cell>
          <cell r="H1391" t="str">
            <v/>
          </cell>
          <cell r="I1391" t="str">
            <v/>
          </cell>
          <cell r="J1391" t="str">
            <v/>
          </cell>
          <cell r="K1391" t="str">
            <v/>
          </cell>
          <cell r="L1391" t="str">
            <v/>
          </cell>
        </row>
        <row r="1392">
          <cell r="F1392" t="str">
            <v>VKAGF</v>
          </cell>
          <cell r="G1392" t="str">
            <v>sardine</v>
          </cell>
          <cell r="H1392" t="str">
            <v/>
          </cell>
          <cell r="I1392" t="str">
            <v/>
          </cell>
          <cell r="J1392" t="str">
            <v>Isolation and characterization of peptides with antihypertensive activity in foodstuffs.</v>
          </cell>
          <cell r="K1392" t="str">
            <v>10.1080/10408398.2012.664829</v>
          </cell>
          <cell r="L1392" t="str">
            <v>24915368</v>
          </cell>
        </row>
        <row r="1393">
          <cell r="F1393" t="str">
            <v>VKD</v>
          </cell>
          <cell r="G1393" t="str">
            <v/>
          </cell>
          <cell r="H1393" t="str">
            <v/>
          </cell>
          <cell r="I1393" t="str">
            <v/>
          </cell>
          <cell r="J1393" t="str">
            <v/>
          </cell>
          <cell r="K1393" t="str">
            <v/>
          </cell>
          <cell r="L1393" t="str">
            <v/>
          </cell>
        </row>
        <row r="1394">
          <cell r="F1394" t="str">
            <v>VKELQ</v>
          </cell>
          <cell r="G1394" t="str">
            <v/>
          </cell>
          <cell r="H1394" t="str">
            <v/>
          </cell>
          <cell r="I1394" t="str">
            <v/>
          </cell>
          <cell r="J1394" t="str">
            <v/>
          </cell>
          <cell r="K1394" t="str">
            <v/>
          </cell>
          <cell r="L1394" t="str">
            <v/>
          </cell>
        </row>
        <row r="1395">
          <cell r="F1395" t="str">
            <v>VKELY</v>
          </cell>
          <cell r="G1395" t="str">
            <v/>
          </cell>
          <cell r="H1395" t="str">
            <v/>
          </cell>
          <cell r="I1395" t="str">
            <v/>
          </cell>
          <cell r="J1395" t="str">
            <v/>
          </cell>
          <cell r="K1395" t="str">
            <v/>
          </cell>
          <cell r="L1395" t="str">
            <v/>
          </cell>
        </row>
        <row r="1396">
          <cell r="F1396" t="str">
            <v>VKETT</v>
          </cell>
          <cell r="G1396" t="str">
            <v/>
          </cell>
          <cell r="H1396" t="str">
            <v/>
          </cell>
          <cell r="I1396" t="str">
            <v/>
          </cell>
          <cell r="J1396" t="str">
            <v/>
          </cell>
          <cell r="K1396" t="str">
            <v/>
          </cell>
          <cell r="L1396" t="str">
            <v/>
          </cell>
        </row>
        <row r="1397">
          <cell r="F1397" t="str">
            <v>VKF</v>
          </cell>
          <cell r="G1397" t="str">
            <v/>
          </cell>
          <cell r="H1397" t="str">
            <v/>
          </cell>
          <cell r="I1397" t="str">
            <v/>
          </cell>
          <cell r="J1397" t="str">
            <v/>
          </cell>
          <cell r="K1397" t="str">
            <v/>
          </cell>
          <cell r="L1397" t="str">
            <v/>
          </cell>
        </row>
        <row r="1398">
          <cell r="F1398" t="str">
            <v>VKH</v>
          </cell>
          <cell r="G1398" t="str">
            <v/>
          </cell>
          <cell r="H1398" t="str">
            <v/>
          </cell>
          <cell r="I1398" t="str">
            <v/>
          </cell>
          <cell r="J1398" t="str">
            <v/>
          </cell>
          <cell r="K1398" t="str">
            <v/>
          </cell>
          <cell r="L1398" t="str">
            <v/>
          </cell>
        </row>
        <row r="1399">
          <cell r="F1399" t="str">
            <v>VKHTT</v>
          </cell>
          <cell r="G1399" t="str">
            <v/>
          </cell>
          <cell r="H1399" t="str">
            <v/>
          </cell>
          <cell r="I1399" t="str">
            <v/>
          </cell>
          <cell r="J1399" t="str">
            <v/>
          </cell>
          <cell r="K1399" t="str">
            <v/>
          </cell>
          <cell r="L1399" t="str">
            <v/>
          </cell>
        </row>
        <row r="1400">
          <cell r="F1400" t="str">
            <v>VKHWPW</v>
          </cell>
          <cell r="G1400" t="str">
            <v/>
          </cell>
          <cell r="H1400" t="str">
            <v/>
          </cell>
          <cell r="I1400" t="str">
            <v/>
          </cell>
          <cell r="J1400" t="str">
            <v/>
          </cell>
          <cell r="K1400" t="str">
            <v/>
          </cell>
          <cell r="L1400" t="str">
            <v/>
          </cell>
        </row>
        <row r="1401">
          <cell r="F1401" t="str">
            <v>VKK</v>
          </cell>
          <cell r="G1401" t="str">
            <v/>
          </cell>
          <cell r="H1401" t="str">
            <v/>
          </cell>
          <cell r="I1401" t="str">
            <v/>
          </cell>
          <cell r="J1401" t="str">
            <v>What are the ideal properties for functional food peptides with antihypertensive effect? A computational peptidology approach.</v>
          </cell>
          <cell r="K1401" t="str">
            <v>10.1016/j.foodchem.2013.05.140</v>
          </cell>
          <cell r="L1401" t="str">
            <v>23871047</v>
          </cell>
        </row>
        <row r="1402">
          <cell r="F1402" t="str">
            <v>VKKTC</v>
          </cell>
          <cell r="G1402" t="str">
            <v/>
          </cell>
          <cell r="H1402" t="str">
            <v/>
          </cell>
          <cell r="I1402" t="str">
            <v/>
          </cell>
          <cell r="J1402" t="str">
            <v/>
          </cell>
          <cell r="K1402" t="str">
            <v/>
          </cell>
          <cell r="L1402" t="str">
            <v/>
          </cell>
        </row>
        <row r="1403">
          <cell r="F1403" t="str">
            <v>VKKVLGNP</v>
          </cell>
          <cell r="G1403" t="str">
            <v/>
          </cell>
          <cell r="H1403" t="str">
            <v/>
          </cell>
          <cell r="I1403" t="str">
            <v/>
          </cell>
          <cell r="J1403" t="str">
            <v>Angiotensin-I converting enzyme inhibitory peptide derived from porcine skeletal muscle myosin and its antihypertensive activity in spontaneously hypertensive rats.; Antihypertensive peptides from food proteins: a review.; A new QSAR model, for angiotensin I-converting enzyme inhibitory oligopeptides.; Isolation and characterization of peptides with antihypertensive activity in foodstuffs.</v>
          </cell>
          <cell r="K1403" t="str">
            <v>10.1111/j.1750-3841.2007.00571.x; 10.1039/c2fo10192k; 10.1016/j.foodchem.2012.09.092; 10.1080/10408398.2012.664829</v>
          </cell>
          <cell r="L1403" t="str">
            <v>18034756 22249830 23194537 24915368</v>
          </cell>
        </row>
        <row r="1404">
          <cell r="F1404" t="str">
            <v>VKNDT</v>
          </cell>
          <cell r="G1404" t="str">
            <v/>
          </cell>
          <cell r="H1404" t="str">
            <v/>
          </cell>
          <cell r="I1404" t="str">
            <v/>
          </cell>
          <cell r="J1404" t="str">
            <v/>
          </cell>
          <cell r="K1404" t="str">
            <v/>
          </cell>
          <cell r="L1404" t="str">
            <v/>
          </cell>
        </row>
        <row r="1405">
          <cell r="F1405" t="str">
            <v>VKNEE</v>
          </cell>
          <cell r="G1405" t="str">
            <v/>
          </cell>
          <cell r="H1405" t="str">
            <v/>
          </cell>
          <cell r="I1405" t="str">
            <v/>
          </cell>
          <cell r="J1405" t="str">
            <v/>
          </cell>
          <cell r="K1405" t="str">
            <v/>
          </cell>
          <cell r="L1405" t="str">
            <v/>
          </cell>
        </row>
        <row r="1406">
          <cell r="F1406" t="str">
            <v>VKP</v>
          </cell>
          <cell r="G1406" t="str">
            <v/>
          </cell>
          <cell r="H1406" t="str">
            <v/>
          </cell>
          <cell r="I1406" t="str">
            <v/>
          </cell>
          <cell r="J1406" t="str">
            <v>Vegetable foods: a cheap source of proteins and peptides with antihypertensive, antioxidant, and other less occurrence bioactivities.; What are the ideal properties for functional food peptides with antihypertensive effect? A computational peptidology approach.</v>
          </cell>
          <cell r="K1406" t="str">
            <v>10.1016/j.talanta.2012.12.041; 10.1016/j.foodchem.2013.05.140</v>
          </cell>
          <cell r="L1406" t="str">
            <v>23598136 23871047</v>
          </cell>
        </row>
        <row r="1407">
          <cell r="F1407" t="str">
            <v>VL</v>
          </cell>
          <cell r="G1407" t="str">
            <v/>
          </cell>
          <cell r="H1407" t="str">
            <v/>
          </cell>
          <cell r="I1407" t="str">
            <v/>
          </cell>
          <cell r="J1407" t="str">
            <v>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Vegetable foods: a cheap source of proteins and peptides with antihypertensive, antioxidant, and other less occurrence bioactivities.</v>
          </cell>
          <cell r="K1407" t="str">
            <v>10.1002/psc.800; 10.1002/psc.892; 10.1016/j.talanta.2012.12.041</v>
          </cell>
          <cell r="L1407" t="str">
            <v>17117396 17654623 23598136</v>
          </cell>
        </row>
        <row r="1408">
          <cell r="F1408" t="str">
            <v>VLAQYK</v>
          </cell>
          <cell r="G1408" t="str">
            <v/>
          </cell>
          <cell r="H1408" t="str">
            <v/>
          </cell>
          <cell r="I1408" t="str">
            <v/>
          </cell>
          <cell r="J1408" t="str">
            <v>Strategies for designing novel functional meat products.; Purification and identification of angiotensin converting enzyme inhibitory peptides from beef hydrolysates.; Isolation and characterization of peptides with antihypertensive activity in foodstuffs.</v>
          </cell>
          <cell r="K1408" t="str">
            <v>10.1016/j.meatsci.2006.04.028; 10.1016/j.meatsci.2004.10.014; 10.1080/10408398.2012.664829</v>
          </cell>
          <cell r="L1408" t="str">
            <v>22062731 22063143 24915368</v>
          </cell>
        </row>
        <row r="1409">
          <cell r="F1409" t="str">
            <v>VLDTDYK</v>
          </cell>
          <cell r="G1409" t="str">
            <v/>
          </cell>
          <cell r="H1409" t="str">
            <v/>
          </cell>
          <cell r="I1409" t="str">
            <v/>
          </cell>
          <cell r="J1409" t="str">
            <v>Angiotensin I-converting enzyme inhibitory properties of whey protein digests: concentration and characterization of active peptides.; A new QSAR model, for angiotensin I-converting enzyme inhibitory oligopeptides.</v>
          </cell>
          <cell r="K1409" t="str">
            <v>10.1017/s0022029999003982; 10.1016/j.foodchem.2012.09.092</v>
          </cell>
          <cell r="L1409" t="str">
            <v>10717843 23194537</v>
          </cell>
        </row>
        <row r="1410">
          <cell r="F1410" t="str">
            <v>VLGP</v>
          </cell>
          <cell r="G1410" t="str">
            <v/>
          </cell>
          <cell r="H1410" t="str">
            <v/>
          </cell>
          <cell r="I1410" t="str">
            <v/>
          </cell>
          <cell r="J1410" t="str">
            <v>Enterococcus faecalis strains from food, environmental, and clinical origin produce ACE-inhibitory peptides and other bioactive peptides during growth in bovine skim milk.</v>
          </cell>
          <cell r="K1410" t="str">
            <v>10.1016/j.ijfoodmicro.2013.06.019</v>
          </cell>
          <cell r="L1410" t="str">
            <v>23845432</v>
          </cell>
        </row>
        <row r="1411">
          <cell r="F1411" t="str">
            <v>VLGPVRGPFP</v>
          </cell>
          <cell r="G1411" t="str">
            <v/>
          </cell>
          <cell r="H1411" t="str">
            <v/>
          </cell>
          <cell r="I1411" t="str">
            <v/>
          </cell>
          <cell r="J1411" t="str">
            <v>Antihypertensive peptides: production, bioavailability and incorporation into foods.; Antihypertensive peptides from food proteins: a review.; Enterococcus faecalis strains from food, environmental, and clinical origin produce ACE-inhibitory peptides and other bioactive peptides during growth in bovine skim milk.</v>
          </cell>
          <cell r="K1411" t="str">
            <v>10.1016/j.cis.2010.11.001; 10.1039/c2fo10192k; 10.1016/j.ijfoodmicro.2013.06.019</v>
          </cell>
          <cell r="L1411" t="str">
            <v>21185549 22249830 23845432</v>
          </cell>
        </row>
        <row r="1412">
          <cell r="F1412" t="str">
            <v>VLGPVRGPFPIIV</v>
          </cell>
          <cell r="G1412" t="str">
            <v/>
          </cell>
          <cell r="H1412" t="str">
            <v/>
          </cell>
          <cell r="I1412" t="str">
            <v/>
          </cell>
          <cell r="J1412" t="str">
            <v/>
          </cell>
          <cell r="K1412" t="str">
            <v/>
          </cell>
          <cell r="L1412" t="str">
            <v/>
          </cell>
        </row>
        <row r="1413">
          <cell r="F1413" t="str">
            <v>VLIVP</v>
          </cell>
          <cell r="G1413" t="str">
            <v/>
          </cell>
          <cell r="H1413" t="str">
            <v/>
          </cell>
          <cell r="I1413" t="str">
            <v/>
          </cell>
          <cell r="J1413" t="str">
            <v>Angiotensin I-converting enzyme inhibitory peptide derived from glycinin, the 11S globulin of soybean (Glycine max).; A new QSAR model, for angiotensin I-converting enzyme inhibitory oligopeptides.; Vegetable foods: a cheap source of proteins and peptides with antihypertensive, antioxidant, and other less occurrence bioactivities.; Rational design of angiotensin-I-converting enzyme inhibitory peptides by integrating in silico modeling and an in vitro assay.</v>
          </cell>
          <cell r="K1413" t="str">
            <v>10.1021/jf060264q; 10.1016/j.foodchem.2012.09.092; 10.1016/j.talanta.2012.12.041; 10.1002/cmdc.201300132</v>
          </cell>
          <cell r="L1413" t="str">
            <v>16786999 23194537 23598136 23740817</v>
          </cell>
        </row>
        <row r="1414">
          <cell r="F1414" t="str">
            <v>VLNENL</v>
          </cell>
          <cell r="G1414" t="str">
            <v/>
          </cell>
          <cell r="H1414" t="str">
            <v/>
          </cell>
          <cell r="I1414" t="str">
            <v/>
          </cell>
          <cell r="J1414" t="str">
            <v>Enterococcus faecalis strains from food, environmental, and clinical origin produce ACE-inhibitory peptides and other bioactive peptides during growth in bovine skim milk.</v>
          </cell>
          <cell r="K1414" t="str">
            <v>10.1016/j.ijfoodmicro.2013.06.019</v>
          </cell>
          <cell r="L1414" t="str">
            <v>23845432</v>
          </cell>
        </row>
        <row r="1415">
          <cell r="F1415" t="str">
            <v>VLP</v>
          </cell>
          <cell r="G1415" t="str">
            <v/>
          </cell>
          <cell r="H1415" t="str">
            <v/>
          </cell>
          <cell r="I1415" t="str">
            <v/>
          </cell>
          <cell r="J1415" t="str">
            <v>Inhibition of angiotensin-converting enzyme by synthetic peptide fragments of various beta-caseins.; Structural requirements of Angiotensin I-converting enzyme inhibitory peptides: quantitative structure-activity relationship study of di- and tripeptides.; Bioactive peptides in amaranth (Amaranthus hypochondriacus) seed.;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1415" t="str">
            <v>10.1021/jf051263l; 10.1021/jf072911z; 10.1016/j.jprot.2013.06.023; 10.1016/j.foodchem.2013.05.140</v>
          </cell>
          <cell r="L1415" t="str">
            <v>1368548 16448176 18211015 23806758 23871047</v>
          </cell>
        </row>
        <row r="1416">
          <cell r="F1416" t="str">
            <v>VLPEI</v>
          </cell>
          <cell r="G1416" t="str">
            <v/>
          </cell>
          <cell r="H1416" t="str">
            <v/>
          </cell>
          <cell r="I1416" t="str">
            <v/>
          </cell>
          <cell r="J1416" t="str">
            <v>Angiotensin I-converting enzyme inhibitory peptides generated from in vitro gastrointestinal digestion of pork meat.; Isolation and characterization of peptides with antihypertensive activity in foodstuffs.</v>
          </cell>
          <cell r="K1416" t="str">
            <v>10.1021/jf904204n; 10.1080/10408398.2012.664829</v>
          </cell>
          <cell r="L1416" t="str">
            <v>20151679 24915368</v>
          </cell>
        </row>
        <row r="1417">
          <cell r="F1417" t="str">
            <v>VLPIP</v>
          </cell>
          <cell r="G1417" t="str">
            <v/>
          </cell>
          <cell r="H1417" t="str">
            <v/>
          </cell>
          <cell r="I1417" t="str">
            <v/>
          </cell>
          <cell r="J1417" t="str">
            <v>Inhibition of angiotensin-converting enzyme by synthetic peptide fragments of various beta-caseins.; A new QSAR model, for angiotensin I-converting enzyme inhibitory oligopeptides.</v>
          </cell>
          <cell r="K1417" t="str">
            <v>10.1016/j.foodchem.2012.09.092</v>
          </cell>
          <cell r="L1417" t="str">
            <v>1368548 23194537</v>
          </cell>
        </row>
        <row r="1418">
          <cell r="F1418" t="str">
            <v>VLPIPQ</v>
          </cell>
          <cell r="G1418" t="str">
            <v/>
          </cell>
          <cell r="H1418" t="str">
            <v/>
          </cell>
          <cell r="I1418" t="str">
            <v/>
          </cell>
          <cell r="J1418" t="str">
            <v>Inhibition of angiotensin-converting enzyme by synthetic peptide fragments of various beta-caseins.; A new QSAR model, for angiotensin I-converting enzyme inhibitory oligopeptides.</v>
          </cell>
          <cell r="K1418" t="str">
            <v>10.1016/j.foodchem.2012.09.092</v>
          </cell>
          <cell r="L1418" t="str">
            <v>1368548 23194537</v>
          </cell>
        </row>
        <row r="1419">
          <cell r="F1419" t="str">
            <v>VLPVPQ</v>
          </cell>
          <cell r="G1419" t="str">
            <v/>
          </cell>
          <cell r="H1419" t="str">
            <v/>
          </cell>
          <cell r="I1419" t="str">
            <v/>
          </cell>
          <cell r="J1419" t="str">
            <v/>
          </cell>
          <cell r="K1419" t="str">
            <v/>
          </cell>
          <cell r="L1419" t="str">
            <v/>
          </cell>
        </row>
        <row r="1420">
          <cell r="F1420" t="str">
            <v>VLPVPQK</v>
          </cell>
          <cell r="G1420" t="str">
            <v/>
          </cell>
          <cell r="H1420" t="str">
            <v/>
          </cell>
          <cell r="I1420" t="str">
            <v/>
          </cell>
          <cell r="J1420" t="str">
            <v>Enterococcus faecalis strains from food, environmental, and clinical origin produce ACE-inhibitory peptides and other bioactive peptides during growth in bovine skim milk.</v>
          </cell>
          <cell r="K1420" t="str">
            <v>10.1016/j.ijfoodmicro.2013.06.019</v>
          </cell>
          <cell r="L1420" t="str">
            <v>23845432</v>
          </cell>
        </row>
        <row r="1421">
          <cell r="F1421" t="str">
            <v>VLPYP</v>
          </cell>
          <cell r="G1421" t="str">
            <v/>
          </cell>
          <cell r="H1421" t="str">
            <v/>
          </cell>
          <cell r="I1421" t="str">
            <v/>
          </cell>
          <cell r="J1421" t="str">
            <v>A new QSAR model, for angiotensin I-converting enzyme inhibitory oligopeptides.</v>
          </cell>
          <cell r="K1421" t="str">
            <v>10.1016/j.foodchem.2012.09.092</v>
          </cell>
          <cell r="L1421" t="str">
            <v>23194537</v>
          </cell>
        </row>
        <row r="1422">
          <cell r="F1422" t="str">
            <v>VLPYPV</v>
          </cell>
          <cell r="G1422" t="str">
            <v/>
          </cell>
          <cell r="H1422" t="str">
            <v/>
          </cell>
          <cell r="I1422" t="str">
            <v/>
          </cell>
          <cell r="J1422" t="str">
            <v>A new QSAR model, for angiotensin I-converting enzyme inhibitory oligopeptides.</v>
          </cell>
          <cell r="K1422" t="str">
            <v>10.1016/j.foodchem.2012.09.092</v>
          </cell>
          <cell r="L1422" t="str">
            <v>23194537</v>
          </cell>
        </row>
        <row r="1423">
          <cell r="F1423" t="str">
            <v>VLY</v>
          </cell>
          <cell r="G1423" t="str">
            <v/>
          </cell>
          <cell r="H1423" t="str">
            <v/>
          </cell>
          <cell r="I1423" t="str">
            <v/>
          </cell>
          <cell r="J1423" t="str">
            <v>Structural requirements of Angiotensin I-converting enzyme inhibitory peptides: quantitative structure-activity relationship study of di- and tripeptides.</v>
          </cell>
          <cell r="K1423" t="str">
            <v>10.1021/jf051263l</v>
          </cell>
          <cell r="L1423" t="str">
            <v>16448176</v>
          </cell>
        </row>
        <row r="1424">
          <cell r="F1424" t="str">
            <v>VLYRDG</v>
          </cell>
          <cell r="G1424" t="str">
            <v/>
          </cell>
          <cell r="H1424" t="str">
            <v/>
          </cell>
          <cell r="I1424" t="str">
            <v/>
          </cell>
          <cell r="J1424" t="str">
            <v/>
          </cell>
          <cell r="K1424" t="str">
            <v/>
          </cell>
          <cell r="L1424" t="str">
            <v/>
          </cell>
        </row>
        <row r="1425">
          <cell r="F1425" t="str">
            <v>VMDKPQG</v>
          </cell>
          <cell r="G1425" t="str">
            <v/>
          </cell>
          <cell r="H1425" t="str">
            <v/>
          </cell>
          <cell r="I1425" t="str">
            <v/>
          </cell>
          <cell r="J1425" t="str">
            <v>A new QSAR model, for angiotensin I-converting enzyme inhibitory oligopeptides.; Vegetable foods: a cheap source of proteins and peptides with antihypertensive, antioxidant, and other less occurrence bioactivities.; Isolation and characterization of peptides with antihypertensive activity in foodstuffs.</v>
          </cell>
          <cell r="K1425" t="str">
            <v>10.1016/j.foodchem.2012.09.092; 10.1016/j.talanta.2012.12.041; 10.1080/10408398.2012.664829</v>
          </cell>
          <cell r="L1425" t="str">
            <v>23194537 23598136 24915368</v>
          </cell>
        </row>
        <row r="1426">
          <cell r="F1426" t="str">
            <v>VMP</v>
          </cell>
          <cell r="G1426" t="str">
            <v/>
          </cell>
          <cell r="H1426" t="str">
            <v/>
          </cell>
          <cell r="I1426" t="str">
            <v/>
          </cell>
          <cell r="J1426" t="str">
            <v>Inhibition of angiotensin-converting enzyme by synthetic peptide fragments of various beta-caseins.; What are the ideal properties for functional food peptides with antihypertensive effect? A computational peptidology approach.</v>
          </cell>
          <cell r="K1426" t="str">
            <v>10.1016/j.foodchem.2013.05.140</v>
          </cell>
          <cell r="L1426" t="str">
            <v>1368548 23871047</v>
          </cell>
        </row>
        <row r="1427">
          <cell r="F1427" t="str">
            <v>VNEL</v>
          </cell>
          <cell r="G1427" t="str">
            <v/>
          </cell>
          <cell r="H1427" t="str">
            <v/>
          </cell>
          <cell r="I1427" t="str">
            <v/>
          </cell>
          <cell r="J1427" t="str">
            <v>Hot topic: Changes in angiotensin-converting enzyme inhibition and concentrations of the tripeptides Val-Pro-Pro and Ile-Pro-Pro during ripening of different Swiss cheese varieties.</v>
          </cell>
          <cell r="K1427" t="str">
            <v>10.3168/jds.2008-1531</v>
          </cell>
          <cell r="L1427" t="str">
            <v>19233775</v>
          </cell>
        </row>
        <row r="1428">
          <cell r="F1428" t="str">
            <v>VNP</v>
          </cell>
          <cell r="G1428" t="str">
            <v/>
          </cell>
          <cell r="H1428" t="str">
            <v/>
          </cell>
          <cell r="I1428" t="str">
            <v/>
          </cell>
          <cell r="J1428" t="str">
            <v/>
          </cell>
          <cell r="K1428" t="str">
            <v/>
          </cell>
          <cell r="L1428" t="str">
            <v/>
          </cell>
        </row>
        <row r="1429">
          <cell r="F1429" t="str">
            <v>VP</v>
          </cell>
          <cell r="G1429" t="str">
            <v/>
          </cell>
          <cell r="H1429" t="str">
            <v/>
          </cell>
          <cell r="I1429" t="str">
            <v/>
          </cell>
          <cell r="J1429" t="str">
            <v>Binding of peptide substrates and inhibitors of angiotensin-converting enzyme. Importance of the COOH-terminal dipeptide sequence.; Angiotensin I-converting enzyme inhibitory activity and insulin secretion stimulative activity of fermented fish sauce.;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Antihypertensive effect of peptide-enriched soy sauce-like seasoning and identification of its angiotensin I-converting enzyme inhibitory substances.; QSAR study on angiotensin-converting enzyme inhibitor oligopeptides based on a novel set of sequence information descriptors.;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ell>
          <cell r="K1429" t="str">
            <v>10.1016/S1389-1723(03)70138-8; 10.1021/jf051263l; 10.1002/psc.892; 10.1021/jf903261h; 10.1007/s00894-010-0862-x; 10.1016/j.talanta.2012.12.041; 10.1016/j.jprot.2013.06.023; 10.1016/j.foodchem.2013.05.140; 10.1080/10408398.2012.664829</v>
          </cell>
          <cell r="L1429" t="str">
            <v>6243277 16233562 16448176 17654623 19994857 20941517 23598136 23806758 23871047 24915368</v>
          </cell>
        </row>
        <row r="1430">
          <cell r="F1430" t="str">
            <v>VPFGVG</v>
          </cell>
          <cell r="G1430" t="str">
            <v/>
          </cell>
          <cell r="H1430" t="str">
            <v/>
          </cell>
          <cell r="I1430" t="str">
            <v/>
          </cell>
          <cell r="J1430" t="str">
            <v>Isolation and characterization of a low molecular weight peptide contained in sourdough.</v>
          </cell>
          <cell r="K1430" t="str">
            <v>10.1021/jf070069r</v>
          </cell>
          <cell r="L1430" t="str">
            <v>17516655</v>
          </cell>
        </row>
        <row r="1431">
          <cell r="F1431" t="str">
            <v>VPK</v>
          </cell>
          <cell r="G1431" t="str">
            <v/>
          </cell>
          <cell r="H1431" t="str">
            <v/>
          </cell>
          <cell r="I1431" t="str">
            <v/>
          </cell>
          <cell r="J1431" t="str">
            <v>Angiotensin I-converting enzyme inhibitory properties of whey protein digests: concentration and characterization of active peptides.</v>
          </cell>
          <cell r="K1431" t="str">
            <v>10.1017/s0022029999003982</v>
          </cell>
          <cell r="L1431" t="str">
            <v>10717843</v>
          </cell>
        </row>
        <row r="1432">
          <cell r="F1432" t="str">
            <v>VPKVK</v>
          </cell>
          <cell r="G1432" t="str">
            <v/>
          </cell>
          <cell r="H1432" t="str">
            <v/>
          </cell>
          <cell r="I1432" t="str">
            <v/>
          </cell>
          <cell r="J1432" t="str">
            <v/>
          </cell>
          <cell r="K1432" t="str">
            <v/>
          </cell>
          <cell r="L1432" t="str">
            <v/>
          </cell>
        </row>
        <row r="1433">
          <cell r="F1433" t="str">
            <v>VPKVKE</v>
          </cell>
          <cell r="G1433" t="str">
            <v/>
          </cell>
          <cell r="H1433" t="str">
            <v/>
          </cell>
          <cell r="I1433" t="str">
            <v/>
          </cell>
          <cell r="J1433" t="str">
            <v/>
          </cell>
          <cell r="K1433" t="str">
            <v/>
          </cell>
          <cell r="L1433" t="str">
            <v/>
          </cell>
        </row>
        <row r="1434">
          <cell r="F1434" t="str">
            <v>VPKVKET</v>
          </cell>
          <cell r="G1434" t="str">
            <v/>
          </cell>
          <cell r="H1434" t="str">
            <v/>
          </cell>
          <cell r="I1434" t="str">
            <v/>
          </cell>
          <cell r="J1434" t="str">
            <v/>
          </cell>
          <cell r="K1434" t="str">
            <v/>
          </cell>
          <cell r="L1434" t="str">
            <v/>
          </cell>
        </row>
        <row r="1435">
          <cell r="F1435" t="str">
            <v>VPLGTQYT</v>
          </cell>
          <cell r="G1435" t="str">
            <v/>
          </cell>
          <cell r="H1435" t="str">
            <v/>
          </cell>
          <cell r="I1435" t="str">
            <v/>
          </cell>
          <cell r="J1435" t="str">
            <v>Hot topic: Changes in angiotensin-converting enzyme inhibition and concentrations of the tripeptides Val-Pro-Pro and Ile-Pro-Pro during ripening of different Swiss cheese varieties.</v>
          </cell>
          <cell r="K1435" t="str">
            <v>10.3168/jds.2008-1531</v>
          </cell>
          <cell r="L1435" t="str">
            <v>19233775</v>
          </cell>
        </row>
        <row r="1436">
          <cell r="F1436" t="str">
            <v>VPP</v>
          </cell>
          <cell r="G1436" t="str">
            <v/>
          </cell>
          <cell r="H1436" t="str">
            <v/>
          </cell>
          <cell r="I1436" t="str">
            <v/>
          </cell>
          <cell r="J1436" t="str">
            <v>Antihypertensive effect of sour milk and peptides isolated from it that are inhibitors to angiotensin I-converting enzyme.; Purification and characterization of angiotensin I-converting enzyme inhibitors from sour milk.; Randomized controlled trial of sour milk on blood pressure in borderline hypertensive men.; Structural requirements of Angiotensin I-converting enzyme inhibitory peptides: quantitative structure-activity relationship study of di- and tripeptides.; Bioactive peptides in amaranth (Amaranthus hypochondriacus) seed.; Evaluation of the allergenicity of goat milk, cow milk, and their lactosera in a guinea pig model.; Antihypertensive peptides: production, bioavailability and incorporation into foods.; LC-MS/MS quantification of bioactive angiotensin I-converting enzyme inhibitory peptides in rye malt sourdoughs.; Antihypertensive peptides from food proteins: a review.; VPPIPP and IPPVPP: two hexapeptides innovated to exert antihypertensive activity.; What are the ideal properties for functional food peptides with antihypertensive effect? A computational peptidology approach.; Comparison of analytical methods to assay inhibitors of angiotensin I-converting enzyme.; Isolation and characterization of peptides with antihypertensive activity in foodstuffs.</v>
          </cell>
          <cell r="K1436" t="str">
            <v>10.3168/jds.S0022-0302(95)76745-5; 10.3168/jds.S0022-0302(95)76689-9; 10.1016/j.amjhyper.2004.03.674; 10.1021/jf051263l; 10.1021/jf072911z; 10.3168/jds.2008-1125; 10.1016/j.cis.2010.11.001; 10.1021/jf2033329; 10.1039/c2fo10192k; 10.1371/journal.pone.0062384; 10.1016/j.foodchem.2013.05.140; 10.1016/j.foodchem.2013.06.048; 10.1080/10408398.2012.664829</v>
          </cell>
          <cell r="L1436" t="str">
            <v>7673515 7790570 15288885 16448176 18211015 19233776 21185549 21985248 22249830 23638059 23871047 23993489 24915368</v>
          </cell>
        </row>
        <row r="1437">
          <cell r="F1437" t="str">
            <v>VPPFLQPEV</v>
          </cell>
          <cell r="G1437" t="str">
            <v/>
          </cell>
          <cell r="H1437" t="str">
            <v/>
          </cell>
          <cell r="I1437" t="str">
            <v/>
          </cell>
          <cell r="J1437" t="str">
            <v>Casein fermentate of Lactobacillus animalis DPC6134 contains a range of novel propeptide angiotensin-converting enzyme inhibitors.</v>
          </cell>
          <cell r="K1437" t="str">
            <v>10.1128/AEM.00096-07</v>
          </cell>
          <cell r="L1437" t="str">
            <v>17483275</v>
          </cell>
        </row>
        <row r="1438">
          <cell r="F1438" t="str">
            <v>VPPIPP</v>
          </cell>
          <cell r="G1438" t="str">
            <v/>
          </cell>
          <cell r="H1438" t="str">
            <v/>
          </cell>
          <cell r="I1438" t="str">
            <v/>
          </cell>
          <cell r="J1438" t="str">
            <v>The potential role of milk-derived peptides in cardiovascular disease.; VPPIPP and IPPVPP: two hexapeptides innovated to exert antihypertensive activity.</v>
          </cell>
          <cell r="K1438" t="str">
            <v>10.1039/c1fo10017c; 10.1371/journal.pone.0062384</v>
          </cell>
          <cell r="L1438" t="str">
            <v>21779574 23638059</v>
          </cell>
        </row>
        <row r="1439">
          <cell r="F1439" t="str">
            <v>VPQ</v>
          </cell>
          <cell r="G1439" t="str">
            <v/>
          </cell>
          <cell r="H1439" t="str">
            <v/>
          </cell>
          <cell r="I1439" t="str">
            <v/>
          </cell>
          <cell r="J1439" t="str">
            <v>Angiotensin I-converting-enzyme-inhibitory and antibacterial peptides from Lactobacillus helveticus PR4 proteinase-hydrolyzed caseins of milk from six species.</v>
          </cell>
          <cell r="K1439" t="str">
            <v>10.1128/AEM.69.9.5297-5305.2003</v>
          </cell>
          <cell r="L1439" t="str">
            <v>12957917</v>
          </cell>
        </row>
        <row r="1440">
          <cell r="F1440" t="str">
            <v>VPQP</v>
          </cell>
          <cell r="G1440" t="str">
            <v/>
          </cell>
          <cell r="H1440" t="str">
            <v/>
          </cell>
          <cell r="I1440" t="str">
            <v/>
          </cell>
          <cell r="J1440" t="str">
            <v>Inhibition of angiotensin-converting enzyme by synthetic peptide fragments of various beta-caseins.</v>
          </cell>
          <cell r="K1440" t="str">
            <v/>
          </cell>
          <cell r="L1440" t="str">
            <v>1368548</v>
          </cell>
        </row>
        <row r="1441">
          <cell r="F1441" t="str">
            <v>VPQPIP</v>
          </cell>
          <cell r="G1441" t="str">
            <v/>
          </cell>
          <cell r="H1441" t="str">
            <v/>
          </cell>
          <cell r="I1441" t="str">
            <v/>
          </cell>
          <cell r="J1441" t="str">
            <v>Inhibition of angiotensin-converting enzyme by synthetic peptide fragments of various beta-caseins.</v>
          </cell>
          <cell r="K1441" t="str">
            <v/>
          </cell>
          <cell r="L1441" t="str">
            <v>1368548</v>
          </cell>
        </row>
        <row r="1442">
          <cell r="F1442" t="str">
            <v>VPSERY</v>
          </cell>
          <cell r="G1442" t="str">
            <v/>
          </cell>
          <cell r="H1442" t="str">
            <v/>
          </cell>
          <cell r="I1442" t="str">
            <v/>
          </cell>
          <cell r="J1442" t="str">
            <v/>
          </cell>
          <cell r="K1442" t="str">
            <v/>
          </cell>
          <cell r="L1442" t="str">
            <v/>
          </cell>
        </row>
        <row r="1443">
          <cell r="F1443" t="str">
            <v>VPSERYL</v>
          </cell>
          <cell r="G1443" t="str">
            <v/>
          </cell>
          <cell r="H1443" t="str">
            <v/>
          </cell>
          <cell r="I1443" t="str">
            <v/>
          </cell>
          <cell r="J1443" t="str">
            <v/>
          </cell>
          <cell r="K1443" t="str">
            <v/>
          </cell>
          <cell r="L1443" t="str">
            <v/>
          </cell>
        </row>
        <row r="1444">
          <cell r="F1444" t="str">
            <v>VPYPQRDMPIQA</v>
          </cell>
          <cell r="G1444" t="str">
            <v/>
          </cell>
          <cell r="H1444" t="str">
            <v/>
          </cell>
          <cell r="I1444" t="str">
            <v/>
          </cell>
          <cell r="J1444" t="str">
            <v>Casein fermentate of Lactobacillus animalis DPC6134 contains a range of novel propeptide angiotensin-converting enzyme inhibitors.</v>
          </cell>
          <cell r="K1444" t="str">
            <v>10.1128/AEM.00096-07</v>
          </cell>
          <cell r="L1444" t="str">
            <v>17483275</v>
          </cell>
        </row>
        <row r="1445">
          <cell r="F1445" t="str">
            <v>VQV</v>
          </cell>
          <cell r="G1445" t="str">
            <v/>
          </cell>
          <cell r="H1445" t="str">
            <v/>
          </cell>
          <cell r="I1445" t="str">
            <v/>
          </cell>
          <cell r="J1445" t="str">
            <v>Structural requirements of Angiotensin I-converting enzyme inhibitory peptides: quantitative structure-activity relationship study of di- and tripeptides.</v>
          </cell>
          <cell r="K1445" t="str">
            <v>10.1021/jf051263l</v>
          </cell>
          <cell r="L1445" t="str">
            <v>16448176</v>
          </cell>
        </row>
        <row r="1446">
          <cell r="F1446" t="str">
            <v>VQVTSTAV</v>
          </cell>
          <cell r="G1446" t="str">
            <v/>
          </cell>
          <cell r="H1446" t="str">
            <v/>
          </cell>
          <cell r="I1446" t="str">
            <v/>
          </cell>
          <cell r="J1446" t="str">
            <v/>
          </cell>
          <cell r="K1446" t="str">
            <v/>
          </cell>
          <cell r="L1446" t="str">
            <v/>
          </cell>
        </row>
        <row r="1447">
          <cell r="F1447" t="str">
            <v>VR</v>
          </cell>
          <cell r="G1447" t="str">
            <v/>
          </cell>
          <cell r="H1447" t="str">
            <v/>
          </cell>
          <cell r="I1447" t="str">
            <v/>
          </cell>
          <cell r="J1447" t="str">
            <v>Identification of novel angiotensin-converting enzyme-inhibitory peptides from ovine milk proteins by CE-MS and chromatographic techniques.; Review on the angiotensin-I-converting enzyme (ACE) inhibitor peptides from marine proteins.; Peptides with angiotensin I converting enzyme (ACE) inhibitory activity generated from porcine skeletal muscle proteins by the action of meat-borne Lactobacillus.; Isolation and characterization of peptides with antihypertensive activity in foodstuffs.</v>
          </cell>
          <cell r="K1447" t="str">
            <v>10.1002/elps.200700324; 10.1007/s12010-012-0024-y; 10.1016/j.jprot.2013.06.023; 10.1080/10408398.2012.664829</v>
          </cell>
          <cell r="L1447" t="str">
            <v>17948260 23271625 23806758 24915368</v>
          </cell>
        </row>
        <row r="1448">
          <cell r="F1448" t="str">
            <v>VRC</v>
          </cell>
          <cell r="G1448" t="str">
            <v/>
          </cell>
          <cell r="H1448" t="str">
            <v/>
          </cell>
          <cell r="I1448" t="str">
            <v/>
          </cell>
          <cell r="J1448" t="str">
            <v/>
          </cell>
          <cell r="K1448" t="str">
            <v/>
          </cell>
          <cell r="L1448" t="str">
            <v/>
          </cell>
        </row>
        <row r="1449">
          <cell r="F1449" t="str">
            <v>VRF</v>
          </cell>
          <cell r="G1449" t="str">
            <v/>
          </cell>
          <cell r="H1449" t="str">
            <v/>
          </cell>
          <cell r="I1449" t="str">
            <v/>
          </cell>
          <cell r="J1449" t="str">
            <v/>
          </cell>
          <cell r="K1449" t="str">
            <v/>
          </cell>
          <cell r="L1449" t="str">
            <v/>
          </cell>
        </row>
        <row r="1450">
          <cell r="F1450" t="str">
            <v>VRGP</v>
          </cell>
          <cell r="G1450" t="str">
            <v/>
          </cell>
          <cell r="H1450" t="str">
            <v/>
          </cell>
          <cell r="I1450" t="str">
            <v/>
          </cell>
          <cell r="J1450" t="str">
            <v/>
          </cell>
          <cell r="K1450" t="str">
            <v/>
          </cell>
          <cell r="L1450" t="str">
            <v/>
          </cell>
        </row>
        <row r="1451">
          <cell r="F1451" t="str">
            <v>VRGPFP</v>
          </cell>
          <cell r="G1451" t="str">
            <v/>
          </cell>
          <cell r="H1451" t="str">
            <v/>
          </cell>
          <cell r="I1451" t="str">
            <v/>
          </cell>
          <cell r="J1451" t="str">
            <v>A new QSAR model, for angiotensin I-converting enzyme inhibitory oligopeptides.; Enterococcus faecalis strains from food, environmental, and clinical origin produce ACE-inhibitory peptides and other bioactive peptides during growth in bovine skim milk.</v>
          </cell>
          <cell r="K1451" t="str">
            <v>10.1016/j.foodchem.2012.09.092; 10.1016/j.ijfoodmicro.2013.06.019</v>
          </cell>
          <cell r="L1451" t="str">
            <v>23194537 23845432</v>
          </cell>
        </row>
        <row r="1452">
          <cell r="F1452" t="str">
            <v>VRGPFPIIV</v>
          </cell>
          <cell r="G1452" t="str">
            <v/>
          </cell>
          <cell r="H1452" t="str">
            <v/>
          </cell>
          <cell r="I1452" t="str">
            <v/>
          </cell>
          <cell r="J1452" t="str">
            <v>Antihypertensive peptides: production, bioavailability and incorporation into foods.; Antihypertensive peptides from food proteins: a review.; A new QSAR model, for angiotensin I-converting enzyme inhibitory oligopeptides.; Enterococcus faecalis strains from food, environmental, and clinical origin produce ACE-inhibitory peptides and other bioactive peptides during growth in bovine skim milk.</v>
          </cell>
          <cell r="K1452" t="str">
            <v>10.1016/j.cis.2010.11.001; 10.1039/c2fo10192k; 10.1016/j.foodchem.2012.09.092; 10.1016/j.ijfoodmicro.2013.06.019</v>
          </cell>
          <cell r="L1452" t="str">
            <v>21185549 22249830 23194537 23845432</v>
          </cell>
        </row>
        <row r="1453">
          <cell r="F1453" t="str">
            <v>VRK</v>
          </cell>
          <cell r="G1453" t="str">
            <v/>
          </cell>
          <cell r="H1453" t="str">
            <v/>
          </cell>
          <cell r="I1453" t="str">
            <v/>
          </cell>
          <cell r="J1453" t="str">
            <v>What are the ideal properties for functional food peptides with antihypertensive effect? A computational peptidology approach.</v>
          </cell>
          <cell r="K1453" t="str">
            <v>10.1016/j.foodchem.2013.05.140</v>
          </cell>
          <cell r="L1453" t="str">
            <v>23871047</v>
          </cell>
        </row>
        <row r="1454">
          <cell r="F1454" t="str">
            <v>VRKGQ</v>
          </cell>
          <cell r="G1454" t="str">
            <v/>
          </cell>
          <cell r="H1454" t="str">
            <v/>
          </cell>
          <cell r="I1454" t="str">
            <v/>
          </cell>
          <cell r="J1454" t="str">
            <v/>
          </cell>
          <cell r="K1454" t="str">
            <v/>
          </cell>
          <cell r="L1454" t="str">
            <v/>
          </cell>
        </row>
        <row r="1455">
          <cell r="F1455" t="str">
            <v>VRL</v>
          </cell>
          <cell r="G1455" t="str">
            <v/>
          </cell>
          <cell r="H1455" t="str">
            <v/>
          </cell>
          <cell r="I1455" t="str">
            <v/>
          </cell>
          <cell r="J1455" t="str">
            <v/>
          </cell>
          <cell r="K1455" t="str">
            <v/>
          </cell>
          <cell r="L1455" t="str">
            <v/>
          </cell>
        </row>
        <row r="1456">
          <cell r="F1456" t="str">
            <v>VRLPT</v>
          </cell>
          <cell r="G1456" t="str">
            <v/>
          </cell>
          <cell r="H1456" t="str">
            <v/>
          </cell>
          <cell r="I1456" t="str">
            <v/>
          </cell>
          <cell r="J1456" t="str">
            <v/>
          </cell>
          <cell r="K1456" t="str">
            <v/>
          </cell>
          <cell r="L1456" t="str">
            <v/>
          </cell>
        </row>
        <row r="1457">
          <cell r="F1457" t="str">
            <v>VRMPQ</v>
          </cell>
          <cell r="G1457" t="str">
            <v/>
          </cell>
          <cell r="H1457" t="str">
            <v/>
          </cell>
          <cell r="I1457" t="str">
            <v/>
          </cell>
          <cell r="J1457" t="str">
            <v/>
          </cell>
          <cell r="K1457" t="str">
            <v/>
          </cell>
          <cell r="L1457" t="str">
            <v/>
          </cell>
        </row>
        <row r="1458">
          <cell r="F1458" t="str">
            <v>VRN</v>
          </cell>
          <cell r="G1458" t="str">
            <v/>
          </cell>
          <cell r="H1458" t="str">
            <v/>
          </cell>
          <cell r="I1458" t="str">
            <v/>
          </cell>
          <cell r="J1458" t="str">
            <v/>
          </cell>
          <cell r="K1458" t="str">
            <v/>
          </cell>
          <cell r="L1458" t="str">
            <v/>
          </cell>
        </row>
        <row r="1459">
          <cell r="F1459" t="str">
            <v>VRP</v>
          </cell>
          <cell r="G1459" t="str">
            <v/>
          </cell>
          <cell r="H1459" t="str">
            <v/>
          </cell>
          <cell r="I1459" t="str">
            <v/>
          </cell>
          <cell r="J1459" t="str">
            <v>Inhibition of angiotensin-converting enzyme by synthetic peptide fragments of human kappa-casein.; Angiotensin I-converting enzyme inhibitory peptides derived from bonito bowels autolysate.; Structural requirements of Angiotensin I-converting enzyme inhibitory peptides: quantitative structure-activity relationship study of di- and tripeptides.; Bioactive peptides in amaranth (Amaranthus hypochondriacus) seed.; What are the ideal properties for functional food peptides with antihypertensive effect? A computational peptidology approach.; Isolation and characterization of peptides with antihypertensive activity in foodstuffs.</v>
          </cell>
          <cell r="K1459" t="str">
            <v>10.1271/bbb.57.695; 10.1021/jf051263l; 10.1021/jf072911z; 10.1016/j.foodchem.2013.05.140; 10.1080/10408398.2012.664829</v>
          </cell>
          <cell r="L1459" t="str">
            <v>1368540 7763772 16448176 18211015 23871047 24915368</v>
          </cell>
        </row>
        <row r="1460">
          <cell r="F1460" t="str">
            <v>VRPEK</v>
          </cell>
          <cell r="G1460" t="str">
            <v/>
          </cell>
          <cell r="H1460" t="str">
            <v/>
          </cell>
          <cell r="I1460" t="str">
            <v/>
          </cell>
          <cell r="J1460" t="str">
            <v/>
          </cell>
          <cell r="K1460" t="str">
            <v/>
          </cell>
          <cell r="L1460" t="str">
            <v/>
          </cell>
        </row>
        <row r="1461">
          <cell r="F1461" t="str">
            <v>VRSP</v>
          </cell>
          <cell r="G1461" t="str">
            <v/>
          </cell>
          <cell r="H1461" t="str">
            <v/>
          </cell>
          <cell r="I1461" t="str">
            <v/>
          </cell>
          <cell r="J1461" t="str">
            <v/>
          </cell>
          <cell r="K1461" t="str">
            <v/>
          </cell>
          <cell r="L1461" t="str">
            <v/>
          </cell>
        </row>
        <row r="1462">
          <cell r="F1462" t="str">
            <v>VRTPE</v>
          </cell>
          <cell r="G1462" t="str">
            <v/>
          </cell>
          <cell r="H1462" t="str">
            <v/>
          </cell>
          <cell r="I1462" t="str">
            <v/>
          </cell>
          <cell r="J1462" t="str">
            <v/>
          </cell>
          <cell r="K1462" t="str">
            <v/>
          </cell>
          <cell r="L1462" t="str">
            <v/>
          </cell>
        </row>
        <row r="1463">
          <cell r="F1463" t="str">
            <v>VRW</v>
          </cell>
          <cell r="G1463" t="str">
            <v/>
          </cell>
          <cell r="H1463" t="str">
            <v/>
          </cell>
          <cell r="I1463" t="str">
            <v/>
          </cell>
          <cell r="J1463" t="str">
            <v/>
          </cell>
          <cell r="K1463" t="str">
            <v/>
          </cell>
          <cell r="L1463" t="str">
            <v/>
          </cell>
        </row>
        <row r="1464">
          <cell r="F1464" t="str">
            <v>VRWCT</v>
          </cell>
          <cell r="G1464" t="str">
            <v/>
          </cell>
          <cell r="H1464" t="str">
            <v/>
          </cell>
          <cell r="I1464" t="str">
            <v/>
          </cell>
          <cell r="J1464" t="str">
            <v/>
          </cell>
          <cell r="K1464" t="str">
            <v/>
          </cell>
          <cell r="L1464" t="str">
            <v/>
          </cell>
        </row>
        <row r="1465">
          <cell r="F1465" t="str">
            <v>VRY</v>
          </cell>
          <cell r="G1465" t="str">
            <v/>
          </cell>
          <cell r="H1465" t="str">
            <v/>
          </cell>
          <cell r="I1465" t="str">
            <v/>
          </cell>
          <cell r="J1465" t="str">
            <v/>
          </cell>
          <cell r="K1465" t="str">
            <v/>
          </cell>
          <cell r="L1465" t="str">
            <v/>
          </cell>
        </row>
        <row r="1466">
          <cell r="F1466" t="str">
            <v>VRYL</v>
          </cell>
          <cell r="G1466" t="str">
            <v/>
          </cell>
          <cell r="H1466" t="str">
            <v/>
          </cell>
          <cell r="I1466" t="str">
            <v/>
          </cell>
          <cell r="J1466" t="str">
            <v>Angiotensin converting enzyme inhibitory peptides derived from food proteins: biochemistry, bioactivity and production.</v>
          </cell>
          <cell r="K1466" t="str">
            <v>10.2174/138161207780363068</v>
          </cell>
          <cell r="L1466" t="str">
            <v>17430180</v>
          </cell>
        </row>
        <row r="1467">
          <cell r="F1467" t="str">
            <v>VSKVKET</v>
          </cell>
          <cell r="G1467" t="str">
            <v/>
          </cell>
          <cell r="H1467" t="str">
            <v/>
          </cell>
          <cell r="I1467" t="str">
            <v/>
          </cell>
          <cell r="J1467" t="str">
            <v>Enterococcus faecalis strains from food, environmental, and clinical origin produce ACE-inhibitory peptides and other bioactive peptides during growth in bovine skim milk.</v>
          </cell>
          <cell r="K1467" t="str">
            <v>10.1016/j.ijfoodmicro.2013.06.019</v>
          </cell>
          <cell r="L1467" t="str">
            <v>23845432</v>
          </cell>
        </row>
        <row r="1468">
          <cell r="F1468" t="str">
            <v>VSLPEW</v>
          </cell>
          <cell r="G1468" t="str">
            <v/>
          </cell>
          <cell r="H1468" t="str">
            <v/>
          </cell>
          <cell r="I1468" t="str">
            <v/>
          </cell>
          <cell r="J1468" t="str">
            <v/>
          </cell>
          <cell r="K1468" t="str">
            <v/>
          </cell>
          <cell r="L1468" t="str">
            <v/>
          </cell>
        </row>
        <row r="1469">
          <cell r="F1469" t="str">
            <v>VSP</v>
          </cell>
          <cell r="G1469" t="str">
            <v/>
          </cell>
          <cell r="H1469" t="str">
            <v/>
          </cell>
          <cell r="I1469" t="str">
            <v/>
          </cell>
          <cell r="J1469" t="str">
            <v>Structures and activity of angiotensin-converting enzyme inhibitors in an alpha-zein hydrolysate.; Structural requirements of Angiotensin I-converting enzyme inhibitory peptides: quantitative structure-activity relationship study of di- and tripeptides.; Bioactive peptides in amaranth (Amaranthus hypochondriacus) seed.; Cellular membrane disruption by amyloid fibrils involved intermolecular disulfide cross-linking.; What are the ideal properties for functional food peptides with antihypertensive effect? A computational peptidology approach.</v>
          </cell>
          <cell r="K1469" t="str">
            <v>10.1021/jf051263l; 10.1021/jf072911z; 10.1021/bi900219c; 10.1016/j.foodchem.2013.05.140</v>
          </cell>
          <cell r="L1469" t="str">
            <v>1368684 16448176 18211015 19449893 23871047</v>
          </cell>
        </row>
        <row r="1470">
          <cell r="F1470" t="str">
            <v>VSV</v>
          </cell>
          <cell r="G1470" t="str">
            <v/>
          </cell>
          <cell r="H1470" t="str">
            <v/>
          </cell>
          <cell r="I1470" t="str">
            <v/>
          </cell>
          <cell r="J1470" t="str">
            <v/>
          </cell>
          <cell r="K1470" t="str">
            <v/>
          </cell>
          <cell r="L1470" t="str">
            <v/>
          </cell>
        </row>
        <row r="1471">
          <cell r="F1471" t="str">
            <v>VSW</v>
          </cell>
          <cell r="G1471" t="str">
            <v/>
          </cell>
          <cell r="H1471" t="str">
            <v/>
          </cell>
          <cell r="I1471" t="str">
            <v/>
          </cell>
          <cell r="J1471" t="str">
            <v>Structural requirements of Angiotensin I-converting enzyme inhibitory peptides: quantitative structure-activity relationship study of di- and tripeptides.</v>
          </cell>
          <cell r="K1471" t="str">
            <v>10.1021/jf051263l</v>
          </cell>
          <cell r="L1471" t="str">
            <v>16448176</v>
          </cell>
        </row>
        <row r="1472">
          <cell r="F1472" t="str">
            <v>VTC</v>
          </cell>
          <cell r="G1472" t="str">
            <v/>
          </cell>
          <cell r="H1472" t="str">
            <v/>
          </cell>
          <cell r="I1472" t="str">
            <v/>
          </cell>
          <cell r="J1472" t="str">
            <v/>
          </cell>
          <cell r="K1472" t="str">
            <v/>
          </cell>
          <cell r="L1472" t="str">
            <v/>
          </cell>
        </row>
        <row r="1473">
          <cell r="F1473" t="str">
            <v>VTP</v>
          </cell>
          <cell r="G1473" t="str">
            <v/>
          </cell>
          <cell r="H1473" t="str">
            <v/>
          </cell>
          <cell r="I1473" t="str">
            <v/>
          </cell>
          <cell r="J1473" t="str">
            <v>Vegetable foods: a cheap source of proteins and peptides with antihypertensive, antioxidant, and other less occurrence bioactivities.</v>
          </cell>
          <cell r="K1473" t="str">
            <v>10.1016/j.talanta.2012.12.041</v>
          </cell>
          <cell r="L1473" t="str">
            <v>23598136</v>
          </cell>
        </row>
        <row r="1474">
          <cell r="F1474" t="str">
            <v>VTPALR</v>
          </cell>
          <cell r="G1474" t="str">
            <v/>
          </cell>
          <cell r="H1474" t="str">
            <v/>
          </cell>
          <cell r="I1474" t="str">
            <v/>
          </cell>
          <cell r="J1474" t="str">
            <v>Novel angiotensin I-converting enzyme inhibitory peptides isolated from Alcalase hydrolysate of mung bean protein.; Vegetable foods: a cheap source of proteins and peptides with antihypertensive, antioxidant, and other less occurrence bioactivities.; Isolation and characterization of peptides with antihypertensive activity in foodstuffs.</v>
          </cell>
          <cell r="K1474" t="str">
            <v>10.1002/psc.758; 10.1016/j.talanta.2012.12.041; 10.1080/10408398.2012.664829</v>
          </cell>
          <cell r="L1474" t="str">
            <v>16680798 23598136 24915368</v>
          </cell>
        </row>
        <row r="1475">
          <cell r="F1475" t="str">
            <v>VTR</v>
          </cell>
          <cell r="G1475" t="str">
            <v/>
          </cell>
          <cell r="H1475" t="str">
            <v/>
          </cell>
          <cell r="I1475" t="str">
            <v/>
          </cell>
          <cell r="J1475" t="str">
            <v>Structural requirements of Angiotensin I-converting enzyme inhibitory peptides: quantitative structure-activity relationship study of di- and tripeptides.</v>
          </cell>
          <cell r="K1475" t="str">
            <v>10.1021/jf051263l</v>
          </cell>
          <cell r="L1475" t="str">
            <v>16448176</v>
          </cell>
        </row>
        <row r="1476">
          <cell r="F1476" t="str">
            <v>VTSTAV</v>
          </cell>
          <cell r="G1476" t="str">
            <v/>
          </cell>
          <cell r="H1476" t="str">
            <v/>
          </cell>
          <cell r="I1476" t="str">
            <v/>
          </cell>
          <cell r="J1476" t="str">
            <v>A new QSAR model, for angiotensin I-converting enzyme inhibitory oligopeptides.</v>
          </cell>
          <cell r="K1476" t="str">
            <v>10.1016/j.foodchem.2012.09.092</v>
          </cell>
          <cell r="L1476" t="str">
            <v>23194537</v>
          </cell>
        </row>
        <row r="1477">
          <cell r="F1477" t="str">
            <v>VTVNPYKWLP</v>
          </cell>
          <cell r="G1477" t="str">
            <v/>
          </cell>
          <cell r="H1477" t="str">
            <v/>
          </cell>
          <cell r="I1477" t="str">
            <v/>
          </cell>
          <cell r="J1477" t="str">
            <v>Novel angiotensin-converting enzyme (ACE) inhibitory peptides derived from boneless chicken leg meat.; Inhibition strength of short peptides derived from an ACE inhibitory peptide.; A new QSAR model, for angiotensin I-converting enzyme inhibitory oligopeptides.</v>
          </cell>
          <cell r="K1477" t="str">
            <v>10.1021/jf100977z; 10.1021/jf202902r; 10.1016/j.foodchem.2012.09.092</v>
          </cell>
          <cell r="L1477" t="str">
            <v>20509692 21923188 23194537</v>
          </cell>
        </row>
        <row r="1478">
          <cell r="F1478" t="str">
            <v>VTY</v>
          </cell>
          <cell r="G1478" t="str">
            <v/>
          </cell>
          <cell r="H1478" t="str">
            <v/>
          </cell>
          <cell r="I1478" t="str">
            <v/>
          </cell>
          <cell r="J1478" t="str">
            <v>Vegetable foods: a cheap source of proteins and peptides with antihypertensive, antioxidant, and other less occurrence bioactivities.</v>
          </cell>
          <cell r="K1478" t="str">
            <v>10.1016/j.talanta.2012.12.041</v>
          </cell>
          <cell r="L1478" t="str">
            <v>23598136</v>
          </cell>
        </row>
        <row r="1479">
          <cell r="F1479" t="str">
            <v>VV</v>
          </cell>
          <cell r="G1479" t="str">
            <v/>
          </cell>
          <cell r="H1479" t="str">
            <v/>
          </cell>
          <cell r="I1479" t="str">
            <v/>
          </cell>
          <cell r="J1479" t="str">
            <v>Three-dimensional holograph vector of atomic interaction field (3D-HoVAIF): a novel rotation-translation invariant 3D structure descriptor and its applications to peptides.</v>
          </cell>
          <cell r="K1479" t="str">
            <v>10.1002/psc.892</v>
          </cell>
          <cell r="L1479" t="str">
            <v>17654623</v>
          </cell>
        </row>
        <row r="1480">
          <cell r="F1480" t="str">
            <v>VVAPFPE</v>
          </cell>
          <cell r="G1480" t="str">
            <v/>
          </cell>
          <cell r="H1480" t="str">
            <v/>
          </cell>
          <cell r="I1480" t="str">
            <v/>
          </cell>
          <cell r="J1480" t="str">
            <v/>
          </cell>
          <cell r="K1480" t="str">
            <v/>
          </cell>
          <cell r="L1480" t="str">
            <v/>
          </cell>
        </row>
        <row r="1481">
          <cell r="F1481" t="str">
            <v>VVAPFPEVF</v>
          </cell>
          <cell r="G1481" t="str">
            <v/>
          </cell>
          <cell r="H1481" t="str">
            <v/>
          </cell>
          <cell r="I1481" t="str">
            <v/>
          </cell>
          <cell r="J1481" t="str">
            <v/>
          </cell>
          <cell r="K1481" t="str">
            <v/>
          </cell>
          <cell r="L1481" t="str">
            <v/>
          </cell>
        </row>
        <row r="1482">
          <cell r="F1482" t="str">
            <v>VVF</v>
          </cell>
          <cell r="G1482" t="str">
            <v/>
          </cell>
          <cell r="H1482" t="str">
            <v/>
          </cell>
          <cell r="I1482" t="str">
            <v/>
          </cell>
          <cell r="J1482" t="str">
            <v>Structural requirements of Angiotensin I-converting enzyme inhibitory peptides: quantitative structure-activity relationship study of di- and tripeptides.</v>
          </cell>
          <cell r="K1482" t="str">
            <v>10.1021/jf051263l</v>
          </cell>
          <cell r="L1482" t="str">
            <v>16448176</v>
          </cell>
        </row>
        <row r="1483">
          <cell r="F1483" t="str">
            <v>VVGAK</v>
          </cell>
          <cell r="G1483" t="str">
            <v/>
          </cell>
          <cell r="H1483" t="str">
            <v/>
          </cell>
          <cell r="I1483" t="str">
            <v/>
          </cell>
          <cell r="J1483" t="str">
            <v/>
          </cell>
          <cell r="K1483" t="str">
            <v/>
          </cell>
          <cell r="L1483" t="str">
            <v/>
          </cell>
        </row>
        <row r="1484">
          <cell r="F1484" t="str">
            <v>VVPP</v>
          </cell>
          <cell r="G1484" t="str">
            <v/>
          </cell>
          <cell r="H1484" t="str">
            <v/>
          </cell>
          <cell r="I1484" t="str">
            <v/>
          </cell>
          <cell r="J1484" t="str">
            <v/>
          </cell>
          <cell r="K1484" t="str">
            <v/>
          </cell>
          <cell r="L1484" t="str">
            <v/>
          </cell>
        </row>
        <row r="1485">
          <cell r="F1485" t="str">
            <v>VVPPA</v>
          </cell>
          <cell r="G1485" t="str">
            <v/>
          </cell>
          <cell r="H1485" t="str">
            <v/>
          </cell>
          <cell r="I1485" t="str">
            <v/>
          </cell>
          <cell r="J1485" t="str">
            <v>A new QSAR model, for angiotensin I-converting enzyme inhibitory oligopeptides.; Review on the angiotensin-I-converting enzyme (ACE) inhibitor peptides from marine proteins.; Vegetable foods: a cheap source of proteins and peptides with antihypertensive, antioxidant, and other less occurrence bioactivities.</v>
          </cell>
          <cell r="K1485" t="str">
            <v>10.1016/j.foodchem.2012.09.092; 10.1007/s12010-012-0024-y; 10.1016/j.talanta.2012.12.041</v>
          </cell>
          <cell r="L1485" t="str">
            <v>23194537 23271625 23598136</v>
          </cell>
        </row>
        <row r="1486">
          <cell r="F1486" t="str">
            <v>VVPPFIQPE</v>
          </cell>
          <cell r="G1486" t="str">
            <v/>
          </cell>
          <cell r="H1486" t="str">
            <v/>
          </cell>
          <cell r="I1486" t="str">
            <v/>
          </cell>
          <cell r="J1486" t="str">
            <v>Casein fermentate of Lactobacillus animalis DPC6134 contains a range of novel propeptide angiotensin-converting enzyme inhibitors.</v>
          </cell>
          <cell r="K1486" t="str">
            <v>10.1128/AEM.00096-07</v>
          </cell>
          <cell r="L1486" t="str">
            <v>17483275</v>
          </cell>
        </row>
        <row r="1487">
          <cell r="F1487" t="str">
            <v>VVRP</v>
          </cell>
          <cell r="G1487" t="str">
            <v/>
          </cell>
          <cell r="H1487" t="str">
            <v/>
          </cell>
          <cell r="I1487" t="str">
            <v/>
          </cell>
          <cell r="J1487" t="str">
            <v>Inhibition of angiotensin-converting enzyme by synthetic peptide fragments of human kappa-casein.; Angiotensin converting enzyme inhibitory peptides derived from food proteins: biochemistry, bioactivity and production.; What are the ideal properties for functional food peptides with antihypertensive effect? A computational peptidology approach.</v>
          </cell>
          <cell r="K1487" t="str">
            <v>10.2174/138161207780363068; 10.1016/j.foodchem.2013.05.140</v>
          </cell>
          <cell r="L1487" t="str">
            <v>1368540 17430180 23871047</v>
          </cell>
        </row>
        <row r="1488">
          <cell r="F1488" t="str">
            <v>VVV</v>
          </cell>
          <cell r="G1488" t="str">
            <v/>
          </cell>
          <cell r="H1488" t="str">
            <v/>
          </cell>
          <cell r="I1488" t="str">
            <v/>
          </cell>
          <cell r="J1488"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488" t="str">
            <v>10.1002/psc.800; 10.1007/s00894-010-0862-x; 10.1016/j.foodchem.2013.05.140</v>
          </cell>
          <cell r="L1488" t="str">
            <v>17117396 20941517 23871047</v>
          </cell>
        </row>
        <row r="1489">
          <cell r="F1489" t="str">
            <v>VVVPP</v>
          </cell>
          <cell r="G1489" t="str">
            <v/>
          </cell>
          <cell r="H1489" t="str">
            <v/>
          </cell>
          <cell r="I1489" t="str">
            <v/>
          </cell>
          <cell r="J1489" t="str">
            <v>A new QSAR model, for angiotensin I-converting enzyme inhibitory oligopeptides.</v>
          </cell>
          <cell r="K1489" t="str">
            <v>10.1016/j.foodchem.2012.09.092</v>
          </cell>
          <cell r="L1489" t="str">
            <v>23194537</v>
          </cell>
        </row>
        <row r="1490">
          <cell r="F1490" t="str">
            <v>VVVPPF</v>
          </cell>
          <cell r="G1490" t="str">
            <v/>
          </cell>
          <cell r="H1490" t="str">
            <v/>
          </cell>
          <cell r="I1490" t="str">
            <v/>
          </cell>
          <cell r="J1490" t="str">
            <v>A new QSAR model, for angiotensin I-converting enzyme inhibitory oligopeptides.; Enterococcus faecalis strains from food, environmental, and clinical origin produce ACE-inhibitory peptides and other bioactive peptides during growth in bovine skim milk.</v>
          </cell>
          <cell r="K1490" t="str">
            <v>10.1016/j.foodchem.2012.09.092; 10.1016/j.ijfoodmicro.2013.06.019</v>
          </cell>
          <cell r="L1490" t="str">
            <v>23194537 23845432</v>
          </cell>
        </row>
        <row r="1491">
          <cell r="F1491" t="str">
            <v>VVW</v>
          </cell>
          <cell r="G1491" t="str">
            <v/>
          </cell>
          <cell r="H1491" t="str">
            <v/>
          </cell>
          <cell r="I1491" t="str">
            <v/>
          </cell>
          <cell r="J1491" t="str">
            <v>Vegetable foods: a cheap source of proteins and peptides with antihypertensive, antioxidant, and other less occurrence bioactivities.</v>
          </cell>
          <cell r="K1491" t="str">
            <v>10.1016/j.talanta.2012.12.041</v>
          </cell>
          <cell r="L1491" t="str">
            <v>23598136</v>
          </cell>
        </row>
        <row r="1492">
          <cell r="F1492" t="str">
            <v>VVY</v>
          </cell>
          <cell r="G1492" t="str">
            <v/>
          </cell>
          <cell r="H1492" t="str">
            <v/>
          </cell>
          <cell r="I1492" t="str">
            <v/>
          </cell>
          <cell r="J1492" t="str">
            <v>What are the ideal properties for functional food peptides with antihypertensive effect? A computational peptidology approach.; Isolation and characterization of peptides with antihypertensive activity in foodstuffs.</v>
          </cell>
          <cell r="K1492" t="str">
            <v>10.1016/j.foodchem.2013.05.140; 10.1080/10408398.2012.664829</v>
          </cell>
          <cell r="L1492" t="str">
            <v>23871047 24915368</v>
          </cell>
        </row>
        <row r="1493">
          <cell r="F1493" t="str">
            <v>VVYPW</v>
          </cell>
          <cell r="G1493" t="str">
            <v/>
          </cell>
          <cell r="H1493" t="str">
            <v/>
          </cell>
          <cell r="I1493" t="str">
            <v/>
          </cell>
          <cell r="J1493" t="str">
            <v>A new QSAR model, for angiotensin I-converting enzyme inhibitory oligopeptides.</v>
          </cell>
          <cell r="K1493" t="str">
            <v>10.1016/j.foodchem.2012.09.092</v>
          </cell>
          <cell r="L1493" t="str">
            <v>23194537</v>
          </cell>
        </row>
        <row r="1494">
          <cell r="F1494" t="str">
            <v>VVYPWT</v>
          </cell>
          <cell r="G1494" t="str">
            <v/>
          </cell>
          <cell r="H1494" t="str">
            <v/>
          </cell>
          <cell r="I1494" t="str">
            <v/>
          </cell>
          <cell r="J1494" t="str">
            <v>Isolation and characterization of peptides with antihypertensive activity in foodstuffs.</v>
          </cell>
          <cell r="K1494" t="str">
            <v>10.1080/10408398.2012.664829</v>
          </cell>
          <cell r="L1494" t="str">
            <v>24915368</v>
          </cell>
        </row>
        <row r="1495">
          <cell r="F1495" t="str">
            <v>VVYPWTQRF</v>
          </cell>
          <cell r="G1495" t="str">
            <v/>
          </cell>
          <cell r="H1495" t="str">
            <v/>
          </cell>
          <cell r="I1495" t="str">
            <v/>
          </cell>
          <cell r="J1495" t="str">
            <v>Antihypertensive peptides from food proteins: a review.; A new QSAR model, for angiotensin I-converting enzyme inhibitory oligopeptides.; Review on the angiotensin-I-converting enzyme (ACE) inhibitor peptides from marine proteins.; Isolation and characterization of peptides with antihypertensive activity in foodstuffs.</v>
          </cell>
          <cell r="K1495" t="str">
            <v>10.1039/c2fo10192k; 10.1016/j.foodchem.2012.09.092; 10.1007/s12010-012-0024-y; 10.1080/10408398.2012.664829</v>
          </cell>
          <cell r="L1495" t="str">
            <v>22249830 23194537 23271625 24915368</v>
          </cell>
        </row>
        <row r="1496">
          <cell r="F1496" t="str">
            <v>VW</v>
          </cell>
          <cell r="G1496" t="str">
            <v/>
          </cell>
          <cell r="H1496" t="str">
            <v/>
          </cell>
          <cell r="I1496" t="str">
            <v/>
          </cell>
          <cell r="J1496" t="str">
            <v>Structure and activity of angiotensin I converting enzyme inhibitory peptides from sake and sake lees.; Angiotensin I-converting enzyme inhibitory peptides derived from wakame (Undaria pinnatifida) and their antihypertensive effect in spontaneously hypertensive rats.; New antihypertensive peptides isolated from rapeseed.; Antihypertensive effects of Undaria pinnatifida (wakame) peptide on blood pressure in spontaneously hypertensive rats.;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Bioactive peptides in amaranth (Amaranthus hypochondriacus) seed.; Isolation and identification of antihypertensive peptides from antarctic krill tail meat hydrolysate.; QSAR study on angiotensin-converting enzyme inhibitor oligopeptides based on a novel set of sequence information descriptors.; Inhibition strength of short peptides derived from an ACE inhibitory peptide.; Antihypertensive peptides from food proteins: a review.;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 Glycinyl-histidinyl-serine (GHS), a novel rapeseed protein-derived peptide has blood pressure-lowering effect in spontaneously hypertensive rats.; Isolation and characterization of peptides with antihypertensive activity in foodstuffs.</v>
          </cell>
          <cell r="K1496" t="str">
            <v>10.1271/bbb.58.1767; 10.1021/jf020482t; 10.1016/s0196-9781(03)00174-8; 10.1016/j.jnutbio.2003.11.004; 10.1021/jf051263l; 10.1002/psc.892; 10.1021/jf072911z; 10.1111/j.1750-3841.2009.01138.x; 10.1007/s00894-010-0862-x; 10.1021/jf202902r; 10.1039/c2fo10192k; 10.1007/s12010-012-0024-y; 10.1016/j.talanta.2012.12.041; 10.1016/j.foodchem.2013.05.140; 10.1021/jf400865m; 10.1080/10408398.2012.664829</v>
          </cell>
          <cell r="L1496" t="str">
            <v>7765503 12358510 12948830 15135150 16448176 17654623 18211015 19490329 20941517 21923188 22249830 23271625 23598136 23871047 23919612 24915368</v>
          </cell>
        </row>
        <row r="1497">
          <cell r="F1497" t="str">
            <v>VWDPPKFD</v>
          </cell>
          <cell r="G1497" t="str">
            <v/>
          </cell>
          <cell r="H1497" t="str">
            <v/>
          </cell>
          <cell r="I1497" t="str">
            <v/>
          </cell>
          <cell r="J1497" t="str">
            <v/>
          </cell>
          <cell r="K1497" t="str">
            <v/>
          </cell>
          <cell r="L1497" t="str">
            <v/>
          </cell>
        </row>
        <row r="1498">
          <cell r="F1498" t="str">
            <v>VWIG</v>
          </cell>
          <cell r="G1498" t="str">
            <v>tuna muscle</v>
          </cell>
          <cell r="H1498" t="str">
            <v/>
          </cell>
          <cell r="I1498" t="str">
            <v/>
          </cell>
          <cell r="J1498" t="str">
            <v>Angiotensin converting enzyme inhibitory peptides derived from food proteins: biochemistry, bioactivity and production.</v>
          </cell>
          <cell r="K1498" t="str">
            <v>10.2174/138161207780363068</v>
          </cell>
          <cell r="L1498" t="str">
            <v>17430180</v>
          </cell>
        </row>
        <row r="1499">
          <cell r="F1499" t="str">
            <v>VWIS</v>
          </cell>
          <cell r="G1499" t="str">
            <v/>
          </cell>
          <cell r="H1499" t="str">
            <v/>
          </cell>
          <cell r="I1499" t="str">
            <v/>
          </cell>
          <cell r="J1499" t="str">
            <v>New antihypertensive peptides isolated from rapeseed.; Antihypertensive peptides from food proteins: a review.; What are the ideal properties for functional food peptides with antihypertensive effect? A computational peptidology approach.; Glycinyl-histidinyl-serine (GHS), a novel rapeseed protein-derived peptide has blood pressure-lowering effect in spontaneously hypertensive rats.</v>
          </cell>
          <cell r="K1499" t="str">
            <v>10.1016/s0196-9781(03)00174-8; 10.1039/c2fo10192k; 10.1016/j.foodchem.2013.05.140; 10.1021/jf400865m</v>
          </cell>
          <cell r="L1499" t="str">
            <v>12948830 22249830 23871047 23919612</v>
          </cell>
        </row>
        <row r="1500">
          <cell r="F1500" t="str">
            <v>VWP</v>
          </cell>
          <cell r="G1500" t="str">
            <v/>
          </cell>
          <cell r="H1500" t="str">
            <v/>
          </cell>
          <cell r="I1500" t="str">
            <v/>
          </cell>
          <cell r="J1500" t="str">
            <v/>
          </cell>
          <cell r="K1500" t="str">
            <v/>
          </cell>
          <cell r="L1500" t="str">
            <v/>
          </cell>
        </row>
        <row r="1501">
          <cell r="F1501" t="str">
            <v>VWY</v>
          </cell>
          <cell r="G1501" t="str">
            <v/>
          </cell>
          <cell r="H1501" t="str">
            <v/>
          </cell>
          <cell r="I1501" t="str">
            <v/>
          </cell>
          <cell r="J1501" t="str">
            <v>Structure and activity of angiotensin I converting enzyme inhibitory peptides from sake and sake lees.; Structural requirements of Angiotensin I-converting enzyme inhibitory peptides: quantitative structure-activity relationship study of di- and tripeptides.; Vegetable foods: a cheap source of proteins and peptides with antihypertensive, antioxidant, and other less occurrence bioactivities.; What are the ideal properties for functional food peptides with antihypertensive effect? A computational peptidology approach.</v>
          </cell>
          <cell r="K1501" t="str">
            <v>10.1271/bbb.58.1767; 10.1021/jf051263l; 10.1016/j.talanta.2012.12.041; 10.1016/j.foodchem.2013.05.140</v>
          </cell>
          <cell r="L1501" t="str">
            <v>7765503 16448176 23598136 23871047</v>
          </cell>
        </row>
        <row r="1502">
          <cell r="F1502" t="str">
            <v>VY</v>
          </cell>
          <cell r="G1502" t="str">
            <v>pea albumin</v>
          </cell>
          <cell r="H1502" t="str">
            <v/>
          </cell>
          <cell r="I1502" t="str">
            <v/>
          </cell>
          <cell r="J1502" t="str">
            <v>Structure and activity of angiotensin I converting enzyme inhibitory peptides from sake and sake lees.; Antihypertensive effect of valyl-tyrosine, a short chain peptide derived from sardine muscle hydrolyzate, on mild hypertensive subjects.; Angiotensin I-converting enzyme inhibitory peptides derived from wakame (Undaria pinnatifida) and their antihypertensive effect in spontaneously hypertensive rats.; Antihypertensive effects of Undaria pinnatifida (wakame) peptide on blood pressure in spontaneously hypertensive rats.;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Bioactive peptides in amaranth (Amaranthus hypochondriacus) seed.; Assessing the dependence of (51)V A(z) value on the aromatic ring orientation of V(IV)O(2+) pyridine complexes.; Angiotensin I converting enzyme inhibitory peptides produced by autolysis reactions from wheat bran.; QSAR study on angiotensin-converting enzyme inhibitor oligopeptides based on a novel set of sequence information descriptors.; Antihypertensive peptides from food proteins: a review.; Review on the angiotensin-I-converting enzyme (ACE) inhibitor peptides from marine proteins.;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Novel probiotic-fermented milk with angiotensin I-converting enzyme inhibitory peptides produced by Bifidobacterium bifidum MF 20/5.; Isolation and characterization of peptides with antihypertensive activity in foodstuffs.</v>
          </cell>
          <cell r="K1502" t="str">
            <v>10.1271/bbb.58.1767; 10.1038/sj.jhh.1001065; 10.1021/jf020482t; 10.1016/j.jnutbio.2003.11.004; 10.1021/jf051263l; 10.1002/psc.800; 10.1002/psc.892; 10.1021/jf072911z; 10.1021/ic9001779; 10.1021/jf900857w; 10.1007/s00894-010-0862-x; 10.1039/c2fo10192k; 10.1007/s12010-012-0024-y; 10.1016/j.talanta.2012.12.041; 10.1016/j.jprot.2013.06.023; 10.1016/j.foodchem.2013.05.140; 10.1016/j.ijfoodmicro.2013.09.002; 10.1080/10408398.2012.664829</v>
          </cell>
          <cell r="L1502" t="str">
            <v>7765503 10962520 12358510 15135150 16448176 17117396 17654623 18211015 19449891 19572648 20941517 22249830 23271625 23598136 23806758 23871047 24135669 24915368</v>
          </cell>
        </row>
        <row r="1503">
          <cell r="F1503" t="str">
            <v>VYAP</v>
          </cell>
          <cell r="G1503" t="str">
            <v/>
          </cell>
          <cell r="H1503" t="str">
            <v/>
          </cell>
          <cell r="I1503" t="str">
            <v/>
          </cell>
          <cell r="J1503" t="str">
            <v>Review on the angiotensin-I-converting enzyme (ACE) inhibitor peptides from marine proteins.; What are the ideal properties for functional food peptides with antihypertensive effect? A computational peptidology approach.</v>
          </cell>
          <cell r="K1503" t="str">
            <v>10.1007/s12010-012-0024-y; 10.1016/j.foodchem.2013.05.140</v>
          </cell>
          <cell r="L1503" t="str">
            <v>23271625 23871047</v>
          </cell>
        </row>
        <row r="1504">
          <cell r="F1504" t="str">
            <v>VYHEL</v>
          </cell>
          <cell r="G1504" t="str">
            <v/>
          </cell>
          <cell r="H1504" t="str">
            <v/>
          </cell>
          <cell r="I1504" t="str">
            <v/>
          </cell>
          <cell r="J1504" t="str">
            <v/>
          </cell>
          <cell r="K1504" t="str">
            <v/>
          </cell>
          <cell r="L1504" t="str">
            <v/>
          </cell>
        </row>
        <row r="1505">
          <cell r="F1505" t="str">
            <v>VYIHPF</v>
          </cell>
          <cell r="G1505" t="str">
            <v/>
          </cell>
          <cell r="H1505" t="str">
            <v/>
          </cell>
          <cell r="I1505" t="str">
            <v/>
          </cell>
          <cell r="J1505" t="str">
            <v>Angiotensin II and its heptapeptide (2-8), hexapeptide (3-8), and pentapeptide (4-8) metabolites in arterial and venous blood of man.</v>
          </cell>
          <cell r="K1505" t="str">
            <v>10.1161/01.res.39.5.671</v>
          </cell>
          <cell r="L1505" t="str">
            <v>975455</v>
          </cell>
        </row>
        <row r="1506">
          <cell r="F1506" t="str">
            <v>VYLPQ</v>
          </cell>
          <cell r="G1506" t="str">
            <v/>
          </cell>
          <cell r="H1506" t="str">
            <v/>
          </cell>
          <cell r="I1506" t="str">
            <v/>
          </cell>
          <cell r="J1506" t="str">
            <v/>
          </cell>
          <cell r="K1506" t="str">
            <v/>
          </cell>
          <cell r="L1506" t="str">
            <v/>
          </cell>
        </row>
        <row r="1507">
          <cell r="F1507" t="str">
            <v>VYNEGLPAP</v>
          </cell>
          <cell r="G1507" t="str">
            <v/>
          </cell>
          <cell r="H1507" t="str">
            <v/>
          </cell>
          <cell r="I1507" t="str">
            <v/>
          </cell>
          <cell r="J1507" t="str">
            <v>A new QSAR model, for angiotensin I-converting enzyme inhibitory oligopeptides.</v>
          </cell>
          <cell r="K1507" t="str">
            <v>10.1016/j.foodchem.2012.09.092</v>
          </cell>
          <cell r="L1507" t="str">
            <v>23194537</v>
          </cell>
        </row>
        <row r="1508">
          <cell r="F1508" t="str">
            <v>VYP</v>
          </cell>
          <cell r="G1508" t="str">
            <v/>
          </cell>
          <cell r="H1508" t="str">
            <v/>
          </cell>
          <cell r="I1508" t="str">
            <v/>
          </cell>
          <cell r="J1508" t="str">
            <v>Inhibition of angiotensin-converting enzyme by synthetic peptide fragments of various beta-caseins.; Structural analysis of new antihypertensive peptides derived from cheese whey protein by proteinase K digestion.; Quantitative structure-activity relationship study of bitter di- and tri-peptides including relationship with angiotensin I-converting enzyme inhibitory activity.; Bioactive peptides in amaranth (Amaranthus hypochondriacus) seed.; Evaluation of the allergenicity of goat milk, cow milk, and their lactosera in a guinea pig model.; QSAR study on angiotensin-converting enzyme inhibitor oligopeptides based on a novel set of sequence information descriptors.; Antihypertensive peptides: production, bioavailability and incorporation into foods.; Antihypertensive peptides from food proteins: a review.; What are the ideal properties for functional food peptides with antihypertensive effect? A computational peptidology approach.; Isolation and characterization of peptides with antihypertensive activity in foodstuffs.</v>
          </cell>
          <cell r="K1508" t="str">
            <v>10.3168/jds.S0022-0302(98)75878-3; 10.1002/psc.800; 10.1021/jf072911z; 10.3168/jds.2008-1125; 10.1007/s00894-010-0862-x; 10.1016/j.cis.2010.11.001; 10.1039/c2fo10192k; 10.1016/j.foodchem.2013.05.140; 10.1080/10408398.2012.664829</v>
          </cell>
          <cell r="L1508" t="str">
            <v>1368548 9891260 17117396 18211015 19233776 20941517 21185549 22249830 23871047 24915368</v>
          </cell>
        </row>
        <row r="1509">
          <cell r="F1509" t="str">
            <v>VYPFPG</v>
          </cell>
          <cell r="G1509" t="str">
            <v/>
          </cell>
          <cell r="H1509" t="str">
            <v/>
          </cell>
          <cell r="I1509" t="str">
            <v/>
          </cell>
          <cell r="J1509" t="str">
            <v>Structural analysis of new antihypertensive peptides derived from cheese whey protein by proteinase K digestion.; Evaluation of the allergenicity of goat milk, cow milk, and their lactosera in a guinea pig model.; Antihypertensive peptides: production, bioavailability and incorporation into foods.; Antihypertensive peptides from food proteins: a review.; Characterisation of a new antihypertensive angiotensin I-converting enzyme inhibitory peptide from Pleurotus cornucopiae.; A new QSAR model, for angiotensin I-converting enzyme inhibitory oligopeptides.; Isolation and characterization of peptides with antihypertensive activity in foodstuffs.</v>
          </cell>
          <cell r="K1509" t="str">
            <v>10.3168/jds.S0022-0302(98)75878-3; 10.3168/jds.2008-1125; 10.1016/j.cis.2010.11.001; 10.1039/c2fo10192k; 10.1016/j.foodchem.2011.01.010; 10.1016/j.foodchem.2012.09.092; 10.1080/10408398.2012.664829</v>
          </cell>
          <cell r="L1509" t="str">
            <v>9891260 19233776 21185549 22249830 23140680 23194537 24915368</v>
          </cell>
        </row>
        <row r="1510">
          <cell r="F1510" t="str">
            <v>VYPFPGPI</v>
          </cell>
          <cell r="G1510" t="str">
            <v/>
          </cell>
          <cell r="H1510" t="str">
            <v/>
          </cell>
          <cell r="I1510" t="str">
            <v/>
          </cell>
          <cell r="J1510" t="str">
            <v/>
          </cell>
          <cell r="K1510" t="str">
            <v/>
          </cell>
          <cell r="L1510" t="str">
            <v/>
          </cell>
        </row>
        <row r="1511">
          <cell r="F1511" t="str">
            <v>VYPFPGPIHNSLPQNIPPLTQT</v>
          </cell>
          <cell r="G1511" t="str">
            <v/>
          </cell>
          <cell r="H1511" t="str">
            <v/>
          </cell>
          <cell r="I1511" t="str">
            <v/>
          </cell>
          <cell r="J1511" t="str">
            <v/>
          </cell>
          <cell r="K1511" t="str">
            <v/>
          </cell>
          <cell r="L1511" t="str">
            <v/>
          </cell>
        </row>
        <row r="1512">
          <cell r="F1512" t="str">
            <v>VYPFPGPIPNSL</v>
          </cell>
          <cell r="G1512" t="str">
            <v/>
          </cell>
          <cell r="H1512" t="str">
            <v/>
          </cell>
          <cell r="I1512" t="str">
            <v/>
          </cell>
          <cell r="J1512" t="str">
            <v/>
          </cell>
          <cell r="K1512" t="str">
            <v/>
          </cell>
          <cell r="L1512" t="str">
            <v/>
          </cell>
        </row>
        <row r="1513">
          <cell r="F1513" t="str">
            <v>VYPHK</v>
          </cell>
          <cell r="G1513" t="str">
            <v/>
          </cell>
          <cell r="H1513" t="str">
            <v/>
          </cell>
          <cell r="I1513" t="str">
            <v/>
          </cell>
          <cell r="J1513" t="str">
            <v>A new QSAR model, for angiotensin I-converting enzyme inhibitory oligopeptides.</v>
          </cell>
          <cell r="K1513" t="str">
            <v>10.1016/j.foodchem.2012.09.092</v>
          </cell>
          <cell r="L1513" t="str">
            <v>23194537</v>
          </cell>
        </row>
        <row r="1514">
          <cell r="F1514" t="str">
            <v>VYVEELKPTPE</v>
          </cell>
          <cell r="G1514" t="str">
            <v/>
          </cell>
          <cell r="H1514" t="str">
            <v/>
          </cell>
          <cell r="I1514" t="str">
            <v/>
          </cell>
          <cell r="J1514" t="str">
            <v/>
          </cell>
          <cell r="K1514" t="str">
            <v/>
          </cell>
          <cell r="L1514" t="str">
            <v/>
          </cell>
        </row>
        <row r="1515">
          <cell r="F1515" t="str">
            <v>WA</v>
          </cell>
          <cell r="G1515" t="str">
            <v/>
          </cell>
          <cell r="H1515" t="str">
            <v/>
          </cell>
          <cell r="I1515" t="str">
            <v/>
          </cell>
          <cell r="J1515" t="str">
            <v>Structural requirements of Angiotensin I-converting enzyme inhibitory peptides: quantitative structure-activity relationship study of di- and tripeptides.; Review on the angiotensin-I-converting enzyme (ACE) inhibitor peptides from marine proteins.; What are the ideal properties for functional food peptides with antihypertensive effect? A computational peptidology approach.; Isolation and characterization of peptides with antihypertensive activity in foodstuffs.</v>
          </cell>
          <cell r="K1515" t="str">
            <v>10.1021/jf051263l; 10.1007/s12010-012-0024-y; 10.1016/j.foodchem.2013.05.140; 10.1080/10408398.2012.664829</v>
          </cell>
          <cell r="L1515" t="str">
            <v>16448176 23271625 23871047 24915368</v>
          </cell>
        </row>
        <row r="1516">
          <cell r="F1516" t="str">
            <v>WAP</v>
          </cell>
          <cell r="G1516" t="str">
            <v/>
          </cell>
          <cell r="H1516" t="str">
            <v/>
          </cell>
          <cell r="I1516" t="str">
            <v/>
          </cell>
          <cell r="J1516" t="str">
            <v/>
          </cell>
          <cell r="K1516" t="str">
            <v/>
          </cell>
          <cell r="L1516" t="str">
            <v/>
          </cell>
        </row>
        <row r="1517">
          <cell r="F1517" t="str">
            <v>WE</v>
          </cell>
          <cell r="G1517" t="str">
            <v/>
          </cell>
          <cell r="H1517" t="str">
            <v/>
          </cell>
          <cell r="I1517" t="str">
            <v/>
          </cell>
          <cell r="J1517" t="str">
            <v>Three-dimensional holograph vector of atomic interaction field (3D-HoVAIF): a novel rotation-translation invariant 3D structure descriptor and its applications to peptides.</v>
          </cell>
          <cell r="K1517" t="str">
            <v>10.1002/psc.892</v>
          </cell>
          <cell r="L1517" t="str">
            <v>17654623</v>
          </cell>
        </row>
        <row r="1518">
          <cell r="F1518" t="str">
            <v>WG</v>
          </cell>
          <cell r="G1518" t="str">
            <v/>
          </cell>
          <cell r="H1518" t="str">
            <v/>
          </cell>
          <cell r="I1518" t="str">
            <v/>
          </cell>
          <cell r="J1518" t="str">
            <v>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1518" t="str">
            <v>10.1021/jf051263l; 10.1002/psc.892; 10.1007/s00894-010-0862-x; 10.1016/j.jprot.2013.06.023; 10.1016/j.foodchem.2013.05.140</v>
          </cell>
          <cell r="L1518" t="str">
            <v>16448176 17654623 20941517 23806758 23871047</v>
          </cell>
        </row>
        <row r="1519">
          <cell r="F1519" t="str">
            <v>WH</v>
          </cell>
          <cell r="G1519" t="str">
            <v/>
          </cell>
          <cell r="H1519" t="str">
            <v/>
          </cell>
          <cell r="I1519" t="str">
            <v/>
          </cell>
          <cell r="J1519" t="str">
            <v>Antihypertensive effects of Undaria pinnatifida (wakame) peptide on blood pressure in spontaneously hypertensive rats.</v>
          </cell>
          <cell r="K1519" t="str">
            <v>10.1016/j.jnutbio.2003.11.004</v>
          </cell>
          <cell r="L1519" t="str">
            <v>15135150</v>
          </cell>
        </row>
        <row r="1520">
          <cell r="F1520" t="str">
            <v>WHHTF</v>
          </cell>
          <cell r="G1520" t="str">
            <v/>
          </cell>
          <cell r="H1520" t="str">
            <v/>
          </cell>
          <cell r="I1520" t="str">
            <v/>
          </cell>
          <cell r="J1520" t="str">
            <v>A new QSAR model, for angiotensin I-converting enzyme inhibitory oligopeptides.</v>
          </cell>
          <cell r="K1520" t="str">
            <v>10.1016/j.foodchem.2012.09.092</v>
          </cell>
          <cell r="L1520" t="str">
            <v>23194537</v>
          </cell>
        </row>
        <row r="1521">
          <cell r="F1521" t="str">
            <v>WL</v>
          </cell>
          <cell r="G1521" t="str">
            <v/>
          </cell>
          <cell r="H1521" t="str">
            <v/>
          </cell>
          <cell r="I1521" t="str">
            <v/>
          </cell>
          <cell r="J1521" t="str">
            <v>Angiotensin I-converting enzyme inhibitory peptides isolated from tofuyo fermented soybean food.; Structural requirements of Angiotensin I-converting enzyme inhibitory peptides: quantitative structure-activity relationship study of di- and tripeptides.; Vegetable foods: a cheap source of proteins and peptides with antihypertensive, antioxidant, and other less occurrence bioactivities.; What are the ideal properties for functional food peptides with antihypertensive effect? A computational peptidology approach.; Glycinyl-histidinyl-serine (GHS), a novel rapeseed protein-derived peptide has blood pressure-lowering effect in spontaneously hypertensive rats.</v>
          </cell>
          <cell r="K1521" t="str">
            <v>10.1271/bbb.67.1278; 10.1021/jf051263l; 10.1016/j.talanta.2012.12.041; 10.1016/j.foodchem.2013.05.140; 10.1021/jf400865m</v>
          </cell>
          <cell r="L1521" t="str">
            <v>12843654 16448176 23598136 23871047 23919612</v>
          </cell>
        </row>
        <row r="1522">
          <cell r="F1522" t="str">
            <v>WLAHK</v>
          </cell>
          <cell r="G1522" t="str">
            <v/>
          </cell>
          <cell r="H1522" t="str">
            <v/>
          </cell>
          <cell r="I1522" t="str">
            <v/>
          </cell>
          <cell r="J1522" t="str">
            <v>Angiotensin I-converting enzyme inhibitory properties of whey protein digests: concentration and characterization of active peptides.; Angiotensin converting enzyme inhibitory peptides derived from food proteins: biochemistry, bioactivity and production.; A new QSAR model, for angiotensin I-converting enzyme inhibitory oligopeptides.</v>
          </cell>
          <cell r="K1522" t="str">
            <v>10.1017/s0022029999003982; 10.2174/138161207780363068; 10.1016/j.foodchem.2012.09.092</v>
          </cell>
          <cell r="L1522" t="str">
            <v>10717843 17430180 23194537</v>
          </cell>
        </row>
        <row r="1523">
          <cell r="F1523" t="str">
            <v>WLP</v>
          </cell>
          <cell r="G1523" t="str">
            <v/>
          </cell>
          <cell r="H1523" t="str">
            <v/>
          </cell>
          <cell r="I1523" t="str">
            <v/>
          </cell>
          <cell r="J1523" t="str">
            <v>Inhibition strength of short peptides derived from an ACE inhibitory peptide.</v>
          </cell>
          <cell r="K1523" t="str">
            <v>10.1021/jf202902r</v>
          </cell>
          <cell r="L1523" t="str">
            <v>21923188</v>
          </cell>
        </row>
        <row r="1524">
          <cell r="F1524" t="str">
            <v>WM</v>
          </cell>
          <cell r="G1524" t="str">
            <v/>
          </cell>
          <cell r="H1524" t="str">
            <v/>
          </cell>
          <cell r="I1524" t="str">
            <v/>
          </cell>
          <cell r="J1524" t="str">
            <v>Structural requirements of Angiotensin I-converting enzyme inhibitory peptides: quantitative structure-activity relationship study of di- and tripeptides.; Antihypertensive peptides from food proteins: a review.; Review on the angiotensin-I-converting enzyme (ACE) inhibitor peptides from marine proteins.; What are the ideal properties for functional food peptides with antihypertensive effect? A computational peptidology approach.; Isolation and characterization of peptides with antihypertensive activity in foodstuffs.</v>
          </cell>
          <cell r="K1524" t="str">
            <v>10.1021/jf051263l; 10.1039/c2fo10192k; 10.1007/s12010-012-0024-y; 10.1016/j.foodchem.2013.05.140; 10.1080/10408398.2012.664829</v>
          </cell>
          <cell r="L1524" t="str">
            <v>16448176 22249830 23271625 23871047 24915368</v>
          </cell>
        </row>
        <row r="1525">
          <cell r="F1525" t="str">
            <v>WNINA</v>
          </cell>
          <cell r="G1525" t="str">
            <v/>
          </cell>
          <cell r="H1525" t="str">
            <v/>
          </cell>
          <cell r="I1525" t="str">
            <v/>
          </cell>
          <cell r="J1525" t="str">
            <v>Release of angiotensin I-converting enzyme inhibitory peptides from flaxseed (Linum usitatissimum L.) protein under simulated gastrointestinal digestion.</v>
          </cell>
          <cell r="K1525" t="str">
            <v>10.1021/jf202000e</v>
          </cell>
          <cell r="L1525" t="str">
            <v>21776963</v>
          </cell>
        </row>
        <row r="1526">
          <cell r="F1526" t="str">
            <v>WNLNA</v>
          </cell>
          <cell r="G1526" t="str">
            <v/>
          </cell>
          <cell r="H1526" t="str">
            <v/>
          </cell>
          <cell r="I1526" t="str">
            <v/>
          </cell>
          <cell r="J1526" t="str">
            <v>Release of angiotensin I-converting enzyme inhibitory peptides from flaxseed (Linum usitatissimum L.) protein under simulated gastrointestinal digestion.</v>
          </cell>
          <cell r="K1526" t="str">
            <v>10.1021/jf202000e</v>
          </cell>
          <cell r="L1526" t="str">
            <v>21776963</v>
          </cell>
        </row>
        <row r="1527">
          <cell r="F1527" t="str">
            <v>WP</v>
          </cell>
          <cell r="G1527" t="str">
            <v/>
          </cell>
          <cell r="H1527" t="str">
            <v/>
          </cell>
          <cell r="I1527" t="str">
            <v/>
          </cell>
          <cell r="J1527" t="str">
            <v/>
          </cell>
          <cell r="K1527" t="str">
            <v/>
          </cell>
          <cell r="L1527" t="str">
            <v/>
          </cell>
        </row>
        <row r="1528">
          <cell r="F1528" t="str">
            <v>WPEAAELMMEVDP</v>
          </cell>
          <cell r="G1528" t="str">
            <v/>
          </cell>
          <cell r="H1528" t="str">
            <v/>
          </cell>
          <cell r="I1528" t="str">
            <v/>
          </cell>
          <cell r="J1528" t="str">
            <v>Antihypertensive effect of angiotensin i converting enzyme-inhibitory peptide from hydrolysates of Bigeye tuna dark muscle, Thunnus obesus.; Antihypertensive peptides from food proteins: a review.; Review on the angiotensin-I-converting enzyme (ACE) inhibitor peptides from marine proteins.; Isolation and characterization of peptides with antihypertensive activity in foodstuffs.</v>
          </cell>
          <cell r="K1528" t="str">
            <v>10.1021/jf0710635; 10.1039/c2fo10192k; 10.1007/s12010-012-0024-y; 10.1080/10408398.2012.664829</v>
          </cell>
          <cell r="L1528" t="str">
            <v>17894458 22249830 23271625 24915368</v>
          </cell>
        </row>
        <row r="1529">
          <cell r="F1529" t="str">
            <v>WPERPPQIP</v>
          </cell>
          <cell r="G1529" t="str">
            <v/>
          </cell>
          <cell r="H1529" t="str">
            <v/>
          </cell>
          <cell r="I1529" t="str">
            <v/>
          </cell>
          <cell r="J1529" t="str">
            <v>Purification and identification of an ACE inhibitory peptide from walnut protein.</v>
          </cell>
          <cell r="K1529" t="str">
            <v>10.1021/jf4001378</v>
          </cell>
          <cell r="L1529" t="str">
            <v>23566262</v>
          </cell>
        </row>
        <row r="1530">
          <cell r="F1530" t="str">
            <v>WPPRPQIPP</v>
          </cell>
          <cell r="G1530" t="str">
            <v/>
          </cell>
          <cell r="H1530" t="str">
            <v/>
          </cell>
          <cell r="I1530" t="str">
            <v/>
          </cell>
          <cell r="J1530" t="str">
            <v>Identification of novel bradykinin-potentiating peptides and C-type natriuretic peptide from Lachesis muta venom.</v>
          </cell>
          <cell r="K1530" t="str">
            <v>10.1016/j.toxicon.2005.03.006</v>
          </cell>
          <cell r="L1530" t="str">
            <v>15876444</v>
          </cell>
        </row>
        <row r="1531">
          <cell r="F1531" t="str">
            <v>WQ</v>
          </cell>
          <cell r="G1531" t="str">
            <v/>
          </cell>
          <cell r="H1531" t="str">
            <v/>
          </cell>
          <cell r="I1531" t="str">
            <v/>
          </cell>
          <cell r="J1531" t="str">
            <v/>
          </cell>
          <cell r="K1531" t="str">
            <v/>
          </cell>
          <cell r="L1531" t="str">
            <v/>
          </cell>
        </row>
        <row r="1532">
          <cell r="F1532" t="str">
            <v>WQVLPNAVPAK</v>
          </cell>
          <cell r="G1532" t="str">
            <v/>
          </cell>
          <cell r="H1532" t="str">
            <v/>
          </cell>
          <cell r="I1532" t="str">
            <v/>
          </cell>
          <cell r="J1532" t="str">
            <v>Changes in arterial blood pressure after single oral administration of milk-casein-derived peptides in spontaneously hypertensive rats.; Antihypertensive peptides: production, bioavailability and incorporation into foods.; Antihypertensive peptides from food proteins: a review.</v>
          </cell>
          <cell r="K1532" t="str">
            <v>10.1002/mnfr.200900448; 10.1016/j.cis.2010.11.001; 10.1039/c2fo10192k</v>
          </cell>
          <cell r="L1532" t="str">
            <v>20397194 21185549 22249830</v>
          </cell>
        </row>
        <row r="1533">
          <cell r="F1533" t="str">
            <v>WQW</v>
          </cell>
          <cell r="G1533" t="str">
            <v/>
          </cell>
          <cell r="H1533" t="str">
            <v/>
          </cell>
          <cell r="I1533" t="str">
            <v/>
          </cell>
          <cell r="J1533" t="str">
            <v/>
          </cell>
          <cell r="K1533" t="str">
            <v/>
          </cell>
          <cell r="L1533" t="str">
            <v/>
          </cell>
        </row>
        <row r="1534">
          <cell r="F1534" t="str">
            <v>WSKVVL</v>
          </cell>
          <cell r="G1534" t="str">
            <v/>
          </cell>
          <cell r="H1534" t="str">
            <v/>
          </cell>
          <cell r="I1534" t="str">
            <v/>
          </cell>
          <cell r="J1534" t="str">
            <v>Effects of angiotensin I-converting enzyme inhibitory substances derived from Indonesian dried-salted fish on blood pressure of rats.; A new QSAR model, for angiotensin I-converting enzyme inhibitory oligopeptides.</v>
          </cell>
          <cell r="K1534" t="str">
            <v>10.1271/bbb.59.425; 10.1016/j.foodchem.2012.09.092</v>
          </cell>
          <cell r="L1534" t="str">
            <v>7766180 23194537</v>
          </cell>
        </row>
        <row r="1535">
          <cell r="F1535" t="str">
            <v>WSVPQPK</v>
          </cell>
          <cell r="G1535" t="str">
            <v/>
          </cell>
          <cell r="H1535" t="str">
            <v/>
          </cell>
          <cell r="I1535" t="str">
            <v/>
          </cell>
          <cell r="J1535" t="str">
            <v>A new QSAR model, for angiotensin I-converting enzyme inhibitory oligopeptides.</v>
          </cell>
          <cell r="K1535" t="str">
            <v>10.1016/j.foodchem.2012.09.092</v>
          </cell>
          <cell r="L1535" t="str">
            <v>23194537</v>
          </cell>
        </row>
        <row r="1536">
          <cell r="F1536" t="str">
            <v>WT</v>
          </cell>
          <cell r="G1536" t="str">
            <v/>
          </cell>
          <cell r="H1536" t="str">
            <v/>
          </cell>
          <cell r="I1536" t="str">
            <v/>
          </cell>
          <cell r="J1536" t="str">
            <v/>
          </cell>
          <cell r="K1536" t="str">
            <v/>
          </cell>
          <cell r="L1536" t="str">
            <v/>
          </cell>
        </row>
        <row r="1537">
          <cell r="F1537" t="str">
            <v>WV</v>
          </cell>
          <cell r="G1537" t="str">
            <v/>
          </cell>
          <cell r="H1537" t="str">
            <v/>
          </cell>
          <cell r="I1537" t="str">
            <v/>
          </cell>
          <cell r="J1537" t="str">
            <v/>
          </cell>
          <cell r="K1537" t="str">
            <v/>
          </cell>
          <cell r="L1537" t="str">
            <v/>
          </cell>
        </row>
        <row r="1538">
          <cell r="F1538" t="str">
            <v>WVPSV</v>
          </cell>
          <cell r="G1538" t="str">
            <v/>
          </cell>
          <cell r="H1538" t="str">
            <v/>
          </cell>
          <cell r="I1538" t="str">
            <v/>
          </cell>
          <cell r="J1538" t="str">
            <v/>
          </cell>
          <cell r="K1538" t="str">
            <v/>
          </cell>
          <cell r="L1538" t="str">
            <v/>
          </cell>
        </row>
        <row r="1539">
          <cell r="F1539" t="str">
            <v>WVPSVY</v>
          </cell>
          <cell r="G1539" t="str">
            <v/>
          </cell>
          <cell r="H1539" t="str">
            <v/>
          </cell>
          <cell r="I1539" t="str">
            <v/>
          </cell>
          <cell r="J1539" t="str">
            <v>A new QSAR model, for angiotensin I-converting enzyme inhibitory oligopeptides.; Vegetable foods: a cheap source of proteins and peptides with antihypertensive, antioxidant, and other less occurrence bioactivities.</v>
          </cell>
          <cell r="K1539" t="str">
            <v>10.1016/j.foodchem.2012.09.092; 10.1016/j.talanta.2012.12.041</v>
          </cell>
          <cell r="L1539" t="str">
            <v>23194537 23598136</v>
          </cell>
        </row>
        <row r="1540">
          <cell r="F1540" t="str">
            <v>WW</v>
          </cell>
          <cell r="G1540" t="str">
            <v/>
          </cell>
          <cell r="H1540" t="str">
            <v/>
          </cell>
          <cell r="I1540" t="str">
            <v/>
          </cell>
          <cell r="J1540" t="str">
            <v>Three-dimensional holograph vector of atomic interaction field (3D-HoVAIF): a novel rotation-translation invariant 3D structure descriptor and its applications to peptides.</v>
          </cell>
          <cell r="K1540" t="str">
            <v>10.1002/psc.892</v>
          </cell>
          <cell r="L1540" t="str">
            <v>17654623</v>
          </cell>
        </row>
        <row r="1541">
          <cell r="F1541" t="str">
            <v>WY</v>
          </cell>
          <cell r="G1541" t="str">
            <v/>
          </cell>
          <cell r="H1541" t="str">
            <v/>
          </cell>
          <cell r="I1541" t="str">
            <v/>
          </cell>
          <cell r="J1541" t="str">
            <v>ACE-inhibitory and radical-scavenging activity of peptides derived from beta-lactoglobulin f(19-25). Interactions with ascorbic acid.</v>
          </cell>
          <cell r="K1541" t="str">
            <v>10.1021/jf063427j</v>
          </cell>
          <cell r="L1541" t="str">
            <v>17411066</v>
          </cell>
        </row>
        <row r="1542">
          <cell r="F1542" t="str">
            <v>WYS</v>
          </cell>
          <cell r="G1542" t="str">
            <v/>
          </cell>
          <cell r="H1542" t="str">
            <v/>
          </cell>
          <cell r="I1542" t="str">
            <v/>
          </cell>
          <cell r="J1542" t="str">
            <v/>
          </cell>
          <cell r="K1542" t="str">
            <v/>
          </cell>
          <cell r="L1542" t="str">
            <v/>
          </cell>
        </row>
        <row r="1543">
          <cell r="F1543" t="str">
            <v>WYSL</v>
          </cell>
          <cell r="G1543" t="str">
            <v/>
          </cell>
          <cell r="H1543" t="str">
            <v/>
          </cell>
          <cell r="I1543" t="str">
            <v/>
          </cell>
          <cell r="J1543" t="str">
            <v>What are the ideal properties for functional food peptides with antihypertensive effect? A computational peptidology approach.</v>
          </cell>
          <cell r="K1543" t="str">
            <v>10.1016/j.foodchem.2013.05.140</v>
          </cell>
          <cell r="L1543" t="str">
            <v>23871047</v>
          </cell>
        </row>
        <row r="1544">
          <cell r="F1544" t="str">
            <v>WYSLA</v>
          </cell>
          <cell r="G1544" t="str">
            <v/>
          </cell>
          <cell r="H1544" t="str">
            <v/>
          </cell>
          <cell r="I1544" t="str">
            <v/>
          </cell>
          <cell r="J1544" t="str">
            <v>ACE-inhibitory and radical-scavenging activity of peptides derived from beta-lactoglobulin f(19-25). Interactions with ascorbic acid.</v>
          </cell>
          <cell r="K1544" t="str">
            <v>10.1021/jf063427j</v>
          </cell>
          <cell r="L1544" t="str">
            <v>17411066</v>
          </cell>
        </row>
        <row r="1545">
          <cell r="F1545" t="str">
            <v>WYSLAM</v>
          </cell>
          <cell r="G1545" t="str">
            <v/>
          </cell>
          <cell r="H1545" t="str">
            <v/>
          </cell>
          <cell r="I1545" t="str">
            <v/>
          </cell>
          <cell r="J1545" t="str">
            <v>ACE-inhibitory and radical-scavenging activity of peptides derived from beta-lactoglobulin f(19-25). Interactions with ascorbic acid.</v>
          </cell>
          <cell r="K1545" t="str">
            <v>10.1021/jf063427j</v>
          </cell>
          <cell r="L1545" t="str">
            <v>17411066</v>
          </cell>
        </row>
        <row r="1546">
          <cell r="F1546" t="str">
            <v>WYSLAMA</v>
          </cell>
          <cell r="G1546" t="str">
            <v/>
          </cell>
          <cell r="H1546" t="str">
            <v/>
          </cell>
          <cell r="I1546" t="str">
            <v/>
          </cell>
          <cell r="J1546" t="str">
            <v>ACE-inhibitory and radical-scavenging activity of peptides derived from beta-lactoglobulin f(19-25). Interactions with ascorbic acid.</v>
          </cell>
          <cell r="K1546" t="str">
            <v>10.1021/jf063427j</v>
          </cell>
          <cell r="L1546" t="str">
            <v>17411066</v>
          </cell>
        </row>
        <row r="1547">
          <cell r="F1547" t="str">
            <v>YA</v>
          </cell>
          <cell r="G1547" t="str">
            <v/>
          </cell>
          <cell r="H1547" t="str">
            <v/>
          </cell>
          <cell r="I1547" t="str">
            <v/>
          </cell>
          <cell r="J1547" t="str">
            <v>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What are the ideal properties for functional food peptides with antihypertensive effect? A computational peptidology approach.</v>
          </cell>
          <cell r="K1547" t="str">
            <v>10.1002/psc.892; 10.1007/s00894-010-0862-x; 10.1016/j.foodchem.2013.05.140</v>
          </cell>
          <cell r="L1547" t="str">
            <v>17654623 20941517 23871047</v>
          </cell>
        </row>
        <row r="1548">
          <cell r="F1548" t="str">
            <v>YAEERYPIL</v>
          </cell>
          <cell r="G1548" t="str">
            <v/>
          </cell>
          <cell r="H1548" t="str">
            <v/>
          </cell>
          <cell r="I1548" t="str">
            <v/>
          </cell>
          <cell r="J1548" t="str">
            <v>Antioxidant activity of peptides derived from egg white proteins by enzymatic hydrolysis.; Antihypertensive peptides: production, bioavailability and incorporation into foods.; Antihypertensive peptides from food proteins: a review.; A new QSAR model, for angiotensin I-converting enzyme inhibitory oligopeptides.</v>
          </cell>
          <cell r="K1548" t="str">
            <v>10.4315/0362-028x-67.9.1939; 10.1016/j.cis.2010.11.001; 10.1039/c2fo10192k; 10.1016/j.foodchem.2012.09.092</v>
          </cell>
          <cell r="L1548" t="str">
            <v>15453585 21185549 22249830 23194537</v>
          </cell>
        </row>
        <row r="1549">
          <cell r="F1549" t="str">
            <v>YAKPVA</v>
          </cell>
          <cell r="G1549" t="str">
            <v/>
          </cell>
          <cell r="H1549" t="str">
            <v/>
          </cell>
          <cell r="I1549" t="str">
            <v/>
          </cell>
          <cell r="J1549" t="str">
            <v>Changes in arterial blood pressure after single oral administration of milk-casein-derived peptides in spontaneously hypertensive rats.; Antihypertensive peptides: production, bioavailability and incorporation into foods.; Antihypertensive peptides from food proteins: a review.</v>
          </cell>
          <cell r="K1549" t="str">
            <v>10.1002/mnfr.200900448; 10.1016/j.cis.2010.11.001; 10.1039/c2fo10192k</v>
          </cell>
          <cell r="L1549" t="str">
            <v>20397194 21185549 22249830</v>
          </cell>
        </row>
        <row r="1550">
          <cell r="F1550" t="str">
            <v>YALPHA</v>
          </cell>
          <cell r="G1550" t="str">
            <v/>
          </cell>
          <cell r="H1550" t="str">
            <v/>
          </cell>
          <cell r="I1550" t="str">
            <v/>
          </cell>
          <cell r="J1550" t="str">
            <v>Angiotensin I-converting enzyme inhibitors in autolysates of squid liver and mantle muscle.; A new QSAR model, for angiotensin I-converting enzyme inhibitory oligopeptides.</v>
          </cell>
          <cell r="K1550" t="str">
            <v>10.1271/bbb.60.1353; 10.1016/j.foodchem.2012.09.092</v>
          </cell>
          <cell r="L1550" t="str">
            <v>8987556 23194537</v>
          </cell>
        </row>
        <row r="1551">
          <cell r="F1551" t="str">
            <v>YANPAVVRP</v>
          </cell>
          <cell r="G1551" t="str">
            <v/>
          </cell>
          <cell r="H1551" t="str">
            <v/>
          </cell>
          <cell r="I1551" t="str">
            <v/>
          </cell>
          <cell r="J1551" t="str">
            <v>Inhibition of angiotensin-converting enzyme by synthetic peptide fragments of human kappa-casein.; QSAR study on angiotensin-converting enzyme inhibitor oligopeptides based on a novel set of sequence information descriptors.</v>
          </cell>
          <cell r="K1551" t="str">
            <v>10.1007/s00894-010-0862-x</v>
          </cell>
          <cell r="L1551" t="str">
            <v>1368540 20941517</v>
          </cell>
        </row>
        <row r="1552">
          <cell r="F1552" t="str">
            <v>YE</v>
          </cell>
          <cell r="G1552" t="str">
            <v/>
          </cell>
          <cell r="H1552" t="str">
            <v/>
          </cell>
          <cell r="I1552" t="str">
            <v/>
          </cell>
          <cell r="J1552" t="str">
            <v>Structural requirements of Angiotensin I-converting enzyme inhibitory peptides: quantitative structure-activity relationship study of di- and tripeptides.</v>
          </cell>
          <cell r="K1552" t="str">
            <v>10.1021/jf051263l</v>
          </cell>
          <cell r="L1552" t="str">
            <v>16448176</v>
          </cell>
        </row>
        <row r="1553">
          <cell r="F1553" t="str">
            <v>YEAP</v>
          </cell>
          <cell r="G1553" t="str">
            <v/>
          </cell>
          <cell r="H1553" t="str">
            <v/>
          </cell>
          <cell r="I1553" t="str">
            <v/>
          </cell>
          <cell r="J1553" t="str">
            <v>Vegetable foods: a cheap source of proteins and peptides with antihypertensive, antioxidant, and other less occurrence bioactivities.</v>
          </cell>
          <cell r="K1553" t="str">
            <v>10.1016/j.talanta.2012.12.041</v>
          </cell>
          <cell r="L1553" t="str">
            <v>23598136</v>
          </cell>
        </row>
        <row r="1554">
          <cell r="F1554" t="str">
            <v>YEY</v>
          </cell>
          <cell r="G1554" t="str">
            <v/>
          </cell>
          <cell r="H1554" t="str">
            <v/>
          </cell>
          <cell r="I1554" t="str">
            <v/>
          </cell>
          <cell r="J1554" t="str">
            <v>Structural requirements of Angiotensin I-converting enzyme inhibitory peptides: quantitative structure-activity relationship study of di- and tripeptides.</v>
          </cell>
          <cell r="K1554" t="str">
            <v>10.1021/jf051263l</v>
          </cell>
          <cell r="L1554" t="str">
            <v>16448176</v>
          </cell>
        </row>
        <row r="1555">
          <cell r="F1555" t="str">
            <v>YF</v>
          </cell>
          <cell r="G1555" t="str">
            <v/>
          </cell>
          <cell r="H1555" t="str">
            <v/>
          </cell>
          <cell r="I1555" t="str">
            <v/>
          </cell>
          <cell r="J1555" t="str">
            <v>Quantitative structure-activity relationship study of bitter di- and tri-peptides including relationship with angiotensin I-converting enzyme inhibitory activity.</v>
          </cell>
          <cell r="K1555" t="str">
            <v>10.1002/psc.800</v>
          </cell>
          <cell r="L1555" t="str">
            <v>17117396</v>
          </cell>
        </row>
        <row r="1556">
          <cell r="F1556" t="str">
            <v>YFYPEL</v>
          </cell>
          <cell r="G1556" t="str">
            <v/>
          </cell>
          <cell r="H1556" t="str">
            <v/>
          </cell>
          <cell r="I1556" t="str">
            <v/>
          </cell>
          <cell r="J1556" t="str">
            <v/>
          </cell>
          <cell r="K1556" t="str">
            <v/>
          </cell>
          <cell r="L1556" t="str">
            <v/>
          </cell>
        </row>
        <row r="1557">
          <cell r="F1557" t="str">
            <v>YG</v>
          </cell>
          <cell r="G1557" t="str">
            <v/>
          </cell>
          <cell r="H1557" t="str">
            <v/>
          </cell>
          <cell r="I1557" t="str">
            <v/>
          </cell>
          <cell r="J1557" t="str">
            <v>Synthetic peptides corresponding to alpha-lactalbumin and beta-lactoglobulin sequences with angiotensin-I-converting enzyme inhibitory activity.;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Bioactive peptides in amaranth (Amaranthus hypochondriacus) seed.; Use of beta-cyclodextrin to decrease the level of cholesterol in milk fat.;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1557" t="str">
            <v>10.1515/bchm3.1996.377.4.259; 10.1021/jf051263l; 10.1002/psc.800; 10.1002/psc.892; 10.1021/jf072911z; 10.3168/jds.2008-1452; 10.1016/j.jprot.2013.06.023; 10.1016/j.foodchem.2013.05.140</v>
          </cell>
          <cell r="L1557" t="str">
            <v>8737991 16448176 17117396 17654623 18211015 19233779 23806758 23871047</v>
          </cell>
        </row>
        <row r="1558">
          <cell r="F1558" t="str">
            <v>YGAP</v>
          </cell>
          <cell r="G1558" t="str">
            <v/>
          </cell>
          <cell r="H1558" t="str">
            <v/>
          </cell>
          <cell r="I1558" t="str">
            <v/>
          </cell>
          <cell r="J1558" t="str">
            <v>Rational design of angiotensin-I-converting enzyme inhibitory peptides by integrating in silico modeling and an in vitro assay.</v>
          </cell>
          <cell r="K1558" t="str">
            <v>10.1002/cmdc.201300132</v>
          </cell>
          <cell r="L1558" t="str">
            <v>23740817</v>
          </cell>
        </row>
        <row r="1559">
          <cell r="F1559" t="str">
            <v>YGFLP</v>
          </cell>
          <cell r="G1559" t="str">
            <v/>
          </cell>
          <cell r="H1559" t="str">
            <v/>
          </cell>
          <cell r="I1559" t="str">
            <v/>
          </cell>
          <cell r="J1559" t="str">
            <v>A new QSAR model, for angiotensin I-converting enzyme inhibitory oligopeptides.</v>
          </cell>
          <cell r="K1559" t="str">
            <v>10.1016/j.foodchem.2012.09.092</v>
          </cell>
          <cell r="L1559" t="str">
            <v>23194537</v>
          </cell>
        </row>
        <row r="1560">
          <cell r="F1560" t="str">
            <v>YGFLPILP</v>
          </cell>
          <cell r="G1560" t="str">
            <v/>
          </cell>
          <cell r="H1560" t="str">
            <v/>
          </cell>
          <cell r="I1560" t="str">
            <v/>
          </cell>
          <cell r="J1560" t="str">
            <v>Inhibition of angiotensin-converting enzyme by synthetic peptide fragments of various beta-caseins.</v>
          </cell>
          <cell r="K1560" t="str">
            <v/>
          </cell>
          <cell r="L1560" t="str">
            <v>1368548</v>
          </cell>
        </row>
        <row r="1561">
          <cell r="F1561" t="str">
            <v>YGG</v>
          </cell>
          <cell r="G1561" t="str">
            <v/>
          </cell>
          <cell r="H1561" t="str">
            <v/>
          </cell>
          <cell r="I1561" t="str">
            <v/>
          </cell>
          <cell r="J1561" t="str">
            <v>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561" t="str">
            <v>10.1021/jf051263l; 10.1002/psc.800; 10.1007/s00894-010-0862-x; 10.1016/j.foodchem.2013.05.140</v>
          </cell>
          <cell r="L1561" t="str">
            <v>16448176 17117396 20941517 23871047</v>
          </cell>
        </row>
        <row r="1562">
          <cell r="F1562" t="str">
            <v>YGGVSLPEW</v>
          </cell>
          <cell r="G1562" t="str">
            <v/>
          </cell>
          <cell r="H1562" t="str">
            <v/>
          </cell>
          <cell r="I1562" t="str">
            <v/>
          </cell>
          <cell r="J1562" t="str">
            <v/>
          </cell>
          <cell r="K1562" t="str">
            <v/>
          </cell>
          <cell r="L1562" t="str">
            <v/>
          </cell>
        </row>
        <row r="1563">
          <cell r="F1563" t="str">
            <v>YGGY</v>
          </cell>
          <cell r="G1563" t="str">
            <v/>
          </cell>
          <cell r="H1563" t="str">
            <v/>
          </cell>
          <cell r="I1563" t="str">
            <v/>
          </cell>
          <cell r="J1563" t="str">
            <v>Structure and activity of angiotensin I converting enzyme inhibitory peptides from sake and sake lees.; Bioactive peptides in amaranth (Amaranthus hypochondriacus) seed.; Vegetable foods: a cheap source of proteins and peptides with antihypertensive, antioxidant, and other less occurrence bioactivities.; What are the ideal properties for functional food peptides with antihypertensive effect? A computational peptidology approach.</v>
          </cell>
          <cell r="K1563" t="str">
            <v>10.1271/bbb.58.1767; 10.1021/jf072911z; 10.1016/j.talanta.2012.12.041; 10.1016/j.foodchem.2013.05.140</v>
          </cell>
          <cell r="L1563" t="str">
            <v>7765503 18211015 23598136 23871047</v>
          </cell>
        </row>
        <row r="1564">
          <cell r="F1564" t="str">
            <v>YGL</v>
          </cell>
          <cell r="G1564" t="str">
            <v/>
          </cell>
          <cell r="H1564" t="str">
            <v/>
          </cell>
          <cell r="I1564" t="str">
            <v/>
          </cell>
          <cell r="J1564" t="str">
            <v>Angiotensin I-converting enzyme inhibitory properties of whey protein digests: concentration and characterization of active peptides.; Structural requirements of Angiotensin I-converting enzyme inhibitory peptides: quantitative structure-activity relationship study of di- and tripeptides.</v>
          </cell>
          <cell r="K1564" t="str">
            <v>10.1017/s0022029999003982; 10.1021/jf051263l</v>
          </cell>
          <cell r="L1564" t="str">
            <v>10717843 16448176</v>
          </cell>
        </row>
        <row r="1565">
          <cell r="F1565" t="str">
            <v>YGLF</v>
          </cell>
          <cell r="G1565" t="str">
            <v/>
          </cell>
          <cell r="H1565" t="str">
            <v/>
          </cell>
          <cell r="I1565" t="str">
            <v/>
          </cell>
          <cell r="J1565" t="str">
            <v>Lactokinins: whey protein-derived ACE inhibitory peptides.; Milk peptides and blood pressure.; Use of beta-cyclodextrin to decrease the level of cholesterol in milk fat.; Antihypertensive peptides: production, bioavailability and incorporation into foods.; Bioactive peptides derived from milk proteins and their health beneficial potentials: an update.; Antihypertensive peptides from food proteins: a review.; What are the ideal properties for functional food peptides with antihypertensive effect? A computational peptidology approach.</v>
          </cell>
          <cell r="K1565" t="str">
            <v>10.1002/(SICI)1521-3803(19990601)43:3&lt;165::AID-FOOD165&gt;3.0.CO;2-2; 10.1093/jn/137.3.825S; 10.3168/jds.2008-1452; 10.1016/j.cis.2010.11.001; 10.1039/c0fo00016g; 10.1039/c2fo10192k; 10.1016/j.foodchem.2013.05.140</v>
          </cell>
          <cell r="L1565" t="str">
            <v>10399349 17311982 19233779 21185549 21773582 22249830 23871047</v>
          </cell>
        </row>
        <row r="1566">
          <cell r="F1566" t="str">
            <v>YGLVAGTW</v>
          </cell>
          <cell r="G1566" t="str">
            <v/>
          </cell>
          <cell r="H1566" t="str">
            <v/>
          </cell>
          <cell r="I1566" t="str">
            <v/>
          </cell>
          <cell r="J1566" t="str">
            <v>Angiotensin I-converting enzyme inhibitory properties of whey protein digests: concentration and characterization of active peptides.</v>
          </cell>
          <cell r="K1566" t="str">
            <v>10.1017/s0022029999003982</v>
          </cell>
          <cell r="L1566" t="str">
            <v>10717843</v>
          </cell>
        </row>
        <row r="1567">
          <cell r="F1567" t="str">
            <v>YGLYP</v>
          </cell>
          <cell r="G1567" t="str">
            <v/>
          </cell>
          <cell r="H1567" t="str">
            <v/>
          </cell>
          <cell r="I1567" t="str">
            <v/>
          </cell>
          <cell r="J1567" t="str">
            <v>A new QSAR model, for angiotensin I-converting enzyme inhibitory oligopeptides.</v>
          </cell>
          <cell r="K1567" t="str">
            <v>10.1016/j.foodchem.2012.09.092</v>
          </cell>
          <cell r="L1567" t="str">
            <v>23194537</v>
          </cell>
        </row>
        <row r="1568">
          <cell r="F1568" t="str">
            <v>YGY</v>
          </cell>
          <cell r="G1568" t="str">
            <v/>
          </cell>
          <cell r="H1568" t="str">
            <v/>
          </cell>
          <cell r="I1568" t="str">
            <v/>
          </cell>
          <cell r="J1568"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568" t="str">
            <v>10.1002/psc.800; 10.1007/s00894-010-0862-x; 10.1016/j.foodchem.2013.05.140</v>
          </cell>
          <cell r="L1568" t="str">
            <v>17117396 20941517 23871047</v>
          </cell>
        </row>
        <row r="1569">
          <cell r="F1569" t="str">
            <v>YH</v>
          </cell>
          <cell r="G1569" t="str">
            <v/>
          </cell>
          <cell r="H1569" t="str">
            <v/>
          </cell>
          <cell r="I1569" t="str">
            <v/>
          </cell>
          <cell r="J1569" t="str">
            <v>Antihypertensive effects of Undaria pinnatifida (wakame) peptide on blood pressure in spontaneously hypertensive rats.; Structural requirements of Angiotensin I-converting enzyme inhibitory peptides: quantitative structure-activity relationship study of di- and tripeptides.; Antihypertensive peptides from food proteins: a review.;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1569" t="str">
            <v>10.1016/j.jnutbio.2003.11.004; 10.1021/jf051263l; 10.1039/c2fo10192k; 10.1016/j.talanta.2012.12.041; 10.1016/j.foodchem.2013.05.140; 10.1080/10408398.2012.664829</v>
          </cell>
          <cell r="L1569" t="str">
            <v>15135150 16448176 22249830 23598136 23871047 24915368</v>
          </cell>
        </row>
        <row r="1570">
          <cell r="F1570" t="str">
            <v>YIHPF</v>
          </cell>
          <cell r="G1570" t="str">
            <v/>
          </cell>
          <cell r="H1570" t="str">
            <v/>
          </cell>
          <cell r="I1570" t="str">
            <v/>
          </cell>
          <cell r="J1570" t="str">
            <v>Angiotensin II and its heptapeptide (2-8), hexapeptide (3-8), and pentapeptide (4-8) metabolites in arterial and venous blood of man.</v>
          </cell>
          <cell r="K1570" t="str">
            <v>10.1161/01.res.39.5.671</v>
          </cell>
          <cell r="L1570" t="str">
            <v>975455</v>
          </cell>
        </row>
        <row r="1571">
          <cell r="F1571" t="str">
            <v>YIPIQY</v>
          </cell>
          <cell r="G1571" t="str">
            <v/>
          </cell>
          <cell r="H1571" t="str">
            <v/>
          </cell>
          <cell r="I1571" t="str">
            <v/>
          </cell>
          <cell r="J1571" t="str">
            <v>Identification of novel angiotensin-converting enzyme-inhibitory peptides from ovine milk proteins by CE-MS and chromatographic techniques.; A new QSAR model, for angiotensin I-converting enzyme inhibitory oligopeptides.; Isolation and characterization of peptides with antihypertensive activity in foodstuffs.</v>
          </cell>
          <cell r="K1571" t="str">
            <v>10.1002/elps.200700324; 10.1016/j.foodchem.2012.09.092; 10.1080/10408398.2012.664829</v>
          </cell>
          <cell r="L1571" t="str">
            <v>17948260 23194537 24915368</v>
          </cell>
        </row>
        <row r="1572">
          <cell r="F1572" t="str">
            <v>YIPIQYVL</v>
          </cell>
          <cell r="G1572" t="str">
            <v/>
          </cell>
          <cell r="H1572" t="str">
            <v/>
          </cell>
          <cell r="I1572" t="str">
            <v/>
          </cell>
          <cell r="J1572" t="str">
            <v/>
          </cell>
          <cell r="K1572" t="str">
            <v/>
          </cell>
          <cell r="L1572" t="str">
            <v/>
          </cell>
        </row>
        <row r="1573">
          <cell r="F1573" t="str">
            <v>YIPIQYVLSR</v>
          </cell>
          <cell r="G1573" t="str">
            <v/>
          </cell>
          <cell r="H1573" t="str">
            <v/>
          </cell>
          <cell r="I1573" t="str">
            <v/>
          </cell>
          <cell r="J1573" t="str">
            <v>Rheological, sensorial, and chemopreventive properties of milk fermented with exopolysaccharide-producing lactic cultures.; A new QSAR model, for angiotensin I-converting enzyme inhibitory oligopeptides.</v>
          </cell>
          <cell r="K1573" t="str">
            <v>10.3168/jds.2008-1256; 10.1016/j.foodchem.2012.09.092</v>
          </cell>
          <cell r="L1573" t="str">
            <v>19233777 23194537</v>
          </cell>
        </row>
        <row r="1574">
          <cell r="F1574" t="str">
            <v>YK</v>
          </cell>
          <cell r="G1574" t="str">
            <v/>
          </cell>
          <cell r="H1574" t="str">
            <v/>
          </cell>
          <cell r="I1574" t="str">
            <v/>
          </cell>
          <cell r="J1574" t="str">
            <v>Peptides with angiotensin I converting enzyme (ACE) inhibitory activity generated from porcine skeletal muscle proteins by the action of meat-borne Lactobacillus.</v>
          </cell>
          <cell r="K1574" t="str">
            <v>10.1016/j.jprot.2013.06.023</v>
          </cell>
          <cell r="L1574" t="str">
            <v>23806758</v>
          </cell>
        </row>
        <row r="1575">
          <cell r="F1575" t="str">
            <v>YKVPQL</v>
          </cell>
          <cell r="G1575" t="str">
            <v/>
          </cell>
          <cell r="H1575" t="str">
            <v/>
          </cell>
          <cell r="I1575" t="str">
            <v/>
          </cell>
          <cell r="J1575" t="str">
            <v>Identification of an antihypertensive peptide from casein hydrolysate produced by a proteinase from Lactobacillus helveticus CP790.; Bioactive peptides derived from milk proteins and their health beneficial potentials: an update.; Antihypertensive peptides from food proteins: a review.; A new QSAR model, for angiotensin I-converting enzyme inhibitory oligopeptides.</v>
          </cell>
          <cell r="K1575" t="str">
            <v>10.3168/jds.S0022-0302(96)76487-1; 10.1039/c0fo00016g; 10.1039/c2fo10192k; 10.1016/j.foodchem.2012.09.092</v>
          </cell>
          <cell r="L1575" t="str">
            <v>8880454 21773582 22249830 23194537</v>
          </cell>
        </row>
        <row r="1576">
          <cell r="F1576" t="str">
            <v>YKW</v>
          </cell>
          <cell r="G1576" t="str">
            <v/>
          </cell>
          <cell r="H1576" t="str">
            <v/>
          </cell>
          <cell r="I1576" t="str">
            <v/>
          </cell>
          <cell r="J1576" t="str">
            <v>Inhibition strength of short peptides derived from an ACE inhibitory peptide.</v>
          </cell>
          <cell r="K1576" t="str">
            <v>10.1021/jf202902r</v>
          </cell>
          <cell r="L1576" t="str">
            <v>21923188</v>
          </cell>
        </row>
        <row r="1577">
          <cell r="F1577" t="str">
            <v>YKWL</v>
          </cell>
          <cell r="G1577" t="str">
            <v/>
          </cell>
          <cell r="H1577" t="str">
            <v/>
          </cell>
          <cell r="I1577" t="str">
            <v/>
          </cell>
          <cell r="J1577" t="str">
            <v>Inhibition strength of short peptides derived from an ACE inhibitory peptide.</v>
          </cell>
          <cell r="K1577" t="str">
            <v>10.1021/jf202902r</v>
          </cell>
          <cell r="L1577" t="str">
            <v>21923188</v>
          </cell>
        </row>
        <row r="1578">
          <cell r="F1578" t="str">
            <v>YKY</v>
          </cell>
          <cell r="G1578" t="str">
            <v/>
          </cell>
          <cell r="H1578" t="str">
            <v/>
          </cell>
          <cell r="I1578" t="str">
            <v/>
          </cell>
          <cell r="J1578" t="str">
            <v/>
          </cell>
          <cell r="K1578" t="str">
            <v/>
          </cell>
          <cell r="L1578" t="str">
            <v/>
          </cell>
        </row>
        <row r="1579">
          <cell r="F1579" t="str">
            <v>YKYY</v>
          </cell>
          <cell r="G1579" t="str">
            <v/>
          </cell>
          <cell r="H1579" t="str">
            <v/>
          </cell>
          <cell r="I1579" t="str">
            <v/>
          </cell>
          <cell r="J1579" t="str">
            <v>Identification of an antihypertensive peptide from peptic digest of wakame (Undaria pinnatifida).;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1579" t="str">
            <v>10.1016/s0955-2863(00)00110-8; 10.1007/s12010-012-0024-y; 10.1016/j.talanta.2012.12.041; 10.1016/j.foodchem.2013.05.140; 10.1080/10408398.2012.664829</v>
          </cell>
          <cell r="L1579" t="str">
            <v>11091100 23271625 23598136 23871047 24915368</v>
          </cell>
        </row>
        <row r="1580">
          <cell r="F1580" t="str">
            <v>YL</v>
          </cell>
          <cell r="G1580" t="str">
            <v/>
          </cell>
          <cell r="H1580" t="str">
            <v/>
          </cell>
          <cell r="I1580" t="str">
            <v/>
          </cell>
          <cell r="J1580" t="str">
            <v>Synthetic peptides corresponding to alpha-lactalbumin and beta-lactoglobulin sequences with angiotensin-I-converting enzyme inhibitory activity.;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Bioactive peptides in amaranth (Amaranthus hypochondriacus) seed.; Quality and acceptability of a set-type yogurt made from camel milk.; Review on the angiotensin-I-converting enzyme (ACE) inhibitor peptides from marine proteins.;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ell>
          <cell r="K1580" t="str">
            <v>10.1515/bchm3.1996.377.4.259; 10.1021/jf051263l; 10.1002/psc.892; 10.1021/jf072911z; 10.3168/jds.2008-1408; 10.1007/s12010-012-0024-y; 10.1016/j.jprot.2013.06.023; 10.1016/j.foodchem.2013.05.140</v>
          </cell>
          <cell r="L1580" t="str">
            <v>8737991 16448176 17654623 18211015 19233778 23271625 23806758 23871047</v>
          </cell>
        </row>
        <row r="1581">
          <cell r="F1581" t="str">
            <v>YLAGNQ</v>
          </cell>
          <cell r="G1581" t="str">
            <v/>
          </cell>
          <cell r="H1581" t="str">
            <v/>
          </cell>
          <cell r="I1581" t="str">
            <v/>
          </cell>
          <cell r="J1581" t="str">
            <v>A new QSAR model, for angiotensin I-converting enzyme inhibitory oligopeptides.; Vegetable foods: a cheap source of proteins and peptides with antihypertensive, antioxidant, and other less occurrence bioactivities.; Rational design of angiotensin-I-converting enzyme inhibitory peptides by integrating in silico modeling and an in vitro assay.; Isolation and characterization of peptides with antihypertensive activity in foodstuffs.</v>
          </cell>
          <cell r="K1581" t="str">
            <v>10.1016/j.foodchem.2012.09.092; 10.1016/j.talanta.2012.12.041; 10.1002/cmdc.201300132; 10.1080/10408398.2012.664829</v>
          </cell>
          <cell r="L1581" t="str">
            <v>23194537 23598136 23740817 24915368</v>
          </cell>
        </row>
        <row r="1582">
          <cell r="F1582" t="str">
            <v>YLAHK</v>
          </cell>
          <cell r="G1582" t="str">
            <v/>
          </cell>
          <cell r="H1582" t="str">
            <v/>
          </cell>
          <cell r="I1582" t="str">
            <v/>
          </cell>
          <cell r="J1582" t="str">
            <v/>
          </cell>
          <cell r="K1582" t="str">
            <v/>
          </cell>
          <cell r="L1582" t="str">
            <v/>
          </cell>
        </row>
        <row r="1583">
          <cell r="F1583" t="str">
            <v>YLEPA</v>
          </cell>
          <cell r="G1583" t="str">
            <v/>
          </cell>
          <cell r="H1583" t="str">
            <v/>
          </cell>
          <cell r="I1583" t="str">
            <v/>
          </cell>
          <cell r="J1583" t="str">
            <v>Isolation from alpha-zein of thermolysin peptides with angiotensin I-converting enzyme inhibitory activity.</v>
          </cell>
          <cell r="K1583" t="str">
            <v>10.1271/bbb.60.661</v>
          </cell>
          <cell r="L1583" t="str">
            <v>8829536</v>
          </cell>
        </row>
        <row r="1584">
          <cell r="F1584" t="str">
            <v>YLLF</v>
          </cell>
          <cell r="G1584" t="str">
            <v/>
          </cell>
          <cell r="H1584" t="str">
            <v/>
          </cell>
          <cell r="I1584" t="str">
            <v/>
          </cell>
          <cell r="J1584" t="str">
            <v>Synthetic peptides corresponding to alpha-lactalbumin and beta-lactoglobulin sequences with angiotensin-I-converting enzyme inhibitory activity.; Analysis of novel angiotensin-I-converting enzyme inhibitory peptides from protease-hydrolyzed marine shrimp Acetes chinensis.; Quality and acceptability of a set-type yogurt made from camel milk.; Bioactive peptides derived from milk proteins and their health beneficial potentials: an update.</v>
          </cell>
          <cell r="K1584" t="str">
            <v>10.1515/bchm3.1996.377.4.259; 10.1002/psc.789; 10.3168/jds.2008-1408; 10.1039/c0fo00016g</v>
          </cell>
          <cell r="L1584" t="str">
            <v>8737991 16981241 19233778 21773582</v>
          </cell>
        </row>
        <row r="1585">
          <cell r="F1585" t="str">
            <v>YLYEIA</v>
          </cell>
          <cell r="G1585" t="str">
            <v/>
          </cell>
          <cell r="H1585" t="str">
            <v/>
          </cell>
          <cell r="I1585" t="str">
            <v/>
          </cell>
          <cell r="J1585" t="str">
            <v>A new QSAR model, for angiotensin I-converting enzyme inhibitory oligopeptides.</v>
          </cell>
          <cell r="K1585" t="str">
            <v>10.1016/j.foodchem.2012.09.092</v>
          </cell>
          <cell r="L1585" t="str">
            <v>23194537</v>
          </cell>
        </row>
        <row r="1586">
          <cell r="F1586" t="str">
            <v>YLYEIAR</v>
          </cell>
          <cell r="G1586" t="str">
            <v/>
          </cell>
          <cell r="H1586" t="str">
            <v/>
          </cell>
          <cell r="I1586" t="str">
            <v/>
          </cell>
          <cell r="J1586" t="str">
            <v>A new QSAR model, for angiotensin I-converting enzyme inhibitory oligopeptides.</v>
          </cell>
          <cell r="K1586" t="str">
            <v>10.1016/j.foodchem.2012.09.092</v>
          </cell>
          <cell r="L1586" t="str">
            <v>23194537</v>
          </cell>
        </row>
        <row r="1587">
          <cell r="F1587" t="str">
            <v>YLYEIARR</v>
          </cell>
          <cell r="G1587" t="str">
            <v/>
          </cell>
          <cell r="H1587" t="str">
            <v/>
          </cell>
          <cell r="I1587" t="str">
            <v/>
          </cell>
          <cell r="J1587" t="str">
            <v>A new QSAR model, for angiotensin I-converting enzyme inhibitory oligopeptides.</v>
          </cell>
          <cell r="K1587" t="str">
            <v>10.1016/j.foodchem.2012.09.092</v>
          </cell>
          <cell r="L1587" t="str">
            <v>23194537</v>
          </cell>
        </row>
        <row r="1588">
          <cell r="F1588" t="str">
            <v>YN</v>
          </cell>
          <cell r="G1588" t="str">
            <v/>
          </cell>
          <cell r="H1588" t="str">
            <v/>
          </cell>
          <cell r="I1588" t="str">
            <v/>
          </cell>
          <cell r="J1588" t="str">
            <v>Review on the angiotensin-I-converting enzyme (ACE) inhibitor peptides from marine proteins.; What are the ideal properties for functional food peptides with antihypertensive effect? A computational peptidology approach.</v>
          </cell>
          <cell r="K1588" t="str">
            <v>10.1007/s12010-012-0024-y; 10.1016/j.foodchem.2013.05.140</v>
          </cell>
          <cell r="L1588" t="str">
            <v>23271625 23871047</v>
          </cell>
        </row>
        <row r="1589">
          <cell r="F1589" t="str">
            <v>YNK</v>
          </cell>
          <cell r="G1589" t="str">
            <v/>
          </cell>
          <cell r="H1589" t="str">
            <v/>
          </cell>
          <cell r="I1589" t="str">
            <v/>
          </cell>
          <cell r="J1589" t="str">
            <v/>
          </cell>
          <cell r="K1589" t="str">
            <v/>
          </cell>
          <cell r="L1589" t="str">
            <v/>
          </cell>
        </row>
        <row r="1590">
          <cell r="F1590" t="str">
            <v>YNKL</v>
          </cell>
          <cell r="G1590" t="str">
            <v/>
          </cell>
          <cell r="H1590" t="str">
            <v/>
          </cell>
          <cell r="I1590" t="str">
            <v/>
          </cell>
          <cell r="J1590" t="str">
            <v>Identification of an antihypertensive peptide from peptic digest of wakame (Undaria pinnatifida).;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ell>
          <cell r="K1590" t="str">
            <v>10.1016/s0955-2863(00)00110-8; 10.1007/s12010-012-0024-y; 10.1016/j.talanta.2012.12.041; 10.1016/j.foodchem.2013.05.140; 10.1080/10408398.2012.664829</v>
          </cell>
          <cell r="L1590" t="str">
            <v>11091100 23271625 23598136 23871047 24915368</v>
          </cell>
        </row>
        <row r="1591">
          <cell r="F1591" t="str">
            <v>YP</v>
          </cell>
          <cell r="G1591" t="str">
            <v/>
          </cell>
          <cell r="H1591" t="str">
            <v/>
          </cell>
          <cell r="I1591" t="str">
            <v/>
          </cell>
          <cell r="J1591" t="str">
            <v>Structural requirements of Angiotensin I-converting enzyme inhibitory peptides: quantitative structure-activity relationship study of di- and tripeptides.; Bioactive peptides in amaranth (Amaranthus hypochondriacus) seed.; Rheological, sensorial, and chemopreventive properties of milk fermented with exopolysaccharide-producing lactic cultures.; Antihypertensive peptides: production, bioavailability and incorporation into foods.; Antihypertensive peptides from food proteins: a review.; Peptides with angiotensin I converting enzyme (ACE) inhibitory activity generated from porcine skeletal muscle proteins by the action of meat-borne Lactobacillus.; Isolation and characterization of peptides with antihypertensive activity in foodstuffs.</v>
          </cell>
          <cell r="K1591" t="str">
            <v>10.1021/jf051263l; 10.1021/jf072911z; 10.3168/jds.2008-1256; 10.1016/j.cis.2010.11.001; 10.1039/c2fo10192k; 10.1016/j.jprot.2013.06.023; 10.1080/10408398.2012.664829</v>
          </cell>
          <cell r="L1591" t="str">
            <v>16448176 18211015 19233777 21185549 22249830 23806758 24915368</v>
          </cell>
        </row>
        <row r="1592">
          <cell r="F1592" t="str">
            <v>YPER</v>
          </cell>
          <cell r="G1592" t="str">
            <v/>
          </cell>
          <cell r="H1592" t="str">
            <v/>
          </cell>
          <cell r="I1592" t="str">
            <v/>
          </cell>
          <cell r="J1592" t="str">
            <v>What are the ideal properties for functional food peptides with antihypertensive effect? A computational peptidology approach.</v>
          </cell>
          <cell r="K1592" t="str">
            <v>10.1016/j.foodchem.2013.05.140</v>
          </cell>
          <cell r="L1592" t="str">
            <v>23871047</v>
          </cell>
        </row>
        <row r="1593">
          <cell r="F1593" t="str">
            <v>YPF</v>
          </cell>
          <cell r="G1593" t="str">
            <v/>
          </cell>
          <cell r="H1593" t="str">
            <v/>
          </cell>
          <cell r="I1593" t="str">
            <v/>
          </cell>
          <cell r="J1593" t="str">
            <v>Angiotensin-converting enzyme inhibitory activity of peptides derived from caprine kefir.; 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593" t="str">
            <v>10.3168/jds.S0022-0302(05)73032-0; 10.1002/psc.800; 10.1007/s00894-010-0862-x; 10.1016/j.foodchem.2013.05.140</v>
          </cell>
          <cell r="L1593" t="str">
            <v>16162521 17117396 20941517 23871047</v>
          </cell>
        </row>
        <row r="1594">
          <cell r="F1594" t="str">
            <v>YPFGPIPN</v>
          </cell>
          <cell r="G1594" t="str">
            <v/>
          </cell>
          <cell r="H1594" t="str">
            <v/>
          </cell>
          <cell r="I1594" t="str">
            <v/>
          </cell>
          <cell r="J1594" t="str">
            <v/>
          </cell>
          <cell r="K1594" t="str">
            <v/>
          </cell>
          <cell r="L1594" t="str">
            <v/>
          </cell>
        </row>
        <row r="1595">
          <cell r="F1595" t="str">
            <v>YPFPGPI</v>
          </cell>
          <cell r="G1595" t="str">
            <v/>
          </cell>
          <cell r="H1595" t="str">
            <v/>
          </cell>
          <cell r="I1595" t="str">
            <v/>
          </cell>
          <cell r="J1595" t="str">
            <v>Evaluation of the allergenicity of goat milk, cow milk, and their lactosera in a guinea pig model.; Bioactive peptides derived from milk proteins and their health beneficial potentials: an update.; A new QSAR model, for angiotensin I-converting enzyme inhibitory oligopeptides.</v>
          </cell>
          <cell r="K1595" t="str">
            <v>10.3168/jds.2008-1125; 10.1039/c0fo00016g; 10.1016/j.foodchem.2012.09.092</v>
          </cell>
          <cell r="L1595" t="str">
            <v>19233776 21773582 23194537</v>
          </cell>
        </row>
        <row r="1596">
          <cell r="F1596" t="str">
            <v>YPFPGPIN</v>
          </cell>
          <cell r="G1596" t="str">
            <v/>
          </cell>
          <cell r="H1596" t="str">
            <v/>
          </cell>
          <cell r="I1596" t="str">
            <v/>
          </cell>
          <cell r="J1596" t="str">
            <v/>
          </cell>
          <cell r="K1596" t="str">
            <v/>
          </cell>
          <cell r="L1596" t="str">
            <v/>
          </cell>
        </row>
        <row r="1597">
          <cell r="F1597" t="str">
            <v>YPFPGPIP</v>
          </cell>
          <cell r="G1597" t="str">
            <v/>
          </cell>
          <cell r="H1597" t="str">
            <v/>
          </cell>
          <cell r="I1597" t="str">
            <v/>
          </cell>
          <cell r="J1597" t="str">
            <v>A new QSAR model, for angiotensin I-converting enzyme inhibitory oligopeptides.</v>
          </cell>
          <cell r="K1597" t="str">
            <v>10.1016/j.foodchem.2012.09.092</v>
          </cell>
          <cell r="L1597" t="str">
            <v>23194537</v>
          </cell>
        </row>
        <row r="1598">
          <cell r="F1598" t="str">
            <v>YPFPGPIPN</v>
          </cell>
          <cell r="G1598" t="str">
            <v/>
          </cell>
          <cell r="H1598" t="str">
            <v/>
          </cell>
          <cell r="I1598" t="str">
            <v/>
          </cell>
          <cell r="J1598" t="str">
            <v>Isolation and structural analysis of antihypertensive peptides that exist naturally in Gouda cheese.; Identification of angiotensin-I-converting enzyme inhibitory peptides derived from sodium caseinate hydrolysates produced by Lactobacillus helveticus NCC 2765.; QSAR study on angiotensin-converting enzyme inhibitor oligopeptides based on a novel set of sequence information descriptors.; Antihypertensive peptides: production, bioavailability and incorporation into foods.; Antihypertensive peptides from food proteins: a review.; A new QSAR model, for angiotensin I-converting enzyme inhibitory oligopeptides.; Isolation and characterization of peptides with antihypertensive activity in foodstuffs.</v>
          </cell>
          <cell r="K1598" t="str">
            <v>10.3168/jds.S0022-0302(00)75013-2; 10.1021/jf049510t; 10.1007/s00894-010-0862-x; 10.1016/j.cis.2010.11.001; 10.1039/c2fo10192k; 10.1016/j.foodchem.2012.09.092; 10.1080/10408398.2012.664829</v>
          </cell>
          <cell r="L1598" t="str">
            <v>10908049 15537298 20941517 21185549 22249830 23194537 24915368</v>
          </cell>
        </row>
        <row r="1599">
          <cell r="F1599" t="str">
            <v>YPFPGPIPNSL</v>
          </cell>
          <cell r="G1599" t="str">
            <v/>
          </cell>
          <cell r="H1599" t="str">
            <v/>
          </cell>
          <cell r="I1599" t="str">
            <v/>
          </cell>
          <cell r="J1599" t="str">
            <v/>
          </cell>
          <cell r="K1599" t="str">
            <v/>
          </cell>
          <cell r="L1599" t="str">
            <v/>
          </cell>
        </row>
        <row r="1600">
          <cell r="F1600" t="str">
            <v>YPGIA</v>
          </cell>
          <cell r="G1600" t="str">
            <v/>
          </cell>
          <cell r="H1600" t="str">
            <v/>
          </cell>
          <cell r="I1600" t="str">
            <v/>
          </cell>
          <cell r="J1600" t="str">
            <v>Isolation and characterization of peptides with antihypertensive activity in foodstuffs.</v>
          </cell>
          <cell r="K1600" t="str">
            <v>10.1080/10408398.2012.664829</v>
          </cell>
          <cell r="L1600" t="str">
            <v>24915368</v>
          </cell>
        </row>
        <row r="1601">
          <cell r="F1601" t="str">
            <v>YPI</v>
          </cell>
          <cell r="G1601" t="str">
            <v/>
          </cell>
          <cell r="H1601" t="str">
            <v/>
          </cell>
          <cell r="I1601" t="str">
            <v/>
          </cell>
          <cell r="J1601" t="str">
            <v/>
          </cell>
          <cell r="K1601" t="str">
            <v/>
          </cell>
          <cell r="L1601" t="str">
            <v/>
          </cell>
        </row>
        <row r="1602">
          <cell r="F1602" t="str">
            <v>YPK</v>
          </cell>
          <cell r="G1602" t="str">
            <v>broccoli|Plant protein</v>
          </cell>
          <cell r="H1602" t="str">
            <v/>
          </cell>
          <cell r="I1602" t="str">
            <v/>
          </cell>
          <cell r="J1602" t="str">
            <v>Plant food-derived Angiotensin I converting enzyme inhibitory peptides.; Vegetable foods: a cheap source of proteins and peptides with antihypertensive, antioxidant, and other less occurrence bioactivities.</v>
          </cell>
          <cell r="K1602" t="str">
            <v>10.1021/jf900494d; 10.1016/j.talanta.2012.12.041</v>
          </cell>
          <cell r="L1602" t="str">
            <v>19449887 23598136</v>
          </cell>
        </row>
        <row r="1603">
          <cell r="F1603" t="str">
            <v>YPLDL</v>
          </cell>
          <cell r="G1603" t="str">
            <v/>
          </cell>
          <cell r="H1603" t="str">
            <v/>
          </cell>
          <cell r="I1603" t="str">
            <v/>
          </cell>
          <cell r="J1603" t="str">
            <v>A new QSAR model, for angiotensin I-converting enzyme inhibitory oligopeptides.</v>
          </cell>
          <cell r="K1603" t="str">
            <v>10.1016/j.foodchem.2012.09.092</v>
          </cell>
          <cell r="L1603" t="str">
            <v>23194537</v>
          </cell>
        </row>
        <row r="1604">
          <cell r="F1604" t="str">
            <v>YPLDLF</v>
          </cell>
          <cell r="G1604" t="str">
            <v/>
          </cell>
          <cell r="H1604" t="str">
            <v/>
          </cell>
          <cell r="I1604" t="str">
            <v/>
          </cell>
          <cell r="J1604" t="str">
            <v>A new QSAR model, for angiotensin I-converting enzyme inhibitory oligopeptides.</v>
          </cell>
          <cell r="K1604" t="str">
            <v>10.1016/j.foodchem.2012.09.092</v>
          </cell>
          <cell r="L1604" t="str">
            <v>23194537</v>
          </cell>
        </row>
        <row r="1605">
          <cell r="F1605" t="str">
            <v>YPQRDMPIQ</v>
          </cell>
          <cell r="G1605" t="str">
            <v/>
          </cell>
          <cell r="H1605" t="str">
            <v/>
          </cell>
          <cell r="I1605" t="str">
            <v/>
          </cell>
          <cell r="J1605" t="str">
            <v>Putting microbes to work: dairy fermentation, cell factories and bioactive peptides. Part I: overview.</v>
          </cell>
          <cell r="K1605" t="str">
            <v>10.1002/biot.200600246</v>
          </cell>
          <cell r="L1605" t="str">
            <v>17407210</v>
          </cell>
        </row>
        <row r="1606">
          <cell r="F1606" t="str">
            <v>YPR</v>
          </cell>
          <cell r="G1606" t="str">
            <v/>
          </cell>
          <cell r="H1606" t="str">
            <v/>
          </cell>
          <cell r="I1606" t="str">
            <v/>
          </cell>
          <cell r="J1606" t="str">
            <v>Structure and activity of angiotensin I converting enzyme inhibitory peptides from sake and sake lees.; Structural requirements of Angiotensin I-converting enzyme inhibitory peptides: quantitative structure-activity relationship study of di- and tripeptides.</v>
          </cell>
          <cell r="K1606" t="str">
            <v>10.1271/bbb.58.1767; 10.1021/jf051263l</v>
          </cell>
          <cell r="L1606" t="str">
            <v>7765503 16448176</v>
          </cell>
        </row>
        <row r="1607">
          <cell r="F1607" t="str">
            <v>YPSFQPQPLIYP</v>
          </cell>
          <cell r="G1607" t="str">
            <v/>
          </cell>
          <cell r="H1607" t="str">
            <v/>
          </cell>
          <cell r="I1607" t="str">
            <v/>
          </cell>
          <cell r="J1607" t="str">
            <v>Inhibition of angiotensin-converting enzyme by synthetic peptide fragments of various beta-caseins.</v>
          </cell>
          <cell r="K1607" t="str">
            <v/>
          </cell>
          <cell r="L1607" t="str">
            <v>1368548</v>
          </cell>
        </row>
        <row r="1608">
          <cell r="F1608" t="str">
            <v>YPSYGLNY</v>
          </cell>
          <cell r="G1608" t="str">
            <v/>
          </cell>
          <cell r="H1608" t="str">
            <v/>
          </cell>
          <cell r="I1608" t="str">
            <v/>
          </cell>
          <cell r="J1608" t="str">
            <v>Rheological, sensorial, and chemopreventive properties of milk fermented with exopolysaccharide-producing lactic cultures.</v>
          </cell>
          <cell r="K1608" t="str">
            <v>10.3168/jds.2008-1256</v>
          </cell>
          <cell r="L1608" t="str">
            <v>19233777</v>
          </cell>
        </row>
        <row r="1609">
          <cell r="F1609" t="str">
            <v>YPSYGLNYY</v>
          </cell>
          <cell r="G1609" t="str">
            <v/>
          </cell>
          <cell r="H1609" t="str">
            <v/>
          </cell>
          <cell r="I1609" t="str">
            <v/>
          </cell>
          <cell r="J1609" t="str">
            <v/>
          </cell>
          <cell r="K1609" t="str">
            <v/>
          </cell>
          <cell r="L1609" t="str">
            <v/>
          </cell>
        </row>
        <row r="1610">
          <cell r="F1610" t="str">
            <v>YPVEPF</v>
          </cell>
          <cell r="G1610" t="str">
            <v/>
          </cell>
          <cell r="H1610" t="str">
            <v/>
          </cell>
          <cell r="I1610" t="str">
            <v/>
          </cell>
          <cell r="J1610" t="str">
            <v/>
          </cell>
          <cell r="K1610" t="str">
            <v/>
          </cell>
          <cell r="L1610" t="str">
            <v/>
          </cell>
        </row>
        <row r="1611">
          <cell r="F1611" t="str">
            <v>YPVEPFTE</v>
          </cell>
          <cell r="G1611" t="str">
            <v/>
          </cell>
          <cell r="H1611" t="str">
            <v/>
          </cell>
          <cell r="I1611" t="str">
            <v/>
          </cell>
          <cell r="J1611" t="str">
            <v/>
          </cell>
          <cell r="K1611" t="str">
            <v/>
          </cell>
          <cell r="L1611" t="str">
            <v/>
          </cell>
        </row>
        <row r="1612">
          <cell r="F1612" t="str">
            <v>YPVQPFTE</v>
          </cell>
          <cell r="G1612" t="str">
            <v/>
          </cell>
          <cell r="H1612" t="str">
            <v/>
          </cell>
          <cell r="I1612" t="str">
            <v/>
          </cell>
          <cell r="J1612" t="str">
            <v/>
          </cell>
          <cell r="K1612" t="str">
            <v/>
          </cell>
          <cell r="L1612" t="str">
            <v/>
          </cell>
        </row>
        <row r="1613">
          <cell r="F1613" t="str">
            <v>YPWTQR</v>
          </cell>
          <cell r="G1613" t="str">
            <v/>
          </cell>
          <cell r="H1613" t="str">
            <v/>
          </cell>
          <cell r="I1613" t="str">
            <v/>
          </cell>
          <cell r="J1613" t="str">
            <v/>
          </cell>
          <cell r="K1613" t="str">
            <v/>
          </cell>
          <cell r="L1613" t="str">
            <v/>
          </cell>
        </row>
        <row r="1614">
          <cell r="F1614" t="str">
            <v>YPYY</v>
          </cell>
          <cell r="G1614" t="str">
            <v/>
          </cell>
          <cell r="H1614" t="str">
            <v/>
          </cell>
          <cell r="I1614" t="str">
            <v/>
          </cell>
          <cell r="J1614" t="str">
            <v>Antihypertensive peptides from food proteins: a review.; What are the ideal properties for functional food peptides with antihypertensive effect? A computational peptidology approach.; Effect of Jatropha curcas peptide fractions on the angiotensin I-converting enzyme inhibitory activity.</v>
          </cell>
          <cell r="K1614" t="str">
            <v>10.1039/c2fo10192k; 10.1016/j.foodchem.2013.05.140; 10.1155/2013/541947</v>
          </cell>
          <cell r="L1614" t="str">
            <v>22249830 23871047 24224169</v>
          </cell>
        </row>
        <row r="1615">
          <cell r="F1615" t="str">
            <v>YQ</v>
          </cell>
          <cell r="G1615" t="str">
            <v/>
          </cell>
          <cell r="H1615" t="str">
            <v/>
          </cell>
          <cell r="I1615" t="str">
            <v/>
          </cell>
          <cell r="J1615" t="str">
            <v>Isolation and characterization of peptides with antihypertensive activity in foodstuffs.</v>
          </cell>
          <cell r="K1615" t="str">
            <v>10.1080/10408398.2012.664829</v>
          </cell>
          <cell r="L1615" t="str">
            <v>24915368</v>
          </cell>
        </row>
        <row r="1616">
          <cell r="F1616" t="str">
            <v>YQAP</v>
          </cell>
          <cell r="G1616" t="str">
            <v/>
          </cell>
          <cell r="H1616" t="str">
            <v/>
          </cell>
          <cell r="I1616" t="str">
            <v/>
          </cell>
          <cell r="J1616" t="str">
            <v>Vegetable foods: a cheap source of proteins and peptides with antihypertensive, antioxidant, and other less occurrence bioactivities.</v>
          </cell>
          <cell r="K1616" t="str">
            <v>10.1016/j.talanta.2012.12.041</v>
          </cell>
          <cell r="L1616" t="str">
            <v>23598136</v>
          </cell>
        </row>
        <row r="1617">
          <cell r="F1617" t="str">
            <v>YQEPVL</v>
          </cell>
          <cell r="G1617" t="str">
            <v/>
          </cell>
          <cell r="H1617" t="str">
            <v/>
          </cell>
          <cell r="I1617" t="str">
            <v/>
          </cell>
          <cell r="J1617" t="str">
            <v>Evaluation of the allergenicity of goat milk, cow milk, and their lactosera in a guinea pig model.; A new QSAR model, for angiotensin I-converting enzyme inhibitory oligopeptides.</v>
          </cell>
          <cell r="K1617" t="str">
            <v>10.3168/jds.2008-1125; 10.1016/j.foodchem.2012.09.092</v>
          </cell>
          <cell r="L1617" t="str">
            <v>19233776 23194537</v>
          </cell>
        </row>
        <row r="1618">
          <cell r="F1618" t="str">
            <v>YQEPVLGPVR</v>
          </cell>
          <cell r="G1618" t="str">
            <v/>
          </cell>
          <cell r="H1618" t="str">
            <v/>
          </cell>
          <cell r="I1618" t="str">
            <v/>
          </cell>
          <cell r="J1618" t="str">
            <v>Evaluation of the allergenicity of goat milk, cow milk, and their lactosera in a guinea pig model.</v>
          </cell>
          <cell r="K1618" t="str">
            <v>10.3168/jds.2008-1125</v>
          </cell>
          <cell r="L1618" t="str">
            <v>19233776</v>
          </cell>
        </row>
        <row r="1619">
          <cell r="F1619" t="str">
            <v>YQEPVLGPVRG</v>
          </cell>
          <cell r="G1619" t="str">
            <v/>
          </cell>
          <cell r="H1619" t="str">
            <v/>
          </cell>
          <cell r="I1619" t="str">
            <v/>
          </cell>
          <cell r="J1619" t="str">
            <v/>
          </cell>
          <cell r="K1619" t="str">
            <v/>
          </cell>
          <cell r="L1619" t="str">
            <v/>
          </cell>
        </row>
        <row r="1620">
          <cell r="F1620" t="str">
            <v>YQEPVLGPVRGPF</v>
          </cell>
          <cell r="G1620" t="str">
            <v/>
          </cell>
          <cell r="H1620" t="str">
            <v/>
          </cell>
          <cell r="I1620" t="str">
            <v/>
          </cell>
          <cell r="J1620" t="str">
            <v/>
          </cell>
          <cell r="K1620" t="str">
            <v/>
          </cell>
          <cell r="L1620" t="str">
            <v/>
          </cell>
        </row>
        <row r="1621">
          <cell r="F1621" t="str">
            <v>YQEPVLGPVRGPFPI</v>
          </cell>
          <cell r="G1621" t="str">
            <v/>
          </cell>
          <cell r="H1621" t="str">
            <v/>
          </cell>
          <cell r="I1621" t="str">
            <v/>
          </cell>
          <cell r="J1621" t="str">
            <v/>
          </cell>
          <cell r="K1621" t="str">
            <v/>
          </cell>
          <cell r="L1621" t="str">
            <v/>
          </cell>
        </row>
        <row r="1622">
          <cell r="F1622" t="str">
            <v>YQEPVLGPVRGPFPIIV</v>
          </cell>
          <cell r="G1622" t="str">
            <v/>
          </cell>
          <cell r="H1622" t="str">
            <v/>
          </cell>
          <cell r="I1622" t="str">
            <v/>
          </cell>
          <cell r="J1622" t="str">
            <v>Identification of angiotensin-I-converting enzyme inhibitory peptides derived from sodium caseinate hydrolysates produced by Lactobacillus helveticus NCC 2765.</v>
          </cell>
          <cell r="K1622" t="str">
            <v>10.1021/jf049510t</v>
          </cell>
          <cell r="L1622" t="str">
            <v>15537298</v>
          </cell>
        </row>
        <row r="1623">
          <cell r="F1623" t="str">
            <v>YQEPVLQPVR</v>
          </cell>
          <cell r="G1623" t="str">
            <v/>
          </cell>
          <cell r="H1623" t="str">
            <v/>
          </cell>
          <cell r="I1623" t="str">
            <v/>
          </cell>
          <cell r="J1623" t="str">
            <v>A new QSAR model, for angiotensin I-converting enzyme inhibitory oligopeptides.</v>
          </cell>
          <cell r="K1623" t="str">
            <v>10.1016/j.foodchem.2012.09.092</v>
          </cell>
          <cell r="L1623" t="str">
            <v>23194537</v>
          </cell>
        </row>
        <row r="1624">
          <cell r="F1624" t="str">
            <v>YQEVLGPVRGPFPIIV</v>
          </cell>
          <cell r="G1624" t="str">
            <v/>
          </cell>
          <cell r="H1624" t="str">
            <v/>
          </cell>
          <cell r="I1624" t="str">
            <v/>
          </cell>
          <cell r="J1624" t="str">
            <v/>
          </cell>
          <cell r="K1624" t="str">
            <v/>
          </cell>
          <cell r="L1624" t="str">
            <v/>
          </cell>
        </row>
        <row r="1625">
          <cell r="F1625" t="str">
            <v>YQKFPQY</v>
          </cell>
          <cell r="G1625" t="str">
            <v/>
          </cell>
          <cell r="H1625" t="str">
            <v/>
          </cell>
          <cell r="I1625" t="str">
            <v/>
          </cell>
          <cell r="J1625" t="str">
            <v>Bioactive peptides in ovine and caprine cheeselike systems prepared with proteases from Cynara cardunculus.; Antihypertensive peptides: production, bioavailability and incorporation into foods.; Antihypertensive peptides from food proteins: a review.; A new QSAR model, for angiotensin I-converting enzyme inhibitory oligopeptides.; Isolation and characterization of peptides with antihypertensive activity in foodstuffs.</v>
          </cell>
          <cell r="K1625" t="str">
            <v>10.3168/jds.S0022-0302(06)72370-0; 10.1016/j.cis.2010.11.001; 10.1039/c2fo10192k; 10.1016/j.foodchem.2012.09.092; 10.1080/10408398.2012.664829</v>
          </cell>
          <cell r="L1625" t="str">
            <v>16899666 21185549 22249830 23194537 24915368</v>
          </cell>
        </row>
        <row r="1626">
          <cell r="F1626" t="str">
            <v>YQNPRLGPTGELDPATQPIVAVHNPVIV</v>
          </cell>
          <cell r="G1626" t="str">
            <v/>
          </cell>
          <cell r="H1626" t="str">
            <v/>
          </cell>
          <cell r="I1626" t="str">
            <v/>
          </cell>
          <cell r="J1626" t="str">
            <v>Identification of angiotensin I-converting enzyme inhibitory peptides from koumiss, a traditional fermented mare's milk.</v>
          </cell>
          <cell r="K1626" t="str">
            <v>10.3168/jds.2009-2672</v>
          </cell>
          <cell r="L1626" t="str">
            <v>20172208</v>
          </cell>
        </row>
        <row r="1627">
          <cell r="F1627" t="str">
            <v>YQQP</v>
          </cell>
          <cell r="G1627" t="str">
            <v/>
          </cell>
          <cell r="H1627" t="str">
            <v/>
          </cell>
          <cell r="I1627" t="str">
            <v/>
          </cell>
          <cell r="J1627" t="str">
            <v>Isolation from alpha-zein of thermolysin peptides with angiotensin I-converting enzyme inhibitory activity.</v>
          </cell>
          <cell r="K1627" t="str">
            <v>10.1271/bbb.60.661</v>
          </cell>
          <cell r="L1627" t="str">
            <v>8829536</v>
          </cell>
        </row>
        <row r="1628">
          <cell r="F1628" t="str">
            <v>YQQPVL</v>
          </cell>
          <cell r="G1628" t="str">
            <v/>
          </cell>
          <cell r="H1628" t="str">
            <v/>
          </cell>
          <cell r="I1628" t="str">
            <v/>
          </cell>
          <cell r="J1628" t="str">
            <v/>
          </cell>
          <cell r="K1628" t="str">
            <v/>
          </cell>
          <cell r="L1628" t="str">
            <v/>
          </cell>
        </row>
        <row r="1629">
          <cell r="F1629" t="str">
            <v>YQQPVLGPVR</v>
          </cell>
          <cell r="G1629" t="str">
            <v/>
          </cell>
          <cell r="H1629" t="str">
            <v/>
          </cell>
          <cell r="I1629" t="str">
            <v/>
          </cell>
          <cell r="J1629" t="str">
            <v>A new QSAR model, for angiotensin I-converting enzyme inhibitory oligopeptides.</v>
          </cell>
          <cell r="K1629" t="str">
            <v>10.1016/j.foodchem.2012.09.092</v>
          </cell>
          <cell r="L1629" t="str">
            <v>23194537</v>
          </cell>
        </row>
        <row r="1630">
          <cell r="F1630" t="str">
            <v>YQY</v>
          </cell>
          <cell r="G1630" t="str">
            <v/>
          </cell>
          <cell r="H1630" t="str">
            <v/>
          </cell>
          <cell r="I1630" t="str">
            <v/>
          </cell>
          <cell r="J1630" t="str">
            <v>Vegetable foods: a cheap source of proteins and peptides with antihypertensive, antioxidant, and other less occurrence bioactivities.; Isolation and characterization of peptides with antihypertensive activity in foodstuffs.</v>
          </cell>
          <cell r="K1630" t="str">
            <v>10.1016/j.talanta.2012.12.041; 10.1080/10408398.2012.664829</v>
          </cell>
          <cell r="L1630" t="str">
            <v>23598136 24915368</v>
          </cell>
        </row>
        <row r="1631">
          <cell r="F1631" t="str">
            <v>YRGGLEPINF</v>
          </cell>
          <cell r="G1631" t="str">
            <v/>
          </cell>
          <cell r="H1631" t="str">
            <v/>
          </cell>
          <cell r="I1631" t="str">
            <v/>
          </cell>
          <cell r="J1631" t="str">
            <v>Antihypertensive peptides from food proteins: a review.</v>
          </cell>
          <cell r="K1631" t="str">
            <v>10.1039/c2fo10192k</v>
          </cell>
          <cell r="L1631" t="str">
            <v>22249830</v>
          </cell>
        </row>
        <row r="1632">
          <cell r="F1632" t="str">
            <v>YRNTQ</v>
          </cell>
          <cell r="G1632" t="str">
            <v/>
          </cell>
          <cell r="H1632" t="str">
            <v/>
          </cell>
          <cell r="I1632" t="str">
            <v/>
          </cell>
          <cell r="J1632" t="str">
            <v/>
          </cell>
          <cell r="K1632" t="str">
            <v/>
          </cell>
          <cell r="L1632" t="str">
            <v/>
          </cell>
        </row>
        <row r="1633">
          <cell r="F1633" t="str">
            <v>YRPY</v>
          </cell>
          <cell r="G1633" t="str">
            <v/>
          </cell>
          <cell r="H1633" t="str">
            <v/>
          </cell>
          <cell r="I1633" t="str">
            <v/>
          </cell>
          <cell r="J1633" t="str">
            <v>Angiotensin I-converting enzyme inhibitory peptides derived from bonito bowels autolysate.; What are the ideal properties for functional food peptides with antihypertensive effect? A computational peptidology approach.; Isolation and characterization of peptides with antihypertensive activity in foodstuffs.</v>
          </cell>
          <cell r="K1633" t="str">
            <v>10.1271/bbb.57.695; 10.1016/j.foodchem.2013.05.140; 10.1080/10408398.2012.664829</v>
          </cell>
          <cell r="L1633" t="str">
            <v>7763772 23871047 24915368</v>
          </cell>
        </row>
        <row r="1634">
          <cell r="F1634" t="str">
            <v>YRSTQ</v>
          </cell>
          <cell r="G1634" t="str">
            <v/>
          </cell>
          <cell r="H1634" t="str">
            <v/>
          </cell>
          <cell r="I1634" t="str">
            <v/>
          </cell>
          <cell r="J1634" t="str">
            <v/>
          </cell>
          <cell r="K1634" t="str">
            <v/>
          </cell>
          <cell r="L1634" t="str">
            <v/>
          </cell>
        </row>
        <row r="1635">
          <cell r="F1635" t="str">
            <v>YS</v>
          </cell>
          <cell r="G1635" t="str">
            <v/>
          </cell>
          <cell r="H1635" t="str">
            <v/>
          </cell>
          <cell r="I1635" t="str">
            <v/>
          </cell>
          <cell r="J1635" t="str">
            <v/>
          </cell>
          <cell r="K1635" t="str">
            <v/>
          </cell>
          <cell r="L1635" t="str">
            <v/>
          </cell>
        </row>
        <row r="1636">
          <cell r="F1636" t="str">
            <v>YSQQQQ</v>
          </cell>
          <cell r="G1636" t="str">
            <v/>
          </cell>
          <cell r="H1636" t="str">
            <v/>
          </cell>
          <cell r="I1636" t="str">
            <v/>
          </cell>
          <cell r="J1636" t="str">
            <v>Isolation from alpha-zein of thermolysin peptides with angiotensin I-converting enzyme inhibitory activity.; A new QSAR model, for angiotensin I-converting enzyme inhibitory oligopeptides.</v>
          </cell>
          <cell r="K1636" t="str">
            <v>10.1271/bbb.60.661; 10.1016/j.foodchem.2012.09.092</v>
          </cell>
          <cell r="L1636" t="str">
            <v>8829536 23194537</v>
          </cell>
        </row>
        <row r="1637">
          <cell r="F1637" t="str">
            <v>YTAGV</v>
          </cell>
          <cell r="G1637" t="str">
            <v/>
          </cell>
          <cell r="H1637" t="str">
            <v/>
          </cell>
          <cell r="I1637" t="str">
            <v/>
          </cell>
          <cell r="J1637" t="str">
            <v>Isolation and characterization of peptides with antihypertensive activity in foodstuffs.</v>
          </cell>
          <cell r="K1637" t="str">
            <v>10.1080/10408398.2012.664829</v>
          </cell>
          <cell r="L1637" t="str">
            <v>24915368</v>
          </cell>
        </row>
        <row r="1638">
          <cell r="F1638" t="str">
            <v>YTDAPSF</v>
          </cell>
          <cell r="G1638" t="str">
            <v/>
          </cell>
          <cell r="H1638" t="str">
            <v/>
          </cell>
          <cell r="I1638" t="str">
            <v/>
          </cell>
          <cell r="J1638" t="str">
            <v/>
          </cell>
          <cell r="K1638" t="str">
            <v/>
          </cell>
          <cell r="L1638" t="str">
            <v/>
          </cell>
        </row>
        <row r="1639">
          <cell r="F1639" t="str">
            <v>YTVF</v>
          </cell>
          <cell r="G1639" t="str">
            <v/>
          </cell>
          <cell r="H1639" t="str">
            <v/>
          </cell>
          <cell r="I1639" t="str">
            <v/>
          </cell>
          <cell r="J1639" t="str">
            <v/>
          </cell>
          <cell r="K1639" t="str">
            <v/>
          </cell>
          <cell r="L1639" t="str">
            <v/>
          </cell>
        </row>
        <row r="1640">
          <cell r="F1640" t="str">
            <v>YV</v>
          </cell>
          <cell r="G1640" t="str">
            <v/>
          </cell>
          <cell r="H1640" t="str">
            <v/>
          </cell>
          <cell r="I1640" t="str">
            <v/>
          </cell>
          <cell r="J1640" t="str">
            <v>Structural requirements of Angiotensin I-converting enzyme inhibitory peptides: quantitative structure-activity relationship study of di- and tripeptides.; Isolation and characterization of peptides with antihypertensive activity in foodstuffs.</v>
          </cell>
          <cell r="K1640" t="str">
            <v>10.1021/jf051263l; 10.1080/10408398.2012.664829</v>
          </cell>
          <cell r="L1640" t="str">
            <v>16448176 24915368</v>
          </cell>
        </row>
        <row r="1641">
          <cell r="F1641" t="str">
            <v>YVA</v>
          </cell>
          <cell r="G1641" t="str">
            <v/>
          </cell>
          <cell r="H1641" t="str">
            <v/>
          </cell>
          <cell r="I1641" t="str">
            <v/>
          </cell>
          <cell r="J1641" t="str">
            <v>Structural requirements of Angiotensin I-converting enzyme inhibitory peptides: quantitative structure-activity relationship study of di- and tripeptides.</v>
          </cell>
          <cell r="K1641" t="str">
            <v>10.1021/jf051263l</v>
          </cell>
          <cell r="L1641" t="str">
            <v>16448176</v>
          </cell>
        </row>
        <row r="1642">
          <cell r="F1642" t="str">
            <v>YVE</v>
          </cell>
          <cell r="G1642" t="str">
            <v/>
          </cell>
          <cell r="H1642" t="str">
            <v/>
          </cell>
          <cell r="I1642" t="str">
            <v/>
          </cell>
          <cell r="J1642" t="str">
            <v/>
          </cell>
          <cell r="K1642" t="str">
            <v/>
          </cell>
          <cell r="L1642" t="str">
            <v/>
          </cell>
        </row>
        <row r="1643">
          <cell r="F1643" t="str">
            <v>YVP</v>
          </cell>
          <cell r="G1643" t="str">
            <v/>
          </cell>
          <cell r="H1643" t="str">
            <v/>
          </cell>
          <cell r="I1643" t="str">
            <v/>
          </cell>
          <cell r="J1643" t="str">
            <v>Inhibition of angiotensin-converting enzyme by synthetic peptide fragments of human kappa-casein.; What are the ideal properties for functional food peptides with antihypertensive effect? A computational peptidology approach.</v>
          </cell>
          <cell r="K1643" t="str">
            <v>10.1016/j.foodchem.2013.05.140</v>
          </cell>
          <cell r="L1643" t="str">
            <v>1368540 23871047</v>
          </cell>
        </row>
        <row r="1644">
          <cell r="F1644" t="str">
            <v>YVVFK</v>
          </cell>
          <cell r="G1644" t="str">
            <v/>
          </cell>
          <cell r="H1644" t="str">
            <v/>
          </cell>
          <cell r="I1644" t="str">
            <v/>
          </cell>
          <cell r="J1644" t="str">
            <v/>
          </cell>
          <cell r="K1644" t="str">
            <v/>
          </cell>
          <cell r="L1644" t="str">
            <v/>
          </cell>
        </row>
        <row r="1645">
          <cell r="F1645" t="str">
            <v>YW</v>
          </cell>
          <cell r="G1645" t="str">
            <v>pea albumin</v>
          </cell>
          <cell r="H1645" t="str">
            <v/>
          </cell>
          <cell r="I1645" t="str">
            <v/>
          </cell>
          <cell r="J1645" t="str">
            <v>Structure and activity of angiotensin I converting enzyme inhibitory peptides from sake and sake lees.; Structural requirements of Angiotensin I-converting enzyme inhibitory peptides: quantitative structure-activity relationship study of di- and tripeptides.; Assessing the dependence of (51)V A(z) value on the aromatic ring orientation of V(IV)O(2+) pyridine complexes.; Antihypertensive peptides from food proteins: a review.; Vegetable foods: a cheap source of proteins and peptides with antihypertensive, antioxidant, and other less occurrence bioactivities.; What are the ideal properties for functional food peptides with antihypertensive effect? A computational peptidology approach.</v>
          </cell>
          <cell r="K1645" t="str">
            <v>10.1271/bbb.58.1767; 10.1021/jf051263l; 10.1021/ic9001779; 10.1039/c2fo10192k; 10.1016/j.talanta.2012.12.041; 10.1016/j.foodchem.2013.05.140</v>
          </cell>
          <cell r="L1645" t="str">
            <v>7765503 16448176 19449891 22249830 23598136 23871047</v>
          </cell>
        </row>
        <row r="1646">
          <cell r="F1646" t="str">
            <v>YY</v>
          </cell>
          <cell r="G1646" t="str">
            <v/>
          </cell>
          <cell r="H1646" t="str">
            <v/>
          </cell>
          <cell r="I1646" t="str">
            <v/>
          </cell>
          <cell r="J1646" t="str">
            <v>Quantitative structure-activity relationship study of bitter di- and tri-peptides including relationship with angiotensin I-converting enzyme inhibitory activity.</v>
          </cell>
          <cell r="K1646" t="str">
            <v>10.1002/psc.800</v>
          </cell>
          <cell r="L1646" t="str">
            <v>17117396</v>
          </cell>
        </row>
        <row r="1647">
          <cell r="F1647" t="str">
            <v>YYAPF</v>
          </cell>
          <cell r="G1647" t="str">
            <v/>
          </cell>
          <cell r="H1647" t="str">
            <v/>
          </cell>
          <cell r="I1647" t="str">
            <v/>
          </cell>
          <cell r="J1647" t="str">
            <v>A new QSAR model, for angiotensin I-converting enzyme inhibitory oligopeptides.; Vegetable foods: a cheap source of proteins and peptides with antihypertensive, antioxidant, and other less occurrence bioactivities.</v>
          </cell>
          <cell r="K1647" t="str">
            <v>10.1016/j.foodchem.2012.09.092; 10.1016/j.talanta.2012.12.041</v>
          </cell>
          <cell r="L1647" t="str">
            <v>23194537 23598136</v>
          </cell>
        </row>
        <row r="1648">
          <cell r="F1648" t="str">
            <v>YYAPFDGIL</v>
          </cell>
          <cell r="G1648" t="str">
            <v/>
          </cell>
          <cell r="H1648" t="str">
            <v/>
          </cell>
          <cell r="I1648" t="str">
            <v/>
          </cell>
          <cell r="J1648" t="str">
            <v>QSAR study on angiotensin-converting enzyme inhibitor oligopeptides based on a novel set of sequence information descriptors.; A new QSAR model, for angiotensin I-converting enzyme inhibitory oligopeptides.; Vegetable foods: a cheap source of proteins and peptides with antihypertensive, antioxidant, and other less occurrence bioactivities.</v>
          </cell>
          <cell r="K1648" t="str">
            <v>10.1007/s00894-010-0862-x; 10.1016/j.foodchem.2012.09.092; 10.1016/j.talanta.2012.12.041</v>
          </cell>
          <cell r="L1648" t="str">
            <v>20941517 23194537 23598136</v>
          </cell>
        </row>
        <row r="1649">
          <cell r="F1649" t="str">
            <v>YYAPFE</v>
          </cell>
          <cell r="G1649" t="str">
            <v/>
          </cell>
          <cell r="H1649" t="str">
            <v/>
          </cell>
          <cell r="I1649" t="str">
            <v/>
          </cell>
          <cell r="J1649" t="str">
            <v/>
          </cell>
          <cell r="K1649" t="str">
            <v/>
          </cell>
          <cell r="L1649" t="str">
            <v/>
          </cell>
        </row>
        <row r="1650">
          <cell r="F1650" t="str">
            <v>YYG</v>
          </cell>
          <cell r="G1650" t="str">
            <v/>
          </cell>
          <cell r="H1650" t="str">
            <v/>
          </cell>
          <cell r="I1650" t="str">
            <v/>
          </cell>
          <cell r="J1650"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650" t="str">
            <v>10.1002/psc.800; 10.1007/s00894-010-0862-x; 10.1016/j.foodchem.2013.05.140</v>
          </cell>
          <cell r="L1650" t="str">
            <v>17117396 20941517 23871047</v>
          </cell>
        </row>
        <row r="1651">
          <cell r="F1651" t="str">
            <v>YYPQIMQY</v>
          </cell>
          <cell r="G1651" t="str">
            <v/>
          </cell>
          <cell r="H1651" t="str">
            <v/>
          </cell>
          <cell r="I1651" t="str">
            <v/>
          </cell>
          <cell r="J1651" t="str">
            <v>A new QSAR model, for angiotensin I-converting enzyme inhibitory oligopeptides.</v>
          </cell>
          <cell r="K1651" t="str">
            <v>10.1016/j.foodchem.2012.09.092</v>
          </cell>
          <cell r="L1651" t="str">
            <v>23194537</v>
          </cell>
        </row>
        <row r="1652">
          <cell r="F1652" t="str">
            <v>YYRA</v>
          </cell>
          <cell r="G1652" t="str">
            <v/>
          </cell>
          <cell r="H1652" t="str">
            <v/>
          </cell>
          <cell r="I1652" t="str">
            <v/>
          </cell>
          <cell r="J1652" t="str">
            <v>Antihypertensive peptides from food proteins: a review.; Isolation and characterization of peptides with antihypertensive activity in foodstuffs.</v>
          </cell>
          <cell r="K1652" t="str">
            <v>10.1039/c2fo10192k; 10.1080/10408398.2012.664829</v>
          </cell>
          <cell r="L1652" t="str">
            <v>22249830 24915368</v>
          </cell>
        </row>
        <row r="1653">
          <cell r="F1653" t="str">
            <v>YYVPLGTQ</v>
          </cell>
          <cell r="G1653" t="str">
            <v/>
          </cell>
          <cell r="H1653" t="str">
            <v/>
          </cell>
          <cell r="I1653" t="str">
            <v/>
          </cell>
          <cell r="J1653" t="str">
            <v/>
          </cell>
          <cell r="K1653" t="str">
            <v/>
          </cell>
          <cell r="L1653" t="str">
            <v/>
          </cell>
        </row>
        <row r="1654">
          <cell r="F1654" t="str">
            <v>YYY</v>
          </cell>
          <cell r="G1654" t="str">
            <v/>
          </cell>
          <cell r="H1654" t="str">
            <v/>
          </cell>
          <cell r="I1654" t="str">
            <v/>
          </cell>
          <cell r="J1654" t="str">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ell>
          <cell r="K1654" t="str">
            <v>10.1002/psc.800; 10.1007/s00894-010-0862-x; 10.1016/j.foodchem.2013.05.140</v>
          </cell>
          <cell r="L1654" t="str">
            <v>17117396 20941517 23871047</v>
          </cell>
        </row>
      </sheetData>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808"/>
  <sheetViews>
    <sheetView tabSelected="1" workbookViewId="0">
      <pane ySplit="1" topLeftCell="A23" activePane="bottomLeft" state="frozen"/>
      <selection/>
      <selection pane="bottomLeft" activeCell="K11" sqref="K11"/>
    </sheetView>
  </sheetViews>
  <sheetFormatPr defaultColWidth="9" defaultRowHeight="13.5"/>
  <cols>
    <col min="1" max="1" width="20" customWidth="1"/>
    <col min="2" max="3" width="14" customWidth="1"/>
    <col min="4" max="4" width="15.070796460177" style="1" customWidth="1"/>
    <col min="5" max="5" width="15.8053097345133" style="1" customWidth="1"/>
    <col min="6" max="6" width="14.7433628318584" style="1" customWidth="1"/>
    <col min="7" max="7" width="12" customWidth="1"/>
    <col min="8" max="8" width="8" customWidth="1"/>
    <col min="9" max="9" width="12" customWidth="1"/>
    <col min="10" max="10" width="10" customWidth="1"/>
    <col min="11" max="11" width="12" customWidth="1"/>
    <col min="12" max="12" width="14" customWidth="1"/>
    <col min="13" max="13" width="12" customWidth="1"/>
    <col min="14" max="16" width="10" customWidth="1"/>
    <col min="17" max="18" width="14" customWidth="1"/>
  </cols>
  <sheetData>
    <row r="1" ht="27" spans="1:18">
      <c r="A1" s="2" t="s">
        <v>0</v>
      </c>
      <c r="B1" s="2" t="s">
        <v>1</v>
      </c>
      <c r="C1" s="2" t="s">
        <v>2</v>
      </c>
      <c r="D1" s="2" t="s">
        <v>3</v>
      </c>
      <c r="E1" s="2" t="s">
        <v>4</v>
      </c>
      <c r="F1" s="2" t="s">
        <v>5</v>
      </c>
      <c r="G1" s="3" t="s">
        <v>6</v>
      </c>
      <c r="H1" s="3" t="s">
        <v>7</v>
      </c>
      <c r="I1" s="3" t="s">
        <v>8</v>
      </c>
      <c r="J1" s="3" t="s">
        <v>9</v>
      </c>
      <c r="K1" s="3" t="s">
        <v>10</v>
      </c>
      <c r="L1" s="3" t="s">
        <v>11</v>
      </c>
      <c r="M1" s="3" t="s">
        <v>12</v>
      </c>
      <c r="N1" s="3" t="s">
        <v>13</v>
      </c>
      <c r="O1" s="3" t="s">
        <v>14</v>
      </c>
      <c r="P1" s="3" t="s">
        <v>15</v>
      </c>
      <c r="Q1" s="4"/>
      <c r="R1" s="4"/>
    </row>
    <row r="2" spans="1:18">
      <c r="A2" s="4" t="s">
        <v>16</v>
      </c>
      <c r="B2" s="4">
        <v>3</v>
      </c>
      <c r="C2" s="4"/>
      <c r="G2" s="4"/>
      <c r="H2" s="4"/>
      <c r="I2" s="4"/>
      <c r="J2" s="4"/>
      <c r="K2" s="4"/>
      <c r="L2" s="4"/>
      <c r="M2" s="4"/>
      <c r="N2" s="4"/>
      <c r="O2" s="4"/>
      <c r="P2" s="4"/>
      <c r="Q2" s="4"/>
      <c r="R2" s="4"/>
    </row>
    <row r="3" spans="1:18">
      <c r="A3" s="4" t="s">
        <v>17</v>
      </c>
      <c r="B3" s="4">
        <v>3</v>
      </c>
      <c r="C3" s="4"/>
      <c r="G3" s="4"/>
      <c r="H3" s="4"/>
      <c r="I3" s="4"/>
      <c r="J3" s="4"/>
      <c r="K3" s="4"/>
      <c r="L3" s="4"/>
      <c r="M3" s="4"/>
      <c r="N3" s="4"/>
      <c r="O3" s="4"/>
      <c r="P3" s="4"/>
      <c r="Q3" s="4"/>
      <c r="R3" s="4"/>
    </row>
    <row r="4" spans="1:18">
      <c r="A4" s="4" t="s">
        <v>18</v>
      </c>
      <c r="B4" s="4">
        <v>3</v>
      </c>
      <c r="C4" s="4"/>
      <c r="G4" s="4"/>
      <c r="H4" s="4"/>
      <c r="I4" s="4"/>
      <c r="J4" s="4"/>
      <c r="K4" s="4"/>
      <c r="L4" s="4"/>
      <c r="M4" s="4"/>
      <c r="N4" s="4"/>
      <c r="O4" s="4"/>
      <c r="P4" s="4"/>
      <c r="Q4" s="4"/>
      <c r="R4" s="4"/>
    </row>
    <row r="5" spans="1:18">
      <c r="A5" s="4" t="s">
        <v>19</v>
      </c>
      <c r="B5" s="4">
        <v>3</v>
      </c>
      <c r="C5" s="4"/>
      <c r="G5" s="4"/>
      <c r="H5" s="4"/>
      <c r="I5" s="4"/>
      <c r="J5" s="4"/>
      <c r="K5" s="4"/>
      <c r="L5" s="4"/>
      <c r="M5" s="4"/>
      <c r="N5" s="4"/>
      <c r="O5" s="4"/>
      <c r="P5" s="4"/>
      <c r="Q5" s="4"/>
      <c r="R5" s="4"/>
    </row>
    <row r="6" spans="1:18">
      <c r="A6" s="4" t="s">
        <v>20</v>
      </c>
      <c r="B6" s="4">
        <f t="shared" ref="B6:B69" si="0">LEN(A6)</f>
        <v>2</v>
      </c>
      <c r="C6" s="4" t="s">
        <v>21</v>
      </c>
      <c r="D6" s="1" t="str">
        <f>IFERROR(VLOOKUP(A6,[1]biopep_DB!$F$2:$J$1654,5,0),)</f>
        <v>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v>
      </c>
      <c r="E6" s="1" t="str">
        <f>IFERROR(VLOOKUP(A6,[1]biopep_DB!$F$2:$L$1654,6,0),0)</f>
        <v>10.1002/psc.892; 10.1007/s00894-010-0862-x; 10.1016/j.jprot.2013.06.023</v>
      </c>
      <c r="F6" s="1" t="str">
        <f>IFERROR(VLOOKUP(A6,[1]biopep_DB!$F$2:$L$1654,7,0),0)</f>
        <v>17654623 20941517 23806758</v>
      </c>
      <c r="G6" s="5">
        <v>160.17</v>
      </c>
      <c r="H6" s="5">
        <v>5.57</v>
      </c>
      <c r="I6" s="5">
        <v>-0.2</v>
      </c>
      <c r="J6" s="6">
        <v>1.8</v>
      </c>
      <c r="K6" s="5">
        <v>5</v>
      </c>
      <c r="L6" s="6">
        <v>1</v>
      </c>
      <c r="M6" s="6">
        <v>-1.81</v>
      </c>
      <c r="N6" s="6">
        <v>1</v>
      </c>
      <c r="O6" s="6">
        <v>0</v>
      </c>
      <c r="P6" s="6">
        <v>0</v>
      </c>
      <c r="Q6" s="7"/>
      <c r="R6" s="7"/>
    </row>
    <row r="7" spans="1:18">
      <c r="A7" s="4" t="s">
        <v>22</v>
      </c>
      <c r="B7" s="4">
        <f t="shared" si="0"/>
        <v>9</v>
      </c>
      <c r="C7" s="4"/>
      <c r="G7" s="5">
        <v>796.95</v>
      </c>
      <c r="H7" s="5">
        <v>8.8</v>
      </c>
      <c r="I7" s="5">
        <v>0.79</v>
      </c>
      <c r="J7" s="6">
        <v>1.3222</v>
      </c>
      <c r="K7" s="5">
        <v>51.69</v>
      </c>
      <c r="L7" s="6">
        <v>0.8889</v>
      </c>
      <c r="M7" s="6">
        <v>-1.7278</v>
      </c>
      <c r="N7" s="6">
        <v>0.6667</v>
      </c>
      <c r="O7" s="6">
        <v>0.1111</v>
      </c>
      <c r="P7" s="6">
        <v>0.2222</v>
      </c>
      <c r="Q7" s="7"/>
      <c r="R7" s="7"/>
    </row>
    <row r="8" spans="1:18">
      <c r="A8" s="4" t="s">
        <v>23</v>
      </c>
      <c r="B8" s="4">
        <f t="shared" si="0"/>
        <v>8</v>
      </c>
      <c r="C8" s="4"/>
      <c r="G8" s="5">
        <v>778.89</v>
      </c>
      <c r="H8" s="5">
        <v>5.57</v>
      </c>
      <c r="I8" s="5">
        <v>-0.2</v>
      </c>
      <c r="J8" s="6">
        <v>1.4125</v>
      </c>
      <c r="K8" s="5">
        <v>48.25</v>
      </c>
      <c r="L8" s="6">
        <v>0.75</v>
      </c>
      <c r="M8" s="6">
        <v>-2.0475</v>
      </c>
      <c r="N8" s="6">
        <v>0.25</v>
      </c>
      <c r="O8" s="6">
        <v>0.375</v>
      </c>
      <c r="P8" s="6">
        <v>0.375</v>
      </c>
      <c r="Q8" s="7"/>
      <c r="R8" s="7"/>
    </row>
    <row r="9" spans="1:18">
      <c r="A9" s="4" t="s">
        <v>24</v>
      </c>
      <c r="B9" s="4">
        <f t="shared" si="0"/>
        <v>3</v>
      </c>
      <c r="C9" s="4" t="s">
        <v>25</v>
      </c>
      <c r="D9" s="1" t="str">
        <f>IFERROR(VLOOKUP(A9,[1]biopep_DB!$F$2:$J$1654,5,0),)</f>
        <v>Bioactive peptides in amaranth (Amaranthus hypochondriacus) seed.; What are the ideal properties for functional food peptides with antihypertensive effect? A computational peptidology approach.</v>
      </c>
      <c r="E9" s="1" t="str">
        <f>IFERROR(VLOOKUP(A9,[1]biopep_DB!$F$2:$L$1654,6,0),0)</f>
        <v>10.1021/jf072911z; 10.1016/j.foodchem.2013.05.140</v>
      </c>
      <c r="F9" s="1" t="str">
        <f>IFERROR(VLOOKUP(A9,[1]biopep_DB!$F$2:$L$1654,7,0),0)</f>
        <v>18211015 23871047</v>
      </c>
      <c r="G9" s="5">
        <v>257.29</v>
      </c>
      <c r="H9" s="5">
        <v>5.57</v>
      </c>
      <c r="I9" s="5">
        <v>-0.2</v>
      </c>
      <c r="J9" s="6">
        <v>0.6667</v>
      </c>
      <c r="K9" s="5">
        <v>70.87</v>
      </c>
      <c r="L9" s="6">
        <v>1</v>
      </c>
      <c r="M9" s="6">
        <v>-1.2067</v>
      </c>
      <c r="N9" s="6">
        <v>0.6667</v>
      </c>
      <c r="O9" s="6">
        <v>0.3333</v>
      </c>
      <c r="P9" s="6">
        <v>0</v>
      </c>
      <c r="Q9" s="7"/>
      <c r="R9" s="7"/>
    </row>
    <row r="10" spans="1:18">
      <c r="A10" s="4" t="s">
        <v>26</v>
      </c>
      <c r="B10" s="4">
        <f t="shared" si="0"/>
        <v>4</v>
      </c>
      <c r="C10" s="4" t="s">
        <v>27</v>
      </c>
      <c r="D10" s="1" t="str">
        <f>IFERROR(VLOOKUP(A10,[1]biopep_DB!$F$2:$J$1654,5,0),)</f>
        <v>What are the ideal properties for functional food peptides with antihypertensive effect? A computational peptidology approach.</v>
      </c>
      <c r="E10" s="1" t="str">
        <f>IFERROR(VLOOKUP(A10,[1]biopep_DB!$F$2:$L$1654,6,0),0)</f>
        <v>10.1016/j.foodchem.2013.05.140</v>
      </c>
      <c r="F10" s="1">
        <f>IFERROR(VLOOKUP(A10,[1]biopep_DB!$F$2:$L$1654,7,0),0)</f>
        <v>23871047</v>
      </c>
      <c r="G10" s="5">
        <v>426.49</v>
      </c>
      <c r="H10" s="5">
        <v>6.78</v>
      </c>
      <c r="I10" s="5">
        <v>-0.13</v>
      </c>
      <c r="J10" s="6">
        <v>-0.125</v>
      </c>
      <c r="K10" s="5">
        <v>191.65</v>
      </c>
      <c r="L10" s="6">
        <v>0.5</v>
      </c>
      <c r="M10" s="6">
        <v>-0.525</v>
      </c>
      <c r="N10" s="6">
        <v>0.25</v>
      </c>
      <c r="O10" s="6">
        <v>0.25</v>
      </c>
      <c r="P10" s="6">
        <v>0</v>
      </c>
      <c r="Q10" s="7"/>
      <c r="R10" s="7"/>
    </row>
    <row r="11" spans="1:18">
      <c r="A11" s="4" t="s">
        <v>28</v>
      </c>
      <c r="B11" s="4">
        <f t="shared" si="0"/>
        <v>2</v>
      </c>
      <c r="C11" s="4"/>
      <c r="D11" s="1" t="str">
        <f>IFERROR(VLOOKUP(A11,[1]biopep_DB!$F$2:$J$1654,5,0),)</f>
        <v>Quantitative structure-activity relationship study of bitter di- and tri-peptides including relationship with angiotensin I-converting enzyme inhibitory activity.</v>
      </c>
      <c r="E11" s="1" t="str">
        <f>IFERROR(VLOOKUP(A11,[1]biopep_DB!$F$2:$L$1654,6,0),0)</f>
        <v>10.1002/psc.800</v>
      </c>
      <c r="F11" s="1">
        <f>IFERROR(VLOOKUP(A11,[1]biopep_DB!$F$2:$L$1654,7,0),0)</f>
        <v>17117396</v>
      </c>
      <c r="G11" s="5">
        <v>204.18</v>
      </c>
      <c r="H11" s="5">
        <v>4.3</v>
      </c>
      <c r="I11" s="5">
        <v>-1.2</v>
      </c>
      <c r="J11" s="6">
        <v>-0.85</v>
      </c>
      <c r="K11" s="5">
        <v>-37.45</v>
      </c>
      <c r="L11" s="6">
        <v>0.5</v>
      </c>
      <c r="M11" s="6">
        <v>-0.065</v>
      </c>
      <c r="N11" s="6">
        <v>0.5</v>
      </c>
      <c r="O11" s="6">
        <v>0.5</v>
      </c>
      <c r="P11" s="6">
        <v>0</v>
      </c>
      <c r="Q11" s="7"/>
      <c r="R11" s="7"/>
    </row>
    <row r="12" spans="1:18">
      <c r="A12" s="4" t="s">
        <v>29</v>
      </c>
      <c r="B12" s="4">
        <f t="shared" si="0"/>
        <v>3</v>
      </c>
      <c r="C12" s="4"/>
      <c r="D12" s="1" t="str">
        <f>IFERROR(VLOOKUP(A12,[1]biopep_DB!$F$2:$J$1654,5,0),)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2" s="1" t="str">
        <f>IFERROR(VLOOKUP(A12,[1]biopep_DB!$F$2:$L$1654,6,0),0)</f>
        <v>10.1002/psc.800; 10.1007/s00894-010-0862-x; 10.1016/j.foodchem.2013.05.140</v>
      </c>
      <c r="F12" s="1" t="str">
        <f>IFERROR(VLOOKUP(A12,[1]biopep_DB!$F$2:$L$1654,7,0),0)</f>
        <v>17117396 20941517 23871047</v>
      </c>
      <c r="G12" s="5">
        <v>275.26</v>
      </c>
      <c r="H12" s="5">
        <v>4.05</v>
      </c>
      <c r="I12" s="5">
        <v>-1.2</v>
      </c>
      <c r="J12" s="6">
        <v>0.0333</v>
      </c>
      <c r="K12" s="5">
        <v>-21.63</v>
      </c>
      <c r="L12" s="6">
        <v>0.6667</v>
      </c>
      <c r="M12" s="6">
        <v>-0.6467</v>
      </c>
      <c r="N12" s="6">
        <v>0.6667</v>
      </c>
      <c r="O12" s="6">
        <v>0.3333</v>
      </c>
      <c r="P12" s="6">
        <v>0</v>
      </c>
      <c r="Q12" s="7"/>
      <c r="R12" s="7"/>
    </row>
    <row r="13" spans="1:18">
      <c r="A13" s="4" t="s">
        <v>30</v>
      </c>
      <c r="B13" s="4">
        <f t="shared" si="0"/>
        <v>3</v>
      </c>
      <c r="C13" s="4" t="s">
        <v>31</v>
      </c>
      <c r="D13" s="1" t="str">
        <f>IFERROR(VLOOKUP(A13,[1]biopep_DB!$F$2:$J$1654,5,0),)</f>
        <v/>
      </c>
      <c r="E13" s="1" t="str">
        <f>IFERROR(VLOOKUP(A13,[1]biopep_DB!$F$2:$L$1654,6,0),0)</f>
        <v/>
      </c>
      <c r="F13" s="1" t="str">
        <f>IFERROR(VLOOKUP(A13,[1]biopep_DB!$F$2:$L$1654,7,0),0)</f>
        <v/>
      </c>
      <c r="G13" s="5">
        <v>390.39</v>
      </c>
      <c r="H13" s="5">
        <v>4.05</v>
      </c>
      <c r="I13" s="5">
        <v>-1.2</v>
      </c>
      <c r="J13" s="6">
        <v>-0.8667</v>
      </c>
      <c r="K13" s="5">
        <v>-21.63</v>
      </c>
      <c r="L13" s="6">
        <v>0.6667</v>
      </c>
      <c r="M13" s="6">
        <v>-0.82</v>
      </c>
      <c r="N13" s="6">
        <v>0.3333</v>
      </c>
      <c r="O13" s="6">
        <v>0.3333</v>
      </c>
      <c r="P13" s="6">
        <v>0.3333</v>
      </c>
      <c r="Q13" s="7"/>
      <c r="R13" s="7"/>
    </row>
    <row r="14" spans="1:18">
      <c r="A14" s="4" t="s">
        <v>32</v>
      </c>
      <c r="B14" s="4">
        <f t="shared" si="0"/>
        <v>5</v>
      </c>
      <c r="C14" s="4" t="s">
        <v>31</v>
      </c>
      <c r="D14" s="1" t="str">
        <f>IFERROR(VLOOKUP(A14,[1]biopep_DB!$F$2:$J$1654,5,0),)</f>
        <v/>
      </c>
      <c r="E14" s="1" t="str">
        <f>IFERROR(VLOOKUP(A14,[1]biopep_DB!$F$2:$L$1654,6,0),0)</f>
        <v/>
      </c>
      <c r="F14" s="1" t="str">
        <f>IFERROR(VLOOKUP(A14,[1]biopep_DB!$F$2:$L$1654,7,0),0)</f>
        <v/>
      </c>
      <c r="G14" s="5">
        <v>509.51</v>
      </c>
      <c r="H14" s="5">
        <v>4.05</v>
      </c>
      <c r="I14" s="5">
        <v>-1.2</v>
      </c>
      <c r="J14" s="6">
        <v>-0.02</v>
      </c>
      <c r="K14" s="5">
        <v>8</v>
      </c>
      <c r="L14" s="6">
        <v>0.4</v>
      </c>
      <c r="M14" s="6">
        <v>-0.65</v>
      </c>
      <c r="N14" s="6">
        <v>0.4</v>
      </c>
      <c r="O14" s="6">
        <v>0.4</v>
      </c>
      <c r="P14" s="6">
        <v>0.2</v>
      </c>
      <c r="Q14" s="7"/>
      <c r="R14" s="7"/>
    </row>
    <row r="15" spans="1:18">
      <c r="A15" s="4" t="s">
        <v>33</v>
      </c>
      <c r="B15" s="4">
        <f t="shared" si="0"/>
        <v>3</v>
      </c>
      <c r="C15" s="4" t="s">
        <v>34</v>
      </c>
      <c r="D15" s="1" t="str">
        <f>IFERROR(VLOOKUP(A15,[1]biopep_DB!$F$2:$J$1654,5,0),)</f>
        <v>Review on the angiotensin-I-converting enzyme (ACE) inhibitor peptides from marine proteins.; Vegetable foods: a cheap source of proteins and peptides with antihypertensive, antioxidant, and other less occurrence bioactivities.</v>
      </c>
      <c r="E15" s="1" t="str">
        <f>IFERROR(VLOOKUP(A15,[1]biopep_DB!$F$2:$L$1654,6,0),0)</f>
        <v>10.1007/s12010-012-0024-y; 10.1016/j.talanta.2012.12.041</v>
      </c>
      <c r="F15" s="1" t="str">
        <f>IFERROR(VLOOKUP(A15,[1]biopep_DB!$F$2:$L$1654,7,0),0)</f>
        <v>23271625 23598136</v>
      </c>
      <c r="G15" s="5">
        <v>331.36</v>
      </c>
      <c r="H15" s="5">
        <v>4.05</v>
      </c>
      <c r="I15" s="5">
        <v>-1.2</v>
      </c>
      <c r="J15" s="6">
        <v>0.7</v>
      </c>
      <c r="K15" s="5">
        <v>6.67</v>
      </c>
      <c r="L15" s="6">
        <v>0.6667</v>
      </c>
      <c r="M15" s="6">
        <v>-1.6967</v>
      </c>
      <c r="N15" s="6">
        <v>1</v>
      </c>
      <c r="O15" s="6">
        <v>0</v>
      </c>
      <c r="P15" s="6">
        <v>0.3333</v>
      </c>
      <c r="Q15" s="7"/>
      <c r="R15" s="7"/>
    </row>
    <row r="16" spans="1:18">
      <c r="A16" s="4" t="s">
        <v>35</v>
      </c>
      <c r="B16" s="4">
        <f t="shared" si="0"/>
        <v>2</v>
      </c>
      <c r="C16" s="4" t="s">
        <v>36</v>
      </c>
      <c r="D16" s="1" t="str">
        <f>IFERROR(VLOOKUP(A16,[1]biopep_DB!$F$2:$J$1654,5,0),)</f>
        <v>Binding of peptide substrates and inhibitors of angiotensin-converting enzyme. Importance of the COOH-terminal dipeptide sequence.; Isolation from alpha-zein of thermolysin peptides with angiotensin I-converting enzyme inhibitory activity.;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Model of the exofacial substrate-binding site and helical folding of the human Glut1 glucose transporter based on scanning mutagenesis.; Antihypertensive effect of peptide-enriched soy sauce-like seasoning and identification of its angiotensin I-converting enzyme inhibitory substances.; QSAR study on angiotensin-converting enzyme inhibitor oligopeptides based on a novel set of sequence information descriptors.;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
      <c r="E16" s="1" t="str">
        <f>IFERROR(VLOOKUP(A16,[1]biopep_DB!$F$2:$L$1654,6,0),0)</f>
        <v>10.1271/bbb.60.661; 10.1021/jf051263l; 10.1002/psc.800; 10.1002/psc.892; 10.1021/bi900521n; 10.1021/jf903261h; 10.1007/s00894-010-0862-x; 10.1016/j.talanta.2012.12.041; 10.1016/j.jprot.2013.06.023; 10.1016/j.foodchem.2013.05.140; 10.1080/10408398.2012.664829</v>
      </c>
      <c r="F16" s="1" t="str">
        <f>IFERROR(VLOOKUP(A16,[1]biopep_DB!$F$2:$L$1654,7,0),0)</f>
        <v>6243277 8829536 16448176 17117396 17654623 19449892 19994857 20941517 23598136 23806758 23871047 24915368</v>
      </c>
      <c r="G16" s="5">
        <v>236.27</v>
      </c>
      <c r="H16" s="5">
        <v>5.57</v>
      </c>
      <c r="I16" s="5">
        <v>-0.2</v>
      </c>
      <c r="J16" s="6">
        <v>2.3</v>
      </c>
      <c r="K16" s="5">
        <v>5</v>
      </c>
      <c r="L16" s="6">
        <v>1</v>
      </c>
      <c r="M16" s="6">
        <v>-2.395</v>
      </c>
      <c r="N16" s="6">
        <v>0.5</v>
      </c>
      <c r="O16" s="6">
        <v>0</v>
      </c>
      <c r="P16" s="6">
        <v>0.5</v>
      </c>
      <c r="Q16" s="7"/>
      <c r="R16" s="7"/>
    </row>
    <row r="17" spans="1:18">
      <c r="A17" s="4" t="s">
        <v>37</v>
      </c>
      <c r="B17" s="4">
        <f t="shared" si="0"/>
        <v>8</v>
      </c>
      <c r="C17" s="4"/>
      <c r="G17" s="5">
        <v>805.92</v>
      </c>
      <c r="H17" s="5">
        <v>5.88</v>
      </c>
      <c r="I17" s="5">
        <v>-0.2</v>
      </c>
      <c r="J17" s="6">
        <v>0.875</v>
      </c>
      <c r="K17" s="5">
        <v>9.96</v>
      </c>
      <c r="L17" s="6">
        <v>0.625</v>
      </c>
      <c r="M17" s="6">
        <v>-1.545</v>
      </c>
      <c r="N17" s="6">
        <v>0.375</v>
      </c>
      <c r="O17" s="6">
        <v>0.25</v>
      </c>
      <c r="P17" s="6">
        <v>0.375</v>
      </c>
      <c r="Q17" s="7"/>
      <c r="R17" s="7"/>
    </row>
    <row r="18" spans="1:18">
      <c r="A18" s="4" t="s">
        <v>38</v>
      </c>
      <c r="B18" s="4">
        <f t="shared" si="0"/>
        <v>9</v>
      </c>
      <c r="C18" s="4" t="s">
        <v>39</v>
      </c>
      <c r="D18" s="1" t="str">
        <f>IFERROR(VLOOKUP(A18,[1]biopep_DB!$F$2:$J$1654,5,0),)</f>
        <v>QSAR study on angiotensin-converting enzyme inhibitor oligopeptides based on a novel set of sequence information descriptors.; A new QSAR model, for angiotensin I-converting enzyme inhibitory oligopeptides.</v>
      </c>
      <c r="E18" s="1" t="str">
        <f>IFERROR(VLOOKUP(A18,[1]biopep_DB!$F$2:$L$1654,6,0),0)</f>
        <v>10.1007/s00894-010-0862-x; 10.1016/j.foodchem.2012.09.092</v>
      </c>
      <c r="F18" s="1" t="str">
        <f>IFERROR(VLOOKUP(A18,[1]biopep_DB!$F$2:$L$1654,7,0),0)</f>
        <v>20941517 23194537</v>
      </c>
      <c r="G18" s="5">
        <v>1019.2</v>
      </c>
      <c r="H18" s="5">
        <v>11</v>
      </c>
      <c r="I18" s="5">
        <v>1.79</v>
      </c>
      <c r="J18" s="6">
        <v>0.5444</v>
      </c>
      <c r="K18" s="5">
        <v>-24.51</v>
      </c>
      <c r="L18" s="6">
        <v>0.7778</v>
      </c>
      <c r="M18" s="6">
        <v>-1.3656</v>
      </c>
      <c r="N18" s="6">
        <v>0.5556</v>
      </c>
      <c r="O18" s="6">
        <v>0</v>
      </c>
      <c r="P18" s="6">
        <v>0.3333</v>
      </c>
      <c r="Q18" s="7"/>
      <c r="R18" s="7"/>
    </row>
    <row r="19" spans="1:18">
      <c r="A19" s="4" t="s">
        <v>40</v>
      </c>
      <c r="B19" s="4">
        <f t="shared" si="0"/>
        <v>13</v>
      </c>
      <c r="C19" s="4"/>
      <c r="G19" s="5">
        <v>1582.67</v>
      </c>
      <c r="H19" s="5">
        <v>4.18</v>
      </c>
      <c r="I19" s="5">
        <v>-3.19</v>
      </c>
      <c r="J19" s="6">
        <v>-1.2769</v>
      </c>
      <c r="K19" s="5">
        <v>70.45</v>
      </c>
      <c r="L19" s="6">
        <v>0.3846</v>
      </c>
      <c r="M19" s="6">
        <v>0.0792</v>
      </c>
      <c r="N19" s="6">
        <v>0.3846</v>
      </c>
      <c r="O19" s="6">
        <v>0.2308</v>
      </c>
      <c r="P19" s="6">
        <v>0.3077</v>
      </c>
      <c r="Q19" s="7"/>
      <c r="R19" s="7"/>
    </row>
    <row r="20" spans="1:18">
      <c r="A20" s="4" t="s">
        <v>41</v>
      </c>
      <c r="B20" s="4">
        <f t="shared" si="0"/>
        <v>3</v>
      </c>
      <c r="C20" s="4" t="s">
        <v>36</v>
      </c>
      <c r="D20" s="1" t="str">
        <f>IFERROR(VLOOKUP(A20,[1]biopep_DB!$F$2:$J$1654,5,0),)</f>
        <v>Analysis of novel angiotensin-I-converting enzyme inhibitory peptides from protease-hydrolyzed marine shrimp Acetes chinensis.;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v>
      </c>
      <c r="E20" s="1" t="str">
        <f>IFERROR(VLOOKUP(A20,[1]biopep_DB!$F$2:$L$1654,6,0),0)</f>
        <v>10.1002/psc.789; 10.1007/s12010-012-0024-y; 10.1016/j.talanta.2012.12.041; 10.1016/j.foodchem.2013.05.140</v>
      </c>
      <c r="F20" s="1" t="str">
        <f>IFERROR(VLOOKUP(A20,[1]biopep_DB!$F$2:$L$1654,7,0),0)</f>
        <v>16981241 23271625 23598136 23871047</v>
      </c>
      <c r="G20" s="5">
        <v>349.42</v>
      </c>
      <c r="H20" s="5">
        <v>5.57</v>
      </c>
      <c r="I20" s="5">
        <v>-0.2</v>
      </c>
      <c r="J20" s="6">
        <v>2.8</v>
      </c>
      <c r="K20" s="5">
        <v>6.67</v>
      </c>
      <c r="L20" s="6">
        <v>1</v>
      </c>
      <c r="M20" s="6">
        <v>-3.2367</v>
      </c>
      <c r="N20" s="6">
        <v>0.6667</v>
      </c>
      <c r="O20" s="6">
        <v>0</v>
      </c>
      <c r="P20" s="6">
        <v>0.6667</v>
      </c>
      <c r="Q20" s="7"/>
      <c r="R20" s="7"/>
    </row>
    <row r="21" spans="1:18">
      <c r="A21" s="4" t="s">
        <v>42</v>
      </c>
      <c r="B21" s="4">
        <f t="shared" si="0"/>
        <v>3</v>
      </c>
      <c r="C21" s="4" t="s">
        <v>43</v>
      </c>
      <c r="D21" s="1" t="str">
        <f>IFERROR(VLOOKUP(A21,[1]biopep_DB!$F$2:$J$1654,5,0),)</f>
        <v/>
      </c>
      <c r="E21" s="1" t="str">
        <f>IFERROR(VLOOKUP(A21,[1]biopep_DB!$F$2:$L$1654,6,0),0)</f>
        <v/>
      </c>
      <c r="F21" s="1" t="str">
        <f>IFERROR(VLOOKUP(A21,[1]biopep_DB!$F$2:$L$1654,7,0),0)</f>
        <v/>
      </c>
      <c r="G21" s="5">
        <v>333.38</v>
      </c>
      <c r="H21" s="5">
        <v>5.57</v>
      </c>
      <c r="I21" s="5">
        <v>-0.2</v>
      </c>
      <c r="J21" s="6">
        <v>1</v>
      </c>
      <c r="K21" s="5">
        <v>70.87</v>
      </c>
      <c r="L21" s="6">
        <v>1</v>
      </c>
      <c r="M21" s="6">
        <v>-1.5967</v>
      </c>
      <c r="N21" s="6">
        <v>0.3333</v>
      </c>
      <c r="O21" s="6">
        <v>0.3333</v>
      </c>
      <c r="P21" s="6">
        <v>0.3333</v>
      </c>
      <c r="Q21" s="7"/>
      <c r="R21" s="7"/>
    </row>
    <row r="22" spans="1:18">
      <c r="A22" s="4" t="s">
        <v>44</v>
      </c>
      <c r="B22" s="4">
        <f t="shared" si="0"/>
        <v>5</v>
      </c>
      <c r="C22" s="4" t="s">
        <v>45</v>
      </c>
      <c r="D22" s="1" t="str">
        <f>IFERROR(VLOOKUP(A22,[1]biopep_DB!$F$2:$J$1654,5,0),)</f>
        <v/>
      </c>
      <c r="E22" s="1" t="str">
        <f>IFERROR(VLOOKUP(A22,[1]biopep_DB!$F$2:$L$1654,6,0),0)</f>
        <v/>
      </c>
      <c r="F22" s="1" t="str">
        <f>IFERROR(VLOOKUP(A22,[1]biopep_DB!$F$2:$L$1654,7,0),0)</f>
        <v/>
      </c>
      <c r="G22" s="5">
        <v>477.51</v>
      </c>
      <c r="H22" s="5">
        <v>5.57</v>
      </c>
      <c r="I22" s="5">
        <v>-0.2</v>
      </c>
      <c r="J22" s="6">
        <v>0.36</v>
      </c>
      <c r="K22" s="5">
        <v>46.52</v>
      </c>
      <c r="L22" s="6">
        <v>0.6</v>
      </c>
      <c r="M22" s="6">
        <v>-0.978</v>
      </c>
      <c r="N22" s="6">
        <v>0.2</v>
      </c>
      <c r="O22" s="6">
        <v>0.6</v>
      </c>
      <c r="P22" s="6">
        <v>0.2</v>
      </c>
      <c r="Q22" s="7"/>
      <c r="R22" s="7"/>
    </row>
    <row r="23" spans="1:18">
      <c r="A23" s="4" t="s">
        <v>46</v>
      </c>
      <c r="B23" s="4">
        <f t="shared" si="0"/>
        <v>5</v>
      </c>
      <c r="C23" s="4" t="s">
        <v>31</v>
      </c>
      <c r="D23" s="1" t="str">
        <f>IFERROR(VLOOKUP(A23,[1]biopep_DB!$F$2:$J$1654,5,0),)</f>
        <v/>
      </c>
      <c r="E23" s="1" t="str">
        <f>IFERROR(VLOOKUP(A23,[1]biopep_DB!$F$2:$L$1654,6,0),0)</f>
        <v/>
      </c>
      <c r="F23" s="1" t="str">
        <f>IFERROR(VLOOKUP(A23,[1]biopep_DB!$F$2:$L$1654,7,0),0)</f>
        <v/>
      </c>
      <c r="G23" s="5">
        <v>576.65</v>
      </c>
      <c r="H23" s="5">
        <v>9.8</v>
      </c>
      <c r="I23" s="5">
        <v>0.8</v>
      </c>
      <c r="J23" s="6">
        <v>-0.46</v>
      </c>
      <c r="K23" s="5">
        <v>119.32</v>
      </c>
      <c r="L23" s="6">
        <v>0.6</v>
      </c>
      <c r="M23" s="6">
        <v>-0.246</v>
      </c>
      <c r="N23" s="6">
        <v>0.2</v>
      </c>
      <c r="O23" s="6">
        <v>0.4</v>
      </c>
      <c r="P23" s="6">
        <v>0.2</v>
      </c>
      <c r="Q23" s="7"/>
      <c r="R23" s="7"/>
    </row>
    <row r="24" spans="1:18">
      <c r="A24" s="4" t="s">
        <v>47</v>
      </c>
      <c r="B24" s="4">
        <f t="shared" si="0"/>
        <v>8</v>
      </c>
      <c r="C24" s="4"/>
      <c r="G24" s="5">
        <v>865.03</v>
      </c>
      <c r="H24" s="5">
        <v>5.57</v>
      </c>
      <c r="I24" s="5">
        <v>-0.21</v>
      </c>
      <c r="J24" s="6">
        <v>1.6875</v>
      </c>
      <c r="K24" s="5">
        <v>11.6</v>
      </c>
      <c r="L24" s="6">
        <v>0.75</v>
      </c>
      <c r="M24" s="6">
        <v>-2.3237</v>
      </c>
      <c r="N24" s="6">
        <v>0.25</v>
      </c>
      <c r="O24" s="6">
        <v>0.25</v>
      </c>
      <c r="P24" s="6">
        <v>0.625</v>
      </c>
      <c r="Q24" s="7"/>
      <c r="R24" s="7"/>
    </row>
    <row r="25" spans="1:18">
      <c r="A25" s="4" t="s">
        <v>48</v>
      </c>
      <c r="B25" s="4">
        <f t="shared" si="0"/>
        <v>2</v>
      </c>
      <c r="C25" s="4" t="s">
        <v>36</v>
      </c>
      <c r="D25" s="1" t="str">
        <f>IFERROR(VLOOKUP(A25,[1]biopep_DB!$F$2:$J$1654,5,0),)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v>
      </c>
      <c r="E25" s="1" t="str">
        <f>IFERROR(VLOOKUP(A25,[1]biopep_DB!$F$2:$L$1654,6,0),0)</f>
        <v>10.1021/jf051263l; 10.1002/psc.892; 10.1007/s00894-010-0862-x; 10.1016/j.jprot.2013.06.023</v>
      </c>
      <c r="F25" s="1" t="str">
        <f>IFERROR(VLOOKUP(A25,[1]biopep_DB!$F$2:$L$1654,7,0),0)</f>
        <v>6243277 16448176 17654623 20941517 23806758</v>
      </c>
      <c r="G25" s="5">
        <v>146.14</v>
      </c>
      <c r="H25" s="5">
        <v>5.57</v>
      </c>
      <c r="I25" s="5">
        <v>-0.2</v>
      </c>
      <c r="J25" s="6">
        <v>0.7</v>
      </c>
      <c r="K25" s="5">
        <v>5</v>
      </c>
      <c r="L25" s="6">
        <v>0.5</v>
      </c>
      <c r="M25" s="6">
        <v>-1.375</v>
      </c>
      <c r="N25" s="6">
        <v>0.5</v>
      </c>
      <c r="O25" s="6">
        <v>0.5</v>
      </c>
      <c r="P25" s="6">
        <v>0</v>
      </c>
      <c r="Q25" s="7"/>
      <c r="R25" s="7"/>
    </row>
    <row r="26" spans="1:18">
      <c r="A26" s="4" t="s">
        <v>49</v>
      </c>
      <c r="B26" s="4">
        <f t="shared" si="0"/>
        <v>6</v>
      </c>
      <c r="C26" s="4"/>
      <c r="D26" s="1" t="str">
        <f>IFERROR(VLOOKUP(A26,[1]biopep_DB!$F$2:$J$1654,5,0),)</f>
        <v/>
      </c>
      <c r="E26" s="1" t="str">
        <f>IFERROR(VLOOKUP(A26,[1]biopep_DB!$F$2:$L$1654,6,0),0)</f>
        <v/>
      </c>
      <c r="F26" s="1" t="str">
        <f>IFERROR(VLOOKUP(A26,[1]biopep_DB!$F$2:$L$1654,7,0),0)</f>
        <v/>
      </c>
      <c r="G26" s="5">
        <v>590.67</v>
      </c>
      <c r="H26" s="5">
        <v>5.57</v>
      </c>
      <c r="I26" s="5">
        <v>-0.21</v>
      </c>
      <c r="J26" s="6">
        <v>0.6833</v>
      </c>
      <c r="K26" s="5">
        <v>40.43</v>
      </c>
      <c r="L26" s="6">
        <v>0.6667</v>
      </c>
      <c r="M26" s="6">
        <v>-1.5567</v>
      </c>
      <c r="N26" s="6">
        <v>0.5</v>
      </c>
      <c r="O26" s="6">
        <v>0.3333</v>
      </c>
      <c r="P26" s="6">
        <v>0.3333</v>
      </c>
      <c r="Q26" s="7"/>
      <c r="R26" s="7"/>
    </row>
    <row r="27" spans="1:18">
      <c r="A27" s="4" t="s">
        <v>50</v>
      </c>
      <c r="B27" s="4">
        <f t="shared" si="0"/>
        <v>4</v>
      </c>
      <c r="C27" s="4" t="s">
        <v>51</v>
      </c>
      <c r="D27" s="1" t="str">
        <f>IFERROR(VLOOKUP(A27,[1]biopep_DB!$F$2:$J$1654,5,0),)</f>
        <v>Angiotensin I-converting enzyme inhibitory peptides generated from in vitro gastrointestinal digestion of pork meat.; Isolation and characterization of peptides with antihypertensive activity in foodstuffs.</v>
      </c>
      <c r="E27" s="1" t="str">
        <f>IFERROR(VLOOKUP(A27,[1]biopep_DB!$F$2:$L$1654,6,0),0)</f>
        <v>10.1021/jf904204n; 10.1080/10408398.2012.664829</v>
      </c>
      <c r="F27" s="1" t="str">
        <f>IFERROR(VLOOKUP(A27,[1]biopep_DB!$F$2:$L$1654,7,0),0)</f>
        <v>20151679 24915368</v>
      </c>
      <c r="G27" s="5">
        <v>356.42</v>
      </c>
      <c r="H27" s="5">
        <v>5.57</v>
      </c>
      <c r="I27" s="5">
        <v>-0.2</v>
      </c>
      <c r="J27" s="6">
        <v>0.9</v>
      </c>
      <c r="K27" s="5">
        <v>55.65</v>
      </c>
      <c r="L27" s="6">
        <v>0.75</v>
      </c>
      <c r="M27" s="6">
        <v>-1.9175</v>
      </c>
      <c r="N27" s="6">
        <v>0.5</v>
      </c>
      <c r="O27" s="6">
        <v>0.5</v>
      </c>
      <c r="P27" s="6">
        <v>0.25</v>
      </c>
      <c r="Q27" s="7"/>
      <c r="R27" s="7"/>
    </row>
    <row r="28" spans="1:18">
      <c r="A28" s="4" t="s">
        <v>52</v>
      </c>
      <c r="B28" s="4">
        <f t="shared" si="0"/>
        <v>3</v>
      </c>
      <c r="C28" s="4" t="s">
        <v>36</v>
      </c>
      <c r="D28" s="1" t="str">
        <f>IFERROR(VLOOKUP(A28,[1]biopep_DB!$F$2:$J$1654,5,0),)</f>
        <v>Angiotensin I-converting enzyme inhibitory activity and insulin secretion stimulative activity of fermented fish sauce.; Structural requirements of Angiotensin I-converting enzyme inhibitory peptides: quantitative structure-activity relationship study of di- and tripeptides.; What are the ideal properties for functional food peptides with antihypertensive effect? A computational peptidology approach.</v>
      </c>
      <c r="E28" s="1" t="str">
        <f>IFERROR(VLOOKUP(A28,[1]biopep_DB!$F$2:$L$1654,6,0),0)</f>
        <v>10.1016/S1389-1723(03)70138-8; 10.1021/jf051263l; 10.1016/j.foodchem.2013.05.140</v>
      </c>
      <c r="F28" s="1" t="str">
        <f>IFERROR(VLOOKUP(A28,[1]biopep_DB!$F$2:$L$1654,7,0),0)</f>
        <v>16233562 16448176 23871047</v>
      </c>
      <c r="G28" s="5">
        <v>243.26</v>
      </c>
      <c r="H28" s="5">
        <v>5.57</v>
      </c>
      <c r="I28" s="5">
        <v>-0.2</v>
      </c>
      <c r="J28" s="6">
        <v>-0.0667</v>
      </c>
      <c r="K28" s="5">
        <v>6.67</v>
      </c>
      <c r="L28" s="6">
        <v>0.6667</v>
      </c>
      <c r="M28" s="6">
        <v>-0.9167</v>
      </c>
      <c r="N28" s="6">
        <v>0.3333</v>
      </c>
      <c r="O28" s="6">
        <v>0.6667</v>
      </c>
      <c r="P28" s="6">
        <v>0</v>
      </c>
      <c r="Q28" s="7"/>
      <c r="R28" s="7"/>
    </row>
    <row r="29" spans="1:18">
      <c r="A29" s="4" t="s">
        <v>53</v>
      </c>
      <c r="B29" s="4">
        <f t="shared" si="0"/>
        <v>3</v>
      </c>
      <c r="C29" s="4" t="s">
        <v>54</v>
      </c>
      <c r="D29" s="1" t="str">
        <f>IFERROR(VLOOKUP(A29,[1]biopep_DB!$F$2:$J$1654,5,0),)</f>
        <v>Analysis of novel angiotensin I-converting enzyme inhibitory peptides from enzymatic hydrolysates of cuttlefish (Sepia officinalis) muscle proteins.; Review on the angiotensin-I-converting enzyme (ACE) inhibitor peptides from marine proteins.; What are the ideal properties for functional food peptides with antihypertensive effect? A computational peptidology approach.</v>
      </c>
      <c r="E29" s="1" t="str">
        <f>IFERROR(VLOOKUP(A29,[1]biopep_DB!$F$2:$L$1654,6,0),0)</f>
        <v>10.1021/jf904300q; 10.1007/s12010-012-0024-y; 10.1016/j.foodchem.2013.05.140</v>
      </c>
      <c r="F29" s="1" t="str">
        <f>IFERROR(VLOOKUP(A29,[1]biopep_DB!$F$2:$L$1654,7,0),0)</f>
        <v>20180574 23271625 23871047</v>
      </c>
      <c r="G29" s="5">
        <v>233.22</v>
      </c>
      <c r="H29" s="5">
        <v>5.57</v>
      </c>
      <c r="I29" s="5">
        <v>-0.2</v>
      </c>
      <c r="J29" s="6">
        <v>0.2</v>
      </c>
      <c r="K29" s="5">
        <v>6.67</v>
      </c>
      <c r="L29" s="6">
        <v>0.3333</v>
      </c>
      <c r="M29" s="6">
        <v>-0.6367</v>
      </c>
      <c r="N29" s="6">
        <v>0.3333</v>
      </c>
      <c r="O29" s="6">
        <v>0.6667</v>
      </c>
      <c r="P29" s="6">
        <v>0</v>
      </c>
      <c r="Q29" s="7"/>
      <c r="R29" s="7"/>
    </row>
    <row r="30" spans="1:18">
      <c r="A30" s="4" t="s">
        <v>55</v>
      </c>
      <c r="B30" s="4">
        <f t="shared" si="0"/>
        <v>4</v>
      </c>
      <c r="C30" s="4" t="s">
        <v>56</v>
      </c>
      <c r="D30" s="1" t="str">
        <f>IFERROR(VLOOKUP(A30,[1]biopep_DB!$F$2:$J$1654,5,0),)</f>
        <v>Analysis of novel angiotensin I-converting enzyme inhibitory peptides from enzymatic hydrolysates of cuttlefish (Sepia officinalis) muscle proteins.; Review on the angiotensin-I-converting enzyme (ACE) inhibitor peptides from marine proteins.; What are the ideal properties for functional food peptides with antihypertensive effect? A computational peptidology approach.</v>
      </c>
      <c r="E30" s="1" t="str">
        <f>IFERROR(VLOOKUP(A30,[1]biopep_DB!$F$2:$L$1654,6,0),0)</f>
        <v>10.1021/jf904300q; 10.1007/s12010-012-0024-y; 10.1016/j.foodchem.2013.05.140</v>
      </c>
      <c r="F30" s="1" t="str">
        <f>IFERROR(VLOOKUP(A30,[1]biopep_DB!$F$2:$L$1654,7,0),0)</f>
        <v>20180574 23271625 23871047</v>
      </c>
      <c r="G30" s="5">
        <v>330.34</v>
      </c>
      <c r="H30" s="5">
        <v>5.57</v>
      </c>
      <c r="I30" s="5">
        <v>-0.2</v>
      </c>
      <c r="J30" s="6">
        <v>-0.25</v>
      </c>
      <c r="K30" s="5">
        <v>117.35</v>
      </c>
      <c r="L30" s="6">
        <v>0.5</v>
      </c>
      <c r="M30" s="6">
        <v>-0.4775</v>
      </c>
      <c r="N30" s="6">
        <v>0.25</v>
      </c>
      <c r="O30" s="6">
        <v>0.75</v>
      </c>
      <c r="P30" s="6">
        <v>0</v>
      </c>
      <c r="Q30" s="7"/>
      <c r="R30" s="7"/>
    </row>
    <row r="31" spans="1:18">
      <c r="A31" s="4" t="s">
        <v>57</v>
      </c>
      <c r="B31" s="4">
        <f t="shared" si="0"/>
        <v>4</v>
      </c>
      <c r="C31" s="4" t="s">
        <v>58</v>
      </c>
      <c r="D31" s="1" t="str">
        <f>IFERROR(VLOOKUP(A31,[1]biopep_DB!$F$2:$J$1654,5,0),)</f>
        <v>Analysis of novel angiotensin I-converting enzyme inhibitory peptides from enzymatic hydrolysates of cuttlefish (Sepia officinalis) muscle proteins.; Review on the angiotensin-I-converting enzyme (ACE) inhibitor peptides from marine proteins.; What are the ideal properties for functional food peptides with antihypertensive effect? A computational peptidology approach.</v>
      </c>
      <c r="E31" s="1" t="str">
        <f>IFERROR(VLOOKUP(A31,[1]biopep_DB!$F$2:$L$1654,6,0),0)</f>
        <v>10.1021/jf904300q; 10.1007/s12010-012-0024-y; 10.1016/j.foodchem.2013.05.140</v>
      </c>
      <c r="F31" s="1" t="str">
        <f>IFERROR(VLOOKUP(A31,[1]biopep_DB!$F$2:$L$1654,7,0),0)</f>
        <v>20180574 23271625 23871047</v>
      </c>
      <c r="G31" s="5">
        <v>320.3</v>
      </c>
      <c r="H31" s="5">
        <v>5.57</v>
      </c>
      <c r="I31" s="5">
        <v>-0.2</v>
      </c>
      <c r="J31" s="6">
        <v>-0.05</v>
      </c>
      <c r="K31" s="5">
        <v>55.65</v>
      </c>
      <c r="L31" s="6">
        <v>0.25</v>
      </c>
      <c r="M31" s="6">
        <v>-0.2675</v>
      </c>
      <c r="N31" s="6">
        <v>0.25</v>
      </c>
      <c r="O31" s="6">
        <v>0.75</v>
      </c>
      <c r="P31" s="6">
        <v>0</v>
      </c>
      <c r="Q31" s="7"/>
      <c r="R31" s="7"/>
    </row>
    <row r="32" spans="1:18">
      <c r="A32" s="4" t="s">
        <v>59</v>
      </c>
      <c r="B32" s="4">
        <f t="shared" si="0"/>
        <v>18</v>
      </c>
      <c r="C32" s="4"/>
      <c r="G32" s="5">
        <v>1970.2</v>
      </c>
      <c r="H32" s="5">
        <v>5.08</v>
      </c>
      <c r="I32" s="5">
        <v>-1.13</v>
      </c>
      <c r="J32" s="6">
        <v>0.25</v>
      </c>
      <c r="K32" s="5">
        <v>39.28</v>
      </c>
      <c r="L32" s="6">
        <v>0.4444</v>
      </c>
      <c r="M32" s="6">
        <v>-1.0561</v>
      </c>
      <c r="N32" s="6">
        <v>0.2778</v>
      </c>
      <c r="O32" s="6">
        <v>0.2778</v>
      </c>
      <c r="P32" s="6">
        <v>0.5</v>
      </c>
      <c r="Q32" s="7"/>
      <c r="R32" s="7"/>
    </row>
    <row r="33" spans="1:18">
      <c r="A33" s="4" t="s">
        <v>60</v>
      </c>
      <c r="B33" s="4">
        <f t="shared" si="0"/>
        <v>3</v>
      </c>
      <c r="C33" s="4" t="s">
        <v>31</v>
      </c>
      <c r="D33" s="1" t="str">
        <f>IFERROR(VLOOKUP(A33,[1]biopep_DB!$F$2:$J$1654,5,0),)</f>
        <v/>
      </c>
      <c r="E33" s="1" t="str">
        <f>IFERROR(VLOOKUP(A33,[1]biopep_DB!$F$2:$L$1654,6,0),0)</f>
        <v/>
      </c>
      <c r="F33" s="1" t="str">
        <f>IFERROR(VLOOKUP(A33,[1]biopep_DB!$F$2:$L$1654,7,0),0)</f>
        <v/>
      </c>
      <c r="G33" s="5">
        <v>332.35</v>
      </c>
      <c r="H33" s="5">
        <v>5.57</v>
      </c>
      <c r="I33" s="5">
        <v>-0.2</v>
      </c>
      <c r="J33" s="6">
        <v>0.1667</v>
      </c>
      <c r="K33" s="5">
        <v>47.8</v>
      </c>
      <c r="L33" s="6">
        <v>0.6667</v>
      </c>
      <c r="M33" s="6">
        <v>-1.6933</v>
      </c>
      <c r="N33" s="6">
        <v>0.3333</v>
      </c>
      <c r="O33" s="6">
        <v>0.3333</v>
      </c>
      <c r="P33" s="6">
        <v>0.3333</v>
      </c>
      <c r="Q33" s="7"/>
      <c r="R33" s="7"/>
    </row>
    <row r="34" spans="1:18">
      <c r="A34" s="4" t="s">
        <v>61</v>
      </c>
      <c r="B34" s="4">
        <f t="shared" si="0"/>
        <v>2</v>
      </c>
      <c r="C34" s="4" t="s">
        <v>62</v>
      </c>
      <c r="D34" s="1" t="str">
        <f>IFERROR(VLOOKUP(A34,[1]biopep_DB!$F$2:$J$1654,5,0),)</f>
        <v>Application of at-line two-dimensional liquid chromatography-mass spectrometry for identification of small hydrophilic angiotensin I-inhibiting peptides in milk hydrolysates.</v>
      </c>
      <c r="E34" s="1" t="str">
        <f>IFERROR(VLOOKUP(A34,[1]biopep_DB!$F$2:$L$1654,6,0),0)</f>
        <v>10.1007/s00216-008-1990-3</v>
      </c>
      <c r="F34" s="1">
        <f>IFERROR(VLOOKUP(A34,[1]biopep_DB!$F$2:$L$1654,7,0),0)</f>
        <v>18392815</v>
      </c>
      <c r="G34" s="5">
        <v>226.23</v>
      </c>
      <c r="H34" s="5">
        <v>6.79</v>
      </c>
      <c r="I34" s="5">
        <v>-0.12</v>
      </c>
      <c r="J34" s="6">
        <v>-0.7</v>
      </c>
      <c r="K34" s="5">
        <v>-37.45</v>
      </c>
      <c r="L34" s="6">
        <v>0.5</v>
      </c>
      <c r="M34" s="6">
        <v>-0.41</v>
      </c>
      <c r="N34" s="6">
        <v>0.5</v>
      </c>
      <c r="O34" s="6">
        <v>0</v>
      </c>
      <c r="P34" s="6">
        <v>0</v>
      </c>
      <c r="Q34" s="7"/>
      <c r="R34" s="7"/>
    </row>
    <row r="35" spans="1:18">
      <c r="A35" s="4" t="s">
        <v>63</v>
      </c>
      <c r="B35" s="4">
        <f t="shared" si="0"/>
        <v>6</v>
      </c>
      <c r="C35" s="4" t="s">
        <v>64</v>
      </c>
      <c r="D35" s="1" t="str">
        <f>IFERROR(VLOOKUP(A35,[1]biopep_DB!$F$2:$J$1654,5,0),)</f>
        <v>Novel angiotensin I-converting enzyme inhibitory peptides derived from an edible mushroom, Pleurotus cystidiosus O.K. Miller identified by LC-MS/MS.; Novel angiotensin I-converting enzyme inhibitory peptides derived from edible mushroom Agaricus bisporus (J.E. Lange) Imbach identified by LC-MS/MS.</v>
      </c>
      <c r="E35" s="1" t="str">
        <f>IFERROR(VLOOKUP(A35,[1]biopep_DB!$F$2:$L$1654,6,0),0)</f>
        <v>10.1186/1472-6882-13-313; 10.1016/j.foodchem.2013.10.053</v>
      </c>
      <c r="F35" s="1" t="str">
        <f>IFERROR(VLOOKUP(A35,[1]biopep_DB!$F$2:$L$1654,7,0),0)</f>
        <v>24215325 24262574</v>
      </c>
      <c r="G35" s="5">
        <v>679.76</v>
      </c>
      <c r="H35" s="5">
        <v>6.79</v>
      </c>
      <c r="I35" s="5">
        <v>-0.12</v>
      </c>
      <c r="J35" s="6">
        <v>-1.0333</v>
      </c>
      <c r="K35" s="5">
        <v>53.58</v>
      </c>
      <c r="L35" s="6">
        <v>0.5</v>
      </c>
      <c r="M35" s="6">
        <v>-0.2733</v>
      </c>
      <c r="N35" s="6">
        <v>0.5</v>
      </c>
      <c r="O35" s="6">
        <v>0.1667</v>
      </c>
      <c r="P35" s="6">
        <v>0.1667</v>
      </c>
      <c r="Q35" s="7"/>
      <c r="R35" s="7"/>
    </row>
    <row r="36" spans="1:18">
      <c r="A36" s="4" t="s">
        <v>65</v>
      </c>
      <c r="B36" s="4">
        <f t="shared" si="0"/>
        <v>4</v>
      </c>
      <c r="C36" s="4" t="s">
        <v>66</v>
      </c>
      <c r="D36" s="1" t="str">
        <f>IFERROR(VLOOKUP(A36,[1]biopep_DB!$F$2:$J$1654,5,0),)</f>
        <v>What are the ideal properties for functional food peptides with antihypertensive effect? A computational peptidology approach.</v>
      </c>
      <c r="E36" s="1" t="str">
        <f>IFERROR(VLOOKUP(A36,[1]biopep_DB!$F$2:$L$1654,6,0),0)</f>
        <v>10.1016/j.foodchem.2013.05.140</v>
      </c>
      <c r="F36" s="1">
        <f>IFERROR(VLOOKUP(A36,[1]biopep_DB!$F$2:$L$1654,7,0),0)</f>
        <v>23871047</v>
      </c>
      <c r="G36" s="5">
        <v>460.49</v>
      </c>
      <c r="H36" s="5">
        <v>6.96</v>
      </c>
      <c r="I36" s="5">
        <v>-0.03</v>
      </c>
      <c r="J36" s="6">
        <v>-1.55</v>
      </c>
      <c r="K36" s="5">
        <v>-20.93</v>
      </c>
      <c r="L36" s="6">
        <v>0.5</v>
      </c>
      <c r="M36" s="6">
        <v>0.0425</v>
      </c>
      <c r="N36" s="6">
        <v>0.25</v>
      </c>
      <c r="O36" s="6">
        <v>0.25</v>
      </c>
      <c r="P36" s="6">
        <v>0</v>
      </c>
      <c r="Q36" s="7"/>
      <c r="R36" s="7"/>
    </row>
    <row r="37" spans="1:18">
      <c r="A37" s="4" t="s">
        <v>67</v>
      </c>
      <c r="B37" s="4">
        <f t="shared" si="0"/>
        <v>4</v>
      </c>
      <c r="C37" s="4" t="s">
        <v>68</v>
      </c>
      <c r="D37" s="1" t="str">
        <f>IFERROR(VLOOKUP(A37,[1]biopep_DB!$F$2:$J$1654,5,0),)</f>
        <v/>
      </c>
      <c r="E37" s="1" t="str">
        <f>IFERROR(VLOOKUP(A37,[1]biopep_DB!$F$2:$L$1654,6,0),0)</f>
        <v/>
      </c>
      <c r="F37" s="1" t="str">
        <f>IFERROR(VLOOKUP(A37,[1]biopep_DB!$F$2:$L$1654,7,0),0)</f>
        <v/>
      </c>
      <c r="G37" s="5">
        <v>452.55</v>
      </c>
      <c r="H37" s="5">
        <v>6.79</v>
      </c>
      <c r="I37" s="5">
        <v>-0.12</v>
      </c>
      <c r="J37" s="6">
        <v>1.55</v>
      </c>
      <c r="K37" s="5">
        <v>-13.73</v>
      </c>
      <c r="L37" s="6">
        <v>0.75</v>
      </c>
      <c r="M37" s="6">
        <v>-2.665</v>
      </c>
      <c r="N37" s="6">
        <v>0.75</v>
      </c>
      <c r="O37" s="6">
        <v>0</v>
      </c>
      <c r="P37" s="6">
        <v>0.5</v>
      </c>
      <c r="Q37" s="7"/>
      <c r="R37" s="7"/>
    </row>
    <row r="38" spans="1:18">
      <c r="A38" s="4" t="s">
        <v>69</v>
      </c>
      <c r="B38" s="4">
        <f t="shared" si="0"/>
        <v>4</v>
      </c>
      <c r="C38" s="4" t="s">
        <v>56</v>
      </c>
      <c r="D38" s="1" t="str">
        <f>IFERROR(VLOOKUP(A38,[1]biopep_DB!$F$2:$J$1654,5,0),)</f>
        <v>Analysis of novel angiotensin I-converting enzyme inhibitory peptides from enzymatic hydrolysates of cuttlefish (Sepia officinalis) muscle proteins.; Review on the angiotensin-I-converting enzyme (ACE) inhibitor peptides from marine proteins.; What are the ideal properties for functional food peptides with antihypertensive effect? A computational peptidology approach.</v>
      </c>
      <c r="E38" s="1" t="str">
        <f>IFERROR(VLOOKUP(A38,[1]biopep_DB!$F$2:$L$1654,6,0),0)</f>
        <v>10.1021/jf904300q; 10.1007/s12010-012-0024-y; 10.1016/j.foodchem.2013.05.140</v>
      </c>
      <c r="F38" s="1" t="str">
        <f>IFERROR(VLOOKUP(A38,[1]biopep_DB!$F$2:$L$1654,7,0),0)</f>
        <v>20180574 23271625 23871047</v>
      </c>
      <c r="G38" s="5">
        <v>476.48</v>
      </c>
      <c r="H38" s="5">
        <v>6.78</v>
      </c>
      <c r="I38" s="5">
        <v>-0.12</v>
      </c>
      <c r="J38" s="6">
        <v>-0.875</v>
      </c>
      <c r="K38" s="5">
        <v>-13.73</v>
      </c>
      <c r="L38" s="6">
        <v>0.25</v>
      </c>
      <c r="M38" s="6">
        <v>0.04</v>
      </c>
      <c r="N38" s="6">
        <v>0.25</v>
      </c>
      <c r="O38" s="6">
        <v>0.25</v>
      </c>
      <c r="P38" s="6">
        <v>0.25</v>
      </c>
      <c r="Q38" s="7"/>
      <c r="R38" s="7"/>
    </row>
    <row r="39" spans="1:18">
      <c r="A39" s="4" t="s">
        <v>70</v>
      </c>
      <c r="B39" s="4">
        <f t="shared" si="0"/>
        <v>2</v>
      </c>
      <c r="C39" s="4" t="s">
        <v>71</v>
      </c>
      <c r="D39" s="1" t="str">
        <f>IFERROR(VLOOKUP(A39,[1]biopep_DB!$F$2:$J$1654,5,0),)</f>
        <v>Antihypertensive effect of peptide-enriched soy sauce-like seasoning and identification of its angiotensin I-converting enzyme inhibitory substances.;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Isolation and characterization of peptides with antihypertensive activity in foodstuffs.</v>
      </c>
      <c r="E39" s="1" t="str">
        <f>IFERROR(VLOOKUP(A39,[1]biopep_DB!$F$2:$L$1654,6,0),0)</f>
        <v>10.1021/jf903261h; 10.1016/j.talanta.2012.12.041; 10.1016/j.jprot.2013.06.023; 10.1080/10408398.2012.664829</v>
      </c>
      <c r="F39" s="1" t="str">
        <f>IFERROR(VLOOKUP(A39,[1]biopep_DB!$F$2:$L$1654,7,0),0)</f>
        <v>19994857 23598136 23806758 24915368</v>
      </c>
      <c r="G39" s="5">
        <v>202.25</v>
      </c>
      <c r="H39" s="5">
        <v>5.57</v>
      </c>
      <c r="I39" s="5">
        <v>-0.2</v>
      </c>
      <c r="J39" s="6">
        <v>3.15</v>
      </c>
      <c r="K39" s="5">
        <v>5</v>
      </c>
      <c r="L39" s="6">
        <v>1</v>
      </c>
      <c r="M39" s="6">
        <v>-3.365</v>
      </c>
      <c r="N39" s="6">
        <v>0.5</v>
      </c>
      <c r="O39" s="6">
        <v>0</v>
      </c>
      <c r="P39" s="6">
        <v>0.5</v>
      </c>
      <c r="Q39" s="7"/>
      <c r="R39" s="7"/>
    </row>
    <row r="40" spans="1:18">
      <c r="A40" s="4" t="s">
        <v>72</v>
      </c>
      <c r="B40" s="4">
        <f t="shared" si="0"/>
        <v>9</v>
      </c>
      <c r="C40" s="4"/>
      <c r="G40" s="5">
        <v>885.02</v>
      </c>
      <c r="H40" s="5">
        <v>6.05</v>
      </c>
      <c r="I40" s="5">
        <v>-0.2</v>
      </c>
      <c r="J40" s="6">
        <v>0.8889</v>
      </c>
      <c r="K40" s="5">
        <v>38.84</v>
      </c>
      <c r="L40" s="6">
        <v>0.5556</v>
      </c>
      <c r="M40" s="6">
        <v>-1.6689</v>
      </c>
      <c r="N40" s="6">
        <v>0.3333</v>
      </c>
      <c r="O40" s="6">
        <v>0.2222</v>
      </c>
      <c r="P40" s="6">
        <v>0.3333</v>
      </c>
      <c r="Q40" s="7"/>
      <c r="R40" s="7"/>
    </row>
    <row r="41" spans="1:18">
      <c r="A41" s="4" t="s">
        <v>73</v>
      </c>
      <c r="B41" s="4">
        <f t="shared" si="0"/>
        <v>3</v>
      </c>
      <c r="C41" s="4" t="s">
        <v>74</v>
      </c>
      <c r="D41" s="1" t="str">
        <f>IFERROR(VLOOKUP(A41,[1]biopep_DB!$F$2:$J$1654,5,0),)</f>
        <v>Inhibition of angiotensin-converting enzyme by synthetic peptide fragments of human kappa-casein.; Bioactive peptides in amaranth (Amaranthus hypochondriacus) seed.; What are the ideal properties for functional food peptides with antihypertensive effect? A computational peptidology approach.</v>
      </c>
      <c r="E41" s="1" t="str">
        <f>IFERROR(VLOOKUP(A41,[1]biopep_DB!$F$2:$L$1654,6,0),0)</f>
        <v>10.1021/jf072911z; 10.1016/j.foodchem.2013.05.140</v>
      </c>
      <c r="F41" s="1" t="str">
        <f>IFERROR(VLOOKUP(A41,[1]biopep_DB!$F$2:$L$1654,7,0),0)</f>
        <v>1368540 18211015 23871047</v>
      </c>
      <c r="G41" s="5">
        <v>299.37</v>
      </c>
      <c r="H41" s="5">
        <v>5.57</v>
      </c>
      <c r="I41" s="5">
        <v>-0.2</v>
      </c>
      <c r="J41" s="6">
        <v>1.5667</v>
      </c>
      <c r="K41" s="5">
        <v>-2.93</v>
      </c>
      <c r="L41" s="6">
        <v>1</v>
      </c>
      <c r="M41" s="6">
        <v>-2.2433</v>
      </c>
      <c r="N41" s="6">
        <v>0.3333</v>
      </c>
      <c r="O41" s="6">
        <v>0.3333</v>
      </c>
      <c r="P41" s="6">
        <v>0.3333</v>
      </c>
      <c r="Q41" s="7"/>
      <c r="R41" s="7"/>
    </row>
    <row r="42" spans="1:18">
      <c r="A42" s="4" t="s">
        <v>75</v>
      </c>
      <c r="B42" s="4">
        <f t="shared" si="0"/>
        <v>4</v>
      </c>
      <c r="C42" s="4" t="s">
        <v>76</v>
      </c>
      <c r="D42" s="1" t="str">
        <f>IFERROR(VLOOKUP(A42,[1]biopep_DB!$F$2:$J$1654,5,0),)</f>
        <v>Inhibition of angiotensin-converting enzyme by synthetic peptide fragments of human kappa-casein.; What are the ideal properties for functional food peptides with antihypertensive effect? A computational peptidology approach.</v>
      </c>
      <c r="E42" s="1" t="str">
        <f>IFERROR(VLOOKUP(A42,[1]biopep_DB!$F$2:$L$1654,6,0),0)</f>
        <v>10.1016/j.foodchem.2013.05.140</v>
      </c>
      <c r="F42" s="1" t="str">
        <f>IFERROR(VLOOKUP(A42,[1]biopep_DB!$F$2:$L$1654,7,0),0)</f>
        <v>1368540 23871047</v>
      </c>
      <c r="G42" s="5">
        <v>396.48</v>
      </c>
      <c r="H42" s="5">
        <v>5.57</v>
      </c>
      <c r="I42" s="5">
        <v>-0.2</v>
      </c>
      <c r="J42" s="6">
        <v>0.775</v>
      </c>
      <c r="K42" s="5">
        <v>48.45</v>
      </c>
      <c r="L42" s="6">
        <v>1</v>
      </c>
      <c r="M42" s="6">
        <v>-1.6825</v>
      </c>
      <c r="N42" s="6">
        <v>0.25</v>
      </c>
      <c r="O42" s="6">
        <v>0.5</v>
      </c>
      <c r="P42" s="6">
        <v>0.25</v>
      </c>
      <c r="Q42" s="7"/>
      <c r="R42" s="7"/>
    </row>
    <row r="43" spans="1:18">
      <c r="A43" s="4" t="s">
        <v>77</v>
      </c>
      <c r="B43" s="4">
        <f t="shared" si="0"/>
        <v>6</v>
      </c>
      <c r="C43" s="4"/>
      <c r="D43" s="1" t="str">
        <f>IFERROR(VLOOKUP(A43,[1]biopep_DB!$F$2:$J$1654,5,0),)</f>
        <v>Isolation and characterization of peptides with antihypertensive activity in foodstuffs.</v>
      </c>
      <c r="E43" s="1" t="str">
        <f>IFERROR(VLOOKUP(A43,[1]biopep_DB!$F$2:$L$1654,6,0),0)</f>
        <v>10.1080/10408398.2012.664829</v>
      </c>
      <c r="F43" s="1">
        <f>IFERROR(VLOOKUP(A43,[1]biopep_DB!$F$2:$L$1654,7,0),0)</f>
        <v>24915368</v>
      </c>
      <c r="G43" s="5">
        <v>615.76</v>
      </c>
      <c r="H43" s="5">
        <v>8.8</v>
      </c>
      <c r="I43" s="5">
        <v>0.79</v>
      </c>
      <c r="J43" s="6">
        <v>1.2167</v>
      </c>
      <c r="K43" s="5">
        <v>-5.82</v>
      </c>
      <c r="L43" s="6">
        <v>0.6667</v>
      </c>
      <c r="M43" s="6">
        <v>-1.9367</v>
      </c>
      <c r="N43" s="6">
        <v>0.6667</v>
      </c>
      <c r="O43" s="6">
        <v>0</v>
      </c>
      <c r="P43" s="6">
        <v>0.5</v>
      </c>
      <c r="Q43" s="7"/>
      <c r="R43" s="7"/>
    </row>
    <row r="44" spans="1:18">
      <c r="A44" s="4" t="s">
        <v>78</v>
      </c>
      <c r="B44" s="4">
        <f t="shared" si="0"/>
        <v>4</v>
      </c>
      <c r="C44" s="4" t="s">
        <v>79</v>
      </c>
      <c r="D44" s="1" t="str">
        <f>IFERROR(VLOOKUP(A44,[1]biopep_DB!$F$2:$J$1654,5,0),)</f>
        <v>Identification of an antihypertensive peptide from peptic digest of wakame (Undaria pinnatifida).;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44" s="1" t="str">
        <f>IFERROR(VLOOKUP(A44,[1]biopep_DB!$F$2:$L$1654,6,0),0)</f>
        <v>10.1016/s0955-2863(00)00110-8; 10.1007/s12010-012-0024-y; 10.1016/j.talanta.2012.12.041; 10.1016/j.foodchem.2013.05.140; 10.1080/10408398.2012.664829</v>
      </c>
      <c r="F44" s="1" t="str">
        <f>IFERROR(VLOOKUP(A44,[1]biopep_DB!$F$2:$L$1654,7,0),0)</f>
        <v>11091100 23271625 23598136 23871047 24915368</v>
      </c>
      <c r="G44" s="5">
        <v>493.6</v>
      </c>
      <c r="H44" s="5">
        <v>8.63</v>
      </c>
      <c r="I44" s="5">
        <v>0.79</v>
      </c>
      <c r="J44" s="6">
        <v>0.275</v>
      </c>
      <c r="K44" s="5">
        <v>7.5</v>
      </c>
      <c r="L44" s="6">
        <v>0.5</v>
      </c>
      <c r="M44" s="6">
        <v>-1.2525</v>
      </c>
      <c r="N44" s="6">
        <v>0.5</v>
      </c>
      <c r="O44" s="6">
        <v>0</v>
      </c>
      <c r="P44" s="6">
        <v>0.5</v>
      </c>
      <c r="Q44" s="7"/>
      <c r="R44" s="7"/>
    </row>
    <row r="45" spans="1:18">
      <c r="A45" s="4" t="s">
        <v>80</v>
      </c>
      <c r="B45" s="4">
        <f t="shared" si="0"/>
        <v>3</v>
      </c>
      <c r="C45" s="4" t="s">
        <v>31</v>
      </c>
      <c r="D45" s="1" t="str">
        <f>IFERROR(VLOOKUP(A45,[1]biopep_DB!$F$2:$J$1654,5,0),)</f>
        <v/>
      </c>
      <c r="E45" s="1" t="str">
        <f>IFERROR(VLOOKUP(A45,[1]biopep_DB!$F$2:$L$1654,6,0),0)</f>
        <v/>
      </c>
      <c r="F45" s="1" t="str">
        <f>IFERROR(VLOOKUP(A45,[1]biopep_DB!$F$2:$L$1654,7,0),0)</f>
        <v/>
      </c>
      <c r="G45" s="5">
        <v>320.41</v>
      </c>
      <c r="H45" s="5">
        <v>8.27</v>
      </c>
      <c r="I45" s="5">
        <v>0.78</v>
      </c>
      <c r="J45" s="6">
        <v>0.1333</v>
      </c>
      <c r="K45" s="5">
        <v>6.67</v>
      </c>
      <c r="L45" s="6">
        <v>0.3333</v>
      </c>
      <c r="M45" s="6">
        <v>-0.5033</v>
      </c>
      <c r="N45" s="6">
        <v>0.6667</v>
      </c>
      <c r="O45" s="6">
        <v>0</v>
      </c>
      <c r="P45" s="6">
        <v>0</v>
      </c>
      <c r="Q45" s="7"/>
      <c r="R45" s="7"/>
    </row>
    <row r="46" spans="1:18">
      <c r="A46" s="4" t="s">
        <v>81</v>
      </c>
      <c r="B46" s="4">
        <f t="shared" si="0"/>
        <v>5</v>
      </c>
      <c r="C46" s="4" t="s">
        <v>31</v>
      </c>
      <c r="D46" s="1" t="str">
        <f>IFERROR(VLOOKUP(A46,[1]biopep_DB!$F$2:$J$1654,5,0),)</f>
        <v/>
      </c>
      <c r="E46" s="1" t="str">
        <f>IFERROR(VLOOKUP(A46,[1]biopep_DB!$F$2:$L$1654,6,0),0)</f>
        <v/>
      </c>
      <c r="F46" s="1" t="str">
        <f>IFERROR(VLOOKUP(A46,[1]biopep_DB!$F$2:$L$1654,7,0),0)</f>
        <v/>
      </c>
      <c r="G46" s="5">
        <v>517.53</v>
      </c>
      <c r="H46" s="5">
        <v>5.88</v>
      </c>
      <c r="I46" s="5">
        <v>-0.2</v>
      </c>
      <c r="J46" s="6">
        <v>-1.9</v>
      </c>
      <c r="K46" s="5">
        <v>8</v>
      </c>
      <c r="L46" s="6">
        <v>0.2</v>
      </c>
      <c r="M46" s="6">
        <v>0.374</v>
      </c>
      <c r="N46" s="6">
        <v>0.4</v>
      </c>
      <c r="O46" s="6">
        <v>0.4</v>
      </c>
      <c r="P46" s="6">
        <v>0</v>
      </c>
      <c r="Q46" s="7"/>
      <c r="R46" s="7"/>
    </row>
    <row r="47" spans="1:18">
      <c r="A47" s="4" t="s">
        <v>82</v>
      </c>
      <c r="B47" s="4">
        <f t="shared" si="0"/>
        <v>3</v>
      </c>
      <c r="C47" s="4" t="s">
        <v>36</v>
      </c>
      <c r="D47" s="1" t="str">
        <f>IFERROR(VLOOKUP(A47,[1]biopep_DB!$F$2:$J$1654,5,0),)</f>
        <v>Angiotensin I-converting enzyme inhibitory peptides in an alkaline protease hydrolyzate derived from sardine muscle.; Structural requirements of Angiotensin I-converting enzyme inhibitory peptides: quantitative structure-activity relationship study of di- and tripeptides.; Inhibition strength of short peptides derived from an ACE inhibitory peptide.; Review on the angiotensin-I-converting enzyme (ACE) inhibitor peptides from marine proteins.; What are the ideal properties for functional food peptides with antihypertensive effect? A computational peptidology approach.</v>
      </c>
      <c r="E47" s="1" t="str">
        <f>IFERROR(VLOOKUP(A47,[1]biopep_DB!$F$2:$L$1654,6,0),0)</f>
        <v>10.1271/bbb.58.2244; 10.1021/jf051263l; 10.1021/jf202902r; 10.1007/s12010-012-0024-y; 10.1016/j.foodchem.2013.05.140</v>
      </c>
      <c r="F47" s="1" t="str">
        <f>IFERROR(VLOOKUP(A47,[1]biopep_DB!$F$2:$L$1654,7,0),0)</f>
        <v>7765718 16448176 21923188 23271625 23871047</v>
      </c>
      <c r="G47" s="5">
        <v>345.44</v>
      </c>
      <c r="H47" s="5">
        <v>10</v>
      </c>
      <c r="I47" s="5">
        <v>1.79</v>
      </c>
      <c r="J47" s="6">
        <v>-2</v>
      </c>
      <c r="K47" s="5">
        <v>6.67</v>
      </c>
      <c r="L47" s="6">
        <v>0.3333</v>
      </c>
      <c r="M47" s="6">
        <v>0.45</v>
      </c>
      <c r="N47" s="6">
        <v>1</v>
      </c>
      <c r="O47" s="6">
        <v>0</v>
      </c>
      <c r="P47" s="6">
        <v>0</v>
      </c>
      <c r="Q47" s="7"/>
      <c r="R47" s="7"/>
    </row>
    <row r="48" spans="1:18">
      <c r="A48" s="4" t="s">
        <v>83</v>
      </c>
      <c r="B48" s="4">
        <f t="shared" si="0"/>
        <v>5</v>
      </c>
      <c r="C48" s="4" t="s">
        <v>84</v>
      </c>
      <c r="D48" s="1" t="str">
        <f>IFERROR(VLOOKUP(A48,[1]biopep_DB!$F$2:$J$1654,5,0),)</f>
        <v>A new QSAR model, for angiotensin I-converting enzyme inhibitory oligopeptides.</v>
      </c>
      <c r="E48" s="1" t="str">
        <f>IFERROR(VLOOKUP(A48,[1]biopep_DB!$F$2:$L$1654,6,0),0)</f>
        <v>10.1016/j.foodchem.2012.09.092</v>
      </c>
      <c r="F48" s="1">
        <f>IFERROR(VLOOKUP(A48,[1]biopep_DB!$F$2:$L$1654,7,0),0)</f>
        <v>23194537</v>
      </c>
      <c r="G48" s="5">
        <v>587.71</v>
      </c>
      <c r="H48" s="5">
        <v>8.64</v>
      </c>
      <c r="I48" s="5">
        <v>0.8</v>
      </c>
      <c r="J48" s="6">
        <v>-1.14</v>
      </c>
      <c r="K48" s="5">
        <v>-8.98</v>
      </c>
      <c r="L48" s="6">
        <v>0.4</v>
      </c>
      <c r="M48" s="6">
        <v>-0.386</v>
      </c>
      <c r="N48" s="6">
        <v>1</v>
      </c>
      <c r="O48" s="6">
        <v>0</v>
      </c>
      <c r="P48" s="6">
        <v>0.2</v>
      </c>
      <c r="Q48" s="7"/>
      <c r="R48" s="7"/>
    </row>
    <row r="49" spans="1:18">
      <c r="A49" s="4" t="s">
        <v>85</v>
      </c>
      <c r="B49" s="4">
        <f t="shared" si="0"/>
        <v>3</v>
      </c>
      <c r="C49" s="4" t="s">
        <v>31</v>
      </c>
      <c r="D49" s="1" t="str">
        <f>IFERROR(VLOOKUP(A49,[1]biopep_DB!$F$2:$J$1654,5,0),)</f>
        <v/>
      </c>
      <c r="E49" s="1" t="str">
        <f>IFERROR(VLOOKUP(A49,[1]biopep_DB!$F$2:$L$1654,6,0),0)</f>
        <v/>
      </c>
      <c r="F49" s="1" t="str">
        <f>IFERROR(VLOOKUP(A49,[1]biopep_DB!$F$2:$L$1654,7,0),0)</f>
        <v/>
      </c>
      <c r="G49" s="5">
        <v>314.38</v>
      </c>
      <c r="H49" s="5">
        <v>8.8</v>
      </c>
      <c r="I49" s="5">
        <v>0.79</v>
      </c>
      <c r="J49" s="6">
        <v>-1.2333</v>
      </c>
      <c r="K49" s="5">
        <v>-18.47</v>
      </c>
      <c r="L49" s="6">
        <v>0.6667</v>
      </c>
      <c r="M49" s="6">
        <v>-0.0767</v>
      </c>
      <c r="N49" s="6">
        <v>0.6667</v>
      </c>
      <c r="O49" s="6">
        <v>0.3333</v>
      </c>
      <c r="P49" s="6">
        <v>0</v>
      </c>
      <c r="Q49" s="7"/>
      <c r="R49" s="7"/>
    </row>
    <row r="50" spans="1:18">
      <c r="A50" s="4" t="s">
        <v>86</v>
      </c>
      <c r="B50" s="4">
        <f t="shared" si="0"/>
        <v>5</v>
      </c>
      <c r="C50" s="4" t="s">
        <v>31</v>
      </c>
      <c r="D50" s="1" t="str">
        <f>IFERROR(VLOOKUP(A50,[1]biopep_DB!$F$2:$J$1654,5,0),)</f>
        <v/>
      </c>
      <c r="E50" s="1" t="str">
        <f>IFERROR(VLOOKUP(A50,[1]biopep_DB!$F$2:$L$1654,6,0),0)</f>
        <v/>
      </c>
      <c r="F50" s="1" t="str">
        <f>IFERROR(VLOOKUP(A50,[1]biopep_DB!$F$2:$L$1654,7,0),0)</f>
        <v/>
      </c>
      <c r="G50" s="5">
        <v>500.55</v>
      </c>
      <c r="H50" s="5">
        <v>6.05</v>
      </c>
      <c r="I50" s="5">
        <v>-0.2</v>
      </c>
      <c r="J50" s="6">
        <v>-1.52</v>
      </c>
      <c r="K50" s="5">
        <v>27.68</v>
      </c>
      <c r="L50" s="6">
        <v>0.4</v>
      </c>
      <c r="M50" s="6">
        <v>0.094</v>
      </c>
      <c r="N50" s="6">
        <v>0.6</v>
      </c>
      <c r="O50" s="6">
        <v>0.4</v>
      </c>
      <c r="P50" s="6">
        <v>0</v>
      </c>
      <c r="Q50" s="7"/>
      <c r="R50" s="7"/>
    </row>
    <row r="51" spans="1:18">
      <c r="A51" s="4" t="s">
        <v>87</v>
      </c>
      <c r="B51" s="4">
        <f t="shared" si="0"/>
        <v>5</v>
      </c>
      <c r="C51" s="4" t="s">
        <v>31</v>
      </c>
      <c r="D51" s="1" t="str">
        <f>IFERROR(VLOOKUP(A51,[1]biopep_DB!$F$2:$J$1654,5,0),)</f>
        <v/>
      </c>
      <c r="E51" s="1" t="str">
        <f>IFERROR(VLOOKUP(A51,[1]biopep_DB!$F$2:$L$1654,6,0),0)</f>
        <v/>
      </c>
      <c r="F51" s="1" t="str">
        <f>IFERROR(VLOOKUP(A51,[1]biopep_DB!$F$2:$L$1654,7,0),0)</f>
        <v/>
      </c>
      <c r="G51" s="5">
        <v>535.61</v>
      </c>
      <c r="H51" s="5">
        <v>8.27</v>
      </c>
      <c r="I51" s="5">
        <v>0.78</v>
      </c>
      <c r="J51" s="6">
        <v>-0.78</v>
      </c>
      <c r="K51" s="5">
        <v>58.12</v>
      </c>
      <c r="L51" s="6">
        <v>0.2</v>
      </c>
      <c r="M51" s="6">
        <v>0.138</v>
      </c>
      <c r="N51" s="6">
        <v>0.4</v>
      </c>
      <c r="O51" s="6">
        <v>0.2</v>
      </c>
      <c r="P51" s="6">
        <v>0</v>
      </c>
      <c r="Q51" s="7"/>
      <c r="R51" s="7"/>
    </row>
    <row r="52" spans="1:18">
      <c r="A52" s="4" t="s">
        <v>88</v>
      </c>
      <c r="B52" s="4">
        <f t="shared" si="0"/>
        <v>5</v>
      </c>
      <c r="C52" s="4" t="s">
        <v>89</v>
      </c>
      <c r="D52" s="1" t="str">
        <f>IFERROR(VLOOKUP(A52,[1]biopep_DB!$F$2:$J$1654,5,0),)</f>
        <v>A new QSAR model, for angiotensin I-converting enzyme inhibitory oligopeptides.</v>
      </c>
      <c r="E52" s="1" t="str">
        <f>IFERROR(VLOOKUP(A52,[1]biopep_DB!$F$2:$L$1654,6,0),0)</f>
        <v>10.1016/j.foodchem.2012.09.092</v>
      </c>
      <c r="F52" s="1">
        <f>IFERROR(VLOOKUP(A52,[1]biopep_DB!$F$2:$L$1654,7,0),0)</f>
        <v>23194537</v>
      </c>
      <c r="G52" s="5">
        <v>646.75</v>
      </c>
      <c r="H52" s="5">
        <v>8.22</v>
      </c>
      <c r="I52" s="5">
        <v>0.78</v>
      </c>
      <c r="J52" s="6">
        <v>-0.44</v>
      </c>
      <c r="K52" s="5">
        <v>8</v>
      </c>
      <c r="L52" s="6">
        <v>0.2</v>
      </c>
      <c r="M52" s="6">
        <v>-0.246</v>
      </c>
      <c r="N52" s="6">
        <v>0.4</v>
      </c>
      <c r="O52" s="6">
        <v>0</v>
      </c>
      <c r="P52" s="6">
        <v>0.4</v>
      </c>
      <c r="Q52" s="7"/>
      <c r="R52" s="7"/>
    </row>
    <row r="53" spans="1:18">
      <c r="A53" s="4" t="s">
        <v>90</v>
      </c>
      <c r="B53" s="4">
        <f t="shared" si="0"/>
        <v>5</v>
      </c>
      <c r="C53" s="4" t="s">
        <v>91</v>
      </c>
      <c r="D53" s="1" t="str">
        <f>IFERROR(VLOOKUP(A53,[1]biopep_DB!$F$2:$J$1654,5,0),)</f>
        <v>Antihypertensive peptides from food proteins: a review.; A new QSAR model, for angiotensin I-converting enzyme inhibitory oligopeptides.</v>
      </c>
      <c r="E53" s="1" t="str">
        <f>IFERROR(VLOOKUP(A53,[1]biopep_DB!$F$2:$L$1654,6,0),0)</f>
        <v>10.1039/c2fo10192k; 10.1016/j.foodchem.2012.09.092</v>
      </c>
      <c r="F53" s="1" t="str">
        <f>IFERROR(VLOOKUP(A53,[1]biopep_DB!$F$2:$L$1654,7,0),0)</f>
        <v>22249830 23194537</v>
      </c>
      <c r="G53" s="5">
        <v>630.69</v>
      </c>
      <c r="H53" s="5">
        <v>8.54</v>
      </c>
      <c r="I53" s="5">
        <v>0.79</v>
      </c>
      <c r="J53" s="6">
        <v>-1.1</v>
      </c>
      <c r="K53" s="5">
        <v>8</v>
      </c>
      <c r="L53" s="6">
        <v>0.2</v>
      </c>
      <c r="M53" s="6">
        <v>0.178</v>
      </c>
      <c r="N53" s="6">
        <v>0.4</v>
      </c>
      <c r="O53" s="6">
        <v>0.2</v>
      </c>
      <c r="P53" s="6">
        <v>0.4</v>
      </c>
      <c r="Q53" s="7"/>
      <c r="R53" s="7"/>
    </row>
    <row r="54" spans="1:18">
      <c r="A54" s="4" t="s">
        <v>92</v>
      </c>
      <c r="B54" s="4">
        <f t="shared" si="0"/>
        <v>2</v>
      </c>
      <c r="C54" s="4"/>
      <c r="D54" s="1" t="str">
        <f>IFERROR(VLOOKUP(A54,[1]biopep_DB!$F$2:$J$1654,5,0),)</f>
        <v>Three-dimensional holograph vector of atomic interaction field (3D-HoVAIF): a novel rotation-translation invariant 3D structure descriptor and its applications to peptides.</v>
      </c>
      <c r="E54" s="1" t="str">
        <f>IFERROR(VLOOKUP(A54,[1]biopep_DB!$F$2:$L$1654,6,0),0)</f>
        <v>10.1002/psc.892</v>
      </c>
      <c r="F54" s="1">
        <f>IFERROR(VLOOKUP(A54,[1]biopep_DB!$F$2:$L$1654,7,0),0)</f>
        <v>17654623</v>
      </c>
      <c r="G54" s="5">
        <v>202.25</v>
      </c>
      <c r="H54" s="5">
        <v>5.57</v>
      </c>
      <c r="I54" s="5">
        <v>-0.2</v>
      </c>
      <c r="J54" s="6">
        <v>2.8</v>
      </c>
      <c r="K54" s="5">
        <v>5</v>
      </c>
      <c r="L54" s="6">
        <v>1</v>
      </c>
      <c r="M54" s="6">
        <v>-3.365</v>
      </c>
      <c r="N54" s="6">
        <v>1</v>
      </c>
      <c r="O54" s="6">
        <v>0</v>
      </c>
      <c r="P54" s="6">
        <v>0.5</v>
      </c>
      <c r="Q54" s="7"/>
      <c r="R54" s="7"/>
    </row>
    <row r="55" spans="1:18">
      <c r="A55" s="4" t="s">
        <v>93</v>
      </c>
      <c r="B55" s="4">
        <f t="shared" si="0"/>
        <v>5</v>
      </c>
      <c r="C55" s="4" t="s">
        <v>94</v>
      </c>
      <c r="D55" s="1" t="str">
        <f>IFERROR(VLOOKUP(A55,[1]biopep_DB!$F$2:$J$1654,5,0),)</f>
        <v>A new QSAR model, for angiotensin I-converting enzyme inhibitory oligopeptides.</v>
      </c>
      <c r="E55" s="1" t="str">
        <f>IFERROR(VLOOKUP(A55,[1]biopep_DB!$F$2:$L$1654,6,0),0)</f>
        <v>10.1016/j.foodchem.2012.09.092</v>
      </c>
      <c r="F55" s="1" t="str">
        <f>IFERROR(VLOOKUP(A55,[1]biopep_DB!$F$2:$L$1654,7,0),0)</f>
        <v>23194537</v>
      </c>
      <c r="G55" s="5">
        <v>548.63</v>
      </c>
      <c r="H55" s="5">
        <v>5.57</v>
      </c>
      <c r="I55" s="5">
        <v>-0.2</v>
      </c>
      <c r="J55" s="6">
        <v>1.34</v>
      </c>
      <c r="K55" s="5">
        <v>8</v>
      </c>
      <c r="L55" s="6">
        <v>0.8</v>
      </c>
      <c r="M55" s="6">
        <v>-2.032</v>
      </c>
      <c r="N55" s="6">
        <v>0.6</v>
      </c>
      <c r="O55" s="6">
        <v>0</v>
      </c>
      <c r="P55" s="6">
        <v>0.4</v>
      </c>
      <c r="Q55" s="7"/>
      <c r="R55" s="7"/>
    </row>
    <row r="56" spans="1:18">
      <c r="A56" s="4" t="s">
        <v>95</v>
      </c>
      <c r="B56" s="4">
        <f t="shared" si="0"/>
        <v>4</v>
      </c>
      <c r="C56" s="4" t="s">
        <v>96</v>
      </c>
      <c r="D56" s="1" t="str">
        <f>IFERROR(VLOOKUP(A56,[1]biopep_DB!$F$2:$J$1654,5,0),)</f>
        <v>ACE inhibitory tetrapeptides from Amaranthus hypochondriacus 11S globulin.; What are the ideal properties for functional food peptides with antihypertensive effect? A computational peptidology approach.</v>
      </c>
      <c r="E56" s="1" t="str">
        <f>IFERROR(VLOOKUP(A56,[1]biopep_DB!$F$2:$L$1654,6,0),0)</f>
        <v>10.1016/j.phytochem.2009.04.006; 10.1016/j.foodchem.2013.05.140</v>
      </c>
      <c r="F56" s="1" t="str">
        <f>IFERROR(VLOOKUP(A56,[1]biopep_DB!$F$2:$L$1654,7,0),0)</f>
        <v>19443002 23871047</v>
      </c>
      <c r="G56" s="5">
        <v>428.48</v>
      </c>
      <c r="H56" s="5">
        <v>4.05</v>
      </c>
      <c r="I56" s="5">
        <v>-1.2</v>
      </c>
      <c r="J56" s="6">
        <v>0.125</v>
      </c>
      <c r="K56" s="5">
        <v>55.65</v>
      </c>
      <c r="L56" s="6">
        <v>0.75</v>
      </c>
      <c r="M56" s="6">
        <v>-1.2725</v>
      </c>
      <c r="N56" s="6">
        <v>0.75</v>
      </c>
      <c r="O56" s="6">
        <v>0.25</v>
      </c>
      <c r="P56" s="6">
        <v>0.25</v>
      </c>
      <c r="Q56" s="7"/>
      <c r="R56" s="7"/>
    </row>
    <row r="57" spans="1:18">
      <c r="A57" s="4" t="s">
        <v>97</v>
      </c>
      <c r="B57" s="4">
        <f t="shared" si="0"/>
        <v>9</v>
      </c>
      <c r="C57" s="4" t="s">
        <v>98</v>
      </c>
      <c r="D57" s="1" t="str">
        <f>IFERROR(VLOOKUP(A57,[1]biopep_DB!$F$2:$J$1654,5,0),)</f>
        <v>Lactokinins: whey protein-derived ACE inhibitory peptides.; Temporal gene expression and probiotic attributes of Lactobacillus acidophilus during growth in milk.; QSAR study on angiotensin-converting enzyme inhibitor oligopeptides based on a novel set of sequence information descriptors.; Bioactive peptides derived from milk proteins and their health beneficial potentials: an update.; A new QSAR model, for angiotensin I-converting enzyme inhibitory oligopeptides.</v>
      </c>
      <c r="E57" s="1" t="str">
        <f>IFERROR(VLOOKUP(A57,[1]biopep_DB!$F$2:$L$1654,6,0),0)</f>
        <v>10.1002/(SICI)1521-3803(19990601)43:3&lt;165::AID-FOOD165&gt;3.0.CO;2-2; 10.3168/jds.2008-1457; 10.1007/s00894-010-0862-x; 10.1039/c0fo00016g; 10.1016/j.foodchem.2012.09.092</v>
      </c>
      <c r="F57" s="1" t="str">
        <f>IFERROR(VLOOKUP(A57,[1]biopep_DB!$F$2:$L$1654,7,0),0)</f>
        <v>10399349 19233780 20941517 21773582 23194537</v>
      </c>
      <c r="G57" s="5">
        <v>1001.18</v>
      </c>
      <c r="H57" s="5">
        <v>11</v>
      </c>
      <c r="I57" s="5">
        <v>1.79</v>
      </c>
      <c r="J57" s="6">
        <v>0.3667</v>
      </c>
      <c r="K57" s="5">
        <v>-0.54</v>
      </c>
      <c r="L57" s="6">
        <v>0.6667</v>
      </c>
      <c r="M57" s="6">
        <v>-1.2867</v>
      </c>
      <c r="N57" s="6">
        <v>0.5556</v>
      </c>
      <c r="O57" s="6">
        <v>0.1111</v>
      </c>
      <c r="P57" s="6">
        <v>0.3333</v>
      </c>
      <c r="Q57" s="7"/>
      <c r="R57" s="7"/>
    </row>
    <row r="58" spans="1:18">
      <c r="A58" s="4" t="s">
        <v>99</v>
      </c>
      <c r="B58" s="4">
        <f t="shared" si="0"/>
        <v>9</v>
      </c>
      <c r="C58" s="4" t="s">
        <v>100</v>
      </c>
      <c r="D58" s="1" t="str">
        <f>IFERROR(VLOOKUP(A58,[1]biopep_DB!$F$2:$J$1654,5,0),)</f>
        <v>Angiotensin converting enzyme inhibitory peptides derived from food proteins: biochemistry, bioactivity and production.; QSAR study on angiotensin-converting enzyme inhibitor oligopeptides based on a novel set of sequence information descriptors.; A new QSAR model, for angiotensin I-converting enzyme inhibitory oligopeptides.</v>
      </c>
      <c r="E58" s="1" t="str">
        <f>IFERROR(VLOOKUP(A58,[1]biopep_DB!$F$2:$L$1654,6,0),0)</f>
        <v>10.2174/138161207780363068; 10.1007/s00894-010-0862-x; 10.1016/j.foodchem.2012.09.092</v>
      </c>
      <c r="F58" s="1" t="str">
        <f>IFERROR(VLOOKUP(A58,[1]biopep_DB!$F$2:$L$1654,7,0),0)</f>
        <v>17430180 20941517 23194537</v>
      </c>
      <c r="G58" s="5">
        <v>1111.2</v>
      </c>
      <c r="H58" s="5">
        <v>4.05</v>
      </c>
      <c r="I58" s="5">
        <v>-1.2</v>
      </c>
      <c r="J58" s="6">
        <v>-0.2667</v>
      </c>
      <c r="K58" s="5">
        <v>49.76</v>
      </c>
      <c r="L58" s="6">
        <v>0.4444</v>
      </c>
      <c r="M58" s="6">
        <v>-0.9167</v>
      </c>
      <c r="N58" s="6">
        <v>0.3333</v>
      </c>
      <c r="O58" s="6">
        <v>0.2222</v>
      </c>
      <c r="P58" s="6">
        <v>0.4444</v>
      </c>
      <c r="Q58" s="7"/>
      <c r="R58" s="7"/>
    </row>
    <row r="59" spans="1:18">
      <c r="A59" s="4" t="s">
        <v>101</v>
      </c>
      <c r="B59" s="4">
        <f t="shared" si="0"/>
        <v>11</v>
      </c>
      <c r="C59" s="4" t="s">
        <v>102</v>
      </c>
      <c r="D59" s="1" t="str">
        <f>IFERROR(VLOOKUP(A59,[1]biopep_DB!$F$2:$J$1654,5,0),)</f>
        <v>Angiotensin converting enzyme inhibitory peptides derived from food proteins: biochemistry, bioactivity and production.; A new QSAR model, for angiotensin I-converting enzyme inhibitory oligopeptides.</v>
      </c>
      <c r="E59" s="1" t="str">
        <f>IFERROR(VLOOKUP(A59,[1]biopep_DB!$F$2:$L$1654,6,0),0)</f>
        <v>10.2174/138161207780363068; 10.1016/j.foodchem.2012.09.092</v>
      </c>
      <c r="F59" s="1" t="str">
        <f>IFERROR(VLOOKUP(A59,[1]biopep_DB!$F$2:$L$1654,7,0),0)</f>
        <v>17430180 23194537</v>
      </c>
      <c r="G59" s="5">
        <v>1367.51</v>
      </c>
      <c r="H59" s="5">
        <v>6.05</v>
      </c>
      <c r="I59" s="5">
        <v>-0.2</v>
      </c>
      <c r="J59" s="6">
        <v>-0.8909</v>
      </c>
      <c r="K59" s="5">
        <v>42.53</v>
      </c>
      <c r="L59" s="6">
        <v>0.3636</v>
      </c>
      <c r="M59" s="6">
        <v>-0.4827</v>
      </c>
      <c r="N59" s="6">
        <v>0.3636</v>
      </c>
      <c r="O59" s="6">
        <v>0.1818</v>
      </c>
      <c r="P59" s="6">
        <v>0.3636</v>
      </c>
      <c r="Q59" s="7"/>
      <c r="R59" s="7"/>
    </row>
    <row r="60" spans="1:18">
      <c r="A60" s="4" t="s">
        <v>103</v>
      </c>
      <c r="B60" s="4">
        <f t="shared" si="0"/>
        <v>3</v>
      </c>
      <c r="C60" s="4" t="s">
        <v>36</v>
      </c>
      <c r="D60" s="1" t="str">
        <f>IFERROR(VLOOKUP(A60,[1]biopep_DB!$F$2:$J$1654,5,0),)</f>
        <v>Structural requirements of Angiotensin I-converting enzyme inhibitory peptides: quantitative structure-activity relationship study of di- and tripeptides.</v>
      </c>
      <c r="E60" s="1" t="str">
        <f>IFERROR(VLOOKUP(A60,[1]biopep_DB!$F$2:$L$1654,6,0),0)</f>
        <v>10.1021/jf051263l</v>
      </c>
      <c r="F60" s="1">
        <f>IFERROR(VLOOKUP(A60,[1]biopep_DB!$F$2:$L$1654,7,0),0)</f>
        <v>16448176</v>
      </c>
      <c r="G60" s="5">
        <v>299.37</v>
      </c>
      <c r="H60" s="5">
        <v>5.57</v>
      </c>
      <c r="I60" s="5">
        <v>-0.2</v>
      </c>
      <c r="J60" s="6">
        <v>1.3333</v>
      </c>
      <c r="K60" s="5">
        <v>70.87</v>
      </c>
      <c r="L60" s="6">
        <v>1</v>
      </c>
      <c r="M60" s="6">
        <v>-2.2433</v>
      </c>
      <c r="N60" s="6">
        <v>0.6667</v>
      </c>
      <c r="O60" s="6">
        <v>0.3333</v>
      </c>
      <c r="P60" s="6">
        <v>0.3333</v>
      </c>
      <c r="Q60" s="7"/>
      <c r="R60" s="7"/>
    </row>
    <row r="61" spans="1:18">
      <c r="A61" s="4" t="s">
        <v>104</v>
      </c>
      <c r="B61" s="4">
        <f t="shared" si="0"/>
        <v>5</v>
      </c>
      <c r="C61" s="4" t="s">
        <v>105</v>
      </c>
      <c r="D61" s="1" t="str">
        <f>IFERROR(VLOOKUP(A61,[1]biopep_DB!$F$2:$J$1654,5,0),)</f>
        <v>Peptide inhibitors for angiotensin I-converting enzyme from thermolysin digest of dried bonito.; Isolation and characterization of angiotensin I-converting enzyme inhibitory peptides derived from bonito bowels.; Review on the angiotensin-I-converting enzyme (ACE) inhibitor peptides from marine proteins.</v>
      </c>
      <c r="E61" s="1" t="str">
        <f>IFERROR(VLOOKUP(A61,[1]biopep_DB!$F$2:$L$1654,6,0),0)</f>
        <v>10.1271/bbb.56.1541; 10.1271/bbb.57.1743; 10.1007/s12010-012-0024-y</v>
      </c>
      <c r="F61" s="1" t="str">
        <f>IFERROR(VLOOKUP(A61,[1]biopep_DB!$F$2:$L$1654,7,0),0)</f>
        <v>1369054 7764272 23271625</v>
      </c>
      <c r="G61" s="5">
        <v>507.58</v>
      </c>
      <c r="H61" s="5">
        <v>6.79</v>
      </c>
      <c r="I61" s="5">
        <v>-0.12</v>
      </c>
      <c r="J61" s="6">
        <v>0.52</v>
      </c>
      <c r="K61" s="5">
        <v>46.52</v>
      </c>
      <c r="L61" s="6">
        <v>0.8</v>
      </c>
      <c r="M61" s="6">
        <v>-1.51</v>
      </c>
      <c r="N61" s="6">
        <v>0.6</v>
      </c>
      <c r="O61" s="6">
        <v>0.2</v>
      </c>
      <c r="P61" s="6">
        <v>0.2</v>
      </c>
      <c r="Q61" s="7"/>
      <c r="R61" s="7"/>
    </row>
    <row r="62" spans="1:18">
      <c r="A62" s="4" t="s">
        <v>106</v>
      </c>
      <c r="B62" s="4">
        <f t="shared" si="0"/>
        <v>4</v>
      </c>
      <c r="C62" s="4" t="s">
        <v>107</v>
      </c>
      <c r="D62" s="1" t="str">
        <f>IFERROR(VLOOKUP(A62,[1]biopep_DB!$F$2:$J$1654,5,0),)</f>
        <v>Structural analysis of a new anti-hypertensive peptide (beta-lactosin B) isolated from a commercial whey product.; Antihypertensive peptides: production, bioavailability and incorporation into foods.; What are the ideal properties for functional food peptides with antihypertensive effect? A computational peptidology approach.; Isolation and characterization of peptides with antihypertensive activity in foodstuffs.</v>
      </c>
      <c r="E62" s="1" t="str">
        <f>IFERROR(VLOOKUP(A62,[1]biopep_DB!$F$2:$L$1654,6,0),0)</f>
        <v>10.3168/jds.S0022-0302(04)70013-2; 10.1016/j.cis.2010.11.001; 10.1016/j.foodchem.2013.05.140; 10.1080/10408398.2012.664829</v>
      </c>
      <c r="F62" s="1" t="str">
        <f>IFERROR(VLOOKUP(A62,[1]biopep_DB!$F$2:$L$1654,7,0),0)</f>
        <v>15328207 21185549 23871047 24915368</v>
      </c>
      <c r="G62" s="5">
        <v>430.56</v>
      </c>
      <c r="H62" s="5">
        <v>5.57</v>
      </c>
      <c r="I62" s="5">
        <v>-0.2</v>
      </c>
      <c r="J62" s="6">
        <v>1.475</v>
      </c>
      <c r="K62" s="5">
        <v>36.8</v>
      </c>
      <c r="L62" s="6">
        <v>1</v>
      </c>
      <c r="M62" s="6">
        <v>-2.27</v>
      </c>
      <c r="N62" s="6">
        <v>0.75</v>
      </c>
      <c r="O62" s="6">
        <v>0.25</v>
      </c>
      <c r="P62" s="6">
        <v>0.25</v>
      </c>
      <c r="Q62" s="7"/>
      <c r="R62" s="7"/>
    </row>
    <row r="63" spans="1:18">
      <c r="A63" s="4" t="s">
        <v>108</v>
      </c>
      <c r="B63" s="4">
        <f t="shared" si="0"/>
        <v>5</v>
      </c>
      <c r="C63" s="4" t="s">
        <v>109</v>
      </c>
      <c r="D63" s="1" t="str">
        <f>IFERROR(VLOOKUP(A63,[1]biopep_DB!$F$2:$J$1654,5,0),)</f>
        <v>A new QSAR model, for angiotensin I-converting enzyme inhibitory oligopeptides.</v>
      </c>
      <c r="E63" s="1" t="str">
        <f>IFERROR(VLOOKUP(A63,[1]biopep_DB!$F$2:$L$1654,6,0),0)</f>
        <v>10.1016/j.foodchem.2012.09.092</v>
      </c>
      <c r="F63" s="1">
        <f>IFERROR(VLOOKUP(A63,[1]biopep_DB!$F$2:$L$1654,7,0),0)</f>
        <v>23194537</v>
      </c>
      <c r="G63" s="5">
        <v>567.7</v>
      </c>
      <c r="H63" s="5">
        <v>6.79</v>
      </c>
      <c r="I63" s="5">
        <v>-0.12</v>
      </c>
      <c r="J63" s="6">
        <v>0.54</v>
      </c>
      <c r="K63" s="5">
        <v>146</v>
      </c>
      <c r="L63" s="6">
        <v>0.8</v>
      </c>
      <c r="M63" s="6">
        <v>-1.618</v>
      </c>
      <c r="N63" s="6">
        <v>0.6</v>
      </c>
      <c r="O63" s="6">
        <v>0.2</v>
      </c>
      <c r="P63" s="6">
        <v>0.2</v>
      </c>
      <c r="Q63" s="7"/>
      <c r="R63" s="7"/>
    </row>
    <row r="64" spans="1:18">
      <c r="A64" s="4" t="s">
        <v>110</v>
      </c>
      <c r="B64" s="4">
        <f t="shared" si="0"/>
        <v>7</v>
      </c>
      <c r="C64" s="4" t="s">
        <v>111</v>
      </c>
      <c r="D64" s="1" t="str">
        <f>IFERROR(VLOOKUP(A64,[1]biopep_DB!$F$2:$J$1654,5,0),)</f>
        <v>Identification of a novel angiotensin-I-converting enzyme inhibitory peptide corresponding to a tryptic fragment of bovine beta-lactoglobulin.; Milk peptides and blood pressure.; Quality and acceptability of a set-type yogurt made from camel milk.; Bioactive peptides derived from milk proteins and their health beneficial potentials: an update.; The potential role of milk-derived peptides in cardiovascular disease.; A new QSAR model, for angiotensin I-converting enzyme inhibitory oligopeptides.</v>
      </c>
      <c r="E64" s="1" t="str">
        <f>IFERROR(VLOOKUP(A64,[1]biopep_DB!$F$2:$L$1654,6,0),0)</f>
        <v>10.1016/s0014-5793(96)01503-7; 10.1093/jn/137.3.825S; 10.3168/jds.2008-1408; 10.1039/c0fo00016g; 10.1039/c1fo10017c; 10.1016/j.foodchem.2012.09.092</v>
      </c>
      <c r="F64" s="1" t="str">
        <f>IFERROR(VLOOKUP(A64,[1]biopep_DB!$F$2:$L$1654,7,0),0)</f>
        <v>9037174 17311982 19233778 21773582 21779574 23194537</v>
      </c>
      <c r="G64" s="5">
        <v>837.04</v>
      </c>
      <c r="H64" s="5">
        <v>9.8</v>
      </c>
      <c r="I64" s="5">
        <v>0.88</v>
      </c>
      <c r="J64" s="6">
        <v>0.3857</v>
      </c>
      <c r="K64" s="5">
        <v>169.91</v>
      </c>
      <c r="L64" s="6">
        <v>0.7143</v>
      </c>
      <c r="M64" s="6">
        <v>-1.47</v>
      </c>
      <c r="N64" s="6">
        <v>0.4286</v>
      </c>
      <c r="O64" s="6">
        <v>0.1429</v>
      </c>
      <c r="P64" s="6">
        <v>0.2857</v>
      </c>
      <c r="Q64" s="7"/>
      <c r="R64" s="7"/>
    </row>
    <row r="65" spans="1:18">
      <c r="A65" s="4" t="s">
        <v>112</v>
      </c>
      <c r="B65" s="4">
        <f t="shared" si="0"/>
        <v>4</v>
      </c>
      <c r="C65" s="4" t="s">
        <v>25</v>
      </c>
      <c r="D65" s="1" t="str">
        <f>IFERROR(VLOOKUP(A65,[1]biopep_DB!$F$2:$J$1654,5,0),)</f>
        <v>Inhibition of angiotensin-converting enzyme by synthetic peptide fragments of various beta-caseins.; Bioactive peptides in amaranth (Amaranthus hypochondriacus) seed.; What are the ideal properties for functional food peptides with antihypertensive effect? A computational peptidology approach.</v>
      </c>
      <c r="E65" s="1" t="str">
        <f>IFERROR(VLOOKUP(A65,[1]biopep_DB!$F$2:$L$1654,6,0),0)</f>
        <v>10.1021/jf072911z; 10.1016/j.foodchem.2013.05.140</v>
      </c>
      <c r="F65" s="1" t="str">
        <f>IFERROR(VLOOKUP(A65,[1]biopep_DB!$F$2:$L$1654,7,0),0)</f>
        <v>1368548 18211015 23871047</v>
      </c>
      <c r="G65" s="5">
        <v>396.48</v>
      </c>
      <c r="H65" s="5">
        <v>5.57</v>
      </c>
      <c r="I65" s="5">
        <v>-0.2</v>
      </c>
      <c r="J65" s="6">
        <v>0.6</v>
      </c>
      <c r="K65" s="5">
        <v>103.8</v>
      </c>
      <c r="L65" s="6">
        <v>1</v>
      </c>
      <c r="M65" s="6">
        <v>-1.6825</v>
      </c>
      <c r="N65" s="6">
        <v>0.5</v>
      </c>
      <c r="O65" s="6">
        <v>0.5</v>
      </c>
      <c r="P65" s="6">
        <v>0.25</v>
      </c>
      <c r="Q65" s="7"/>
      <c r="R65" s="7"/>
    </row>
    <row r="66" spans="1:18">
      <c r="A66" s="4" t="s">
        <v>113</v>
      </c>
      <c r="B66" s="4">
        <f t="shared" si="0"/>
        <v>5</v>
      </c>
      <c r="C66" s="4" t="s">
        <v>114</v>
      </c>
      <c r="D66" s="1" t="str">
        <f>IFERROR(VLOOKUP(A66,[1]biopep_DB!$F$2:$J$1654,5,0),)</f>
        <v>A new QSAR model, for angiotensin I-converting enzyme inhibitory oligopeptides.</v>
      </c>
      <c r="E66" s="1" t="str">
        <f>IFERROR(VLOOKUP(A66,[1]biopep_DB!$F$2:$L$1654,6,0),0)</f>
        <v>10.1016/j.foodchem.2012.09.092</v>
      </c>
      <c r="F66" s="1">
        <f>IFERROR(VLOOKUP(A66,[1]biopep_DB!$F$2:$L$1654,7,0),0)</f>
        <v>23194537</v>
      </c>
      <c r="G66" s="5">
        <v>631.79</v>
      </c>
      <c r="H66" s="5">
        <v>8.8</v>
      </c>
      <c r="I66" s="5">
        <v>0.79</v>
      </c>
      <c r="J66" s="6">
        <v>-0.54</v>
      </c>
      <c r="K66" s="5">
        <v>-12.84</v>
      </c>
      <c r="L66" s="6">
        <v>0.8</v>
      </c>
      <c r="M66" s="6">
        <v>-0.982</v>
      </c>
      <c r="N66" s="6">
        <v>0.6</v>
      </c>
      <c r="O66" s="6">
        <v>0.2</v>
      </c>
      <c r="P66" s="6">
        <v>0.2</v>
      </c>
      <c r="Q66" s="7"/>
      <c r="R66" s="7"/>
    </row>
    <row r="67" spans="1:18">
      <c r="A67" s="4" t="s">
        <v>115</v>
      </c>
      <c r="B67" s="4">
        <f t="shared" si="0"/>
        <v>9</v>
      </c>
      <c r="C67" s="4" t="s">
        <v>116</v>
      </c>
      <c r="D67" s="1" t="str">
        <f>IFERROR(VLOOKUP(A67,[1]biopep_DB!$F$2:$J$1654,5,0),)</f>
        <v>QSAR study on angiotensin-converting enzyme inhibitor oligopeptides based on a novel set of sequence information descriptors.</v>
      </c>
      <c r="E67" s="1" t="str">
        <f>IFERROR(VLOOKUP(A67,[1]biopep_DB!$F$2:$L$1654,6,0),0)</f>
        <v>10.1007/s00894-010-0862-x</v>
      </c>
      <c r="F67" s="1">
        <f>IFERROR(VLOOKUP(A67,[1]biopep_DB!$F$2:$L$1654,7,0),0)</f>
        <v>20941517</v>
      </c>
      <c r="G67" s="5">
        <v>1098.36</v>
      </c>
      <c r="H67" s="5">
        <v>10</v>
      </c>
      <c r="I67" s="5">
        <v>1.79</v>
      </c>
      <c r="J67" s="6">
        <v>-0.8</v>
      </c>
      <c r="K67" s="5">
        <v>18.71</v>
      </c>
      <c r="L67" s="6">
        <v>0.6667</v>
      </c>
      <c r="M67" s="6">
        <v>-0.7656</v>
      </c>
      <c r="N67" s="6">
        <v>0.4444</v>
      </c>
      <c r="O67" s="6">
        <v>0.2222</v>
      </c>
      <c r="P67" s="6">
        <v>0.2222</v>
      </c>
      <c r="Q67" s="7"/>
      <c r="R67" s="7"/>
    </row>
    <row r="68" spans="1:18">
      <c r="A68" s="4" t="s">
        <v>117</v>
      </c>
      <c r="B68" s="4">
        <f t="shared" si="0"/>
        <v>6</v>
      </c>
      <c r="C68" s="4" t="s">
        <v>114</v>
      </c>
      <c r="D68" s="1" t="str">
        <f>IFERROR(VLOOKUP(A68,[1]biopep_DB!$F$2:$J$1654,5,0),)</f>
        <v>Antihypertensive peptides: production, bioavailability and incorporation into foods.; Antihypertensive peptides from food proteins: a review.; A new QSAR model, for angiotensin I-converting enzyme inhibitory oligopeptides.</v>
      </c>
      <c r="E68" s="1" t="str">
        <f>IFERROR(VLOOKUP(A68,[1]biopep_DB!$F$2:$L$1654,6,0),0)</f>
        <v>10.1016/j.cis.2010.11.001; 10.1039/c2fo10192k; 10.1016/j.foodchem.2012.09.092</v>
      </c>
      <c r="F68" s="1" t="str">
        <f>IFERROR(VLOOKUP(A68,[1]biopep_DB!$F$2:$L$1654,7,0),0)</f>
        <v>21185549 22249830 23194537</v>
      </c>
      <c r="G68" s="5">
        <v>728.9</v>
      </c>
      <c r="H68" s="5">
        <v>8.8</v>
      </c>
      <c r="I68" s="5">
        <v>0.79</v>
      </c>
      <c r="J68" s="6">
        <v>-0.7167</v>
      </c>
      <c r="K68" s="5">
        <v>64.2</v>
      </c>
      <c r="L68" s="6">
        <v>0.8333</v>
      </c>
      <c r="M68" s="6">
        <v>-0.8183</v>
      </c>
      <c r="N68" s="6">
        <v>0.5</v>
      </c>
      <c r="O68" s="6">
        <v>0.3333</v>
      </c>
      <c r="P68" s="6">
        <v>0.1667</v>
      </c>
      <c r="Q68" s="7"/>
      <c r="R68" s="7"/>
    </row>
    <row r="69" spans="1:18">
      <c r="A69" s="4" t="s">
        <v>118</v>
      </c>
      <c r="B69" s="4">
        <f t="shared" si="0"/>
        <v>4</v>
      </c>
      <c r="C69" s="4" t="s">
        <v>119</v>
      </c>
      <c r="D69" s="1" t="str">
        <f>IFERROR(VLOOKUP(A69,[1]biopep_DB!$F$2:$J$1654,5,0),)</f>
        <v>New antihypertensive peptides isolated from rapeseed.</v>
      </c>
      <c r="E69" s="1" t="str">
        <f>IFERROR(VLOOKUP(A69,[1]biopep_DB!$F$2:$L$1654,6,0),0)</f>
        <v>10.1016/s0196-9781(03)00174-8</v>
      </c>
      <c r="F69" s="1">
        <f>IFERROR(VLOOKUP(A69,[1]biopep_DB!$F$2:$L$1654,7,0),0)</f>
        <v>12948830</v>
      </c>
      <c r="G69" s="5">
        <v>435.5</v>
      </c>
      <c r="H69" s="5">
        <v>5.57</v>
      </c>
      <c r="I69" s="5">
        <v>-0.2</v>
      </c>
      <c r="J69" s="6">
        <v>-0.15</v>
      </c>
      <c r="K69" s="5">
        <v>98.5</v>
      </c>
      <c r="L69" s="6">
        <v>0.5</v>
      </c>
      <c r="M69" s="6">
        <v>-0.49</v>
      </c>
      <c r="N69" s="6">
        <v>0.5</v>
      </c>
      <c r="O69" s="6">
        <v>0.25</v>
      </c>
      <c r="P69" s="6">
        <v>0</v>
      </c>
      <c r="Q69" s="7"/>
      <c r="R69" s="7"/>
    </row>
    <row r="70" spans="1:18">
      <c r="A70" s="4" t="s">
        <v>120</v>
      </c>
      <c r="B70" s="4">
        <f t="shared" ref="B70:B133" si="1">LEN(A70)</f>
        <v>8</v>
      </c>
      <c r="C70" s="4" t="s">
        <v>121</v>
      </c>
      <c r="D70" s="1" t="str">
        <f>IFERROR(VLOOKUP(A70,[1]biopep_DB!$F$2:$J$1654,5,0),)</f>
        <v>Inhibition of angiotensin-converting enzyme by synthetic peptide fragments of human kappa-casein.</v>
      </c>
      <c r="E70" s="1" t="str">
        <f>IFERROR(VLOOKUP(A70,[1]biopep_DB!$F$2:$L$1654,6,0),0)</f>
        <v/>
      </c>
      <c r="F70" s="1">
        <f>IFERROR(VLOOKUP(A70,[1]biopep_DB!$F$2:$L$1654,7,0),0)</f>
        <v>1368540</v>
      </c>
      <c r="G70" s="5">
        <v>822.95</v>
      </c>
      <c r="H70" s="5">
        <v>9.8</v>
      </c>
      <c r="I70" s="5">
        <v>0.8</v>
      </c>
      <c r="J70" s="6">
        <v>0.1</v>
      </c>
      <c r="K70" s="5">
        <v>53.3</v>
      </c>
      <c r="L70" s="6">
        <v>0.75</v>
      </c>
      <c r="M70" s="6">
        <v>-0.92</v>
      </c>
      <c r="N70" s="6">
        <v>0.25</v>
      </c>
      <c r="O70" s="6">
        <v>0.375</v>
      </c>
      <c r="P70" s="6">
        <v>0.25</v>
      </c>
      <c r="Q70" s="7"/>
      <c r="R70" s="7"/>
    </row>
    <row r="71" spans="1:18">
      <c r="A71" s="4" t="s">
        <v>122</v>
      </c>
      <c r="B71" s="4">
        <f t="shared" si="1"/>
        <v>6</v>
      </c>
      <c r="C71" s="4"/>
      <c r="D71" s="1" t="str">
        <f>IFERROR(VLOOKUP(A71,[1]biopep_DB!$F$2:$J$1654,5,0),)</f>
        <v>Isolation and characterization of peptides with antihypertensive activity in foodstuffs.</v>
      </c>
      <c r="E71" s="1" t="str">
        <f>IFERROR(VLOOKUP(A71,[1]biopep_DB!$F$2:$L$1654,6,0),0)</f>
        <v>10.1080/10408398.2012.664829</v>
      </c>
      <c r="F71" s="1">
        <f>IFERROR(VLOOKUP(A71,[1]biopep_DB!$F$2:$L$1654,7,0),0)</f>
        <v>24915368</v>
      </c>
      <c r="G71" s="5">
        <v>603.67</v>
      </c>
      <c r="H71" s="5">
        <v>5.57</v>
      </c>
      <c r="I71" s="5">
        <v>-0.2</v>
      </c>
      <c r="J71" s="6">
        <v>0.8333</v>
      </c>
      <c r="K71" s="5">
        <v>72.53</v>
      </c>
      <c r="L71" s="6">
        <v>0.5</v>
      </c>
      <c r="M71" s="6">
        <v>-1.3917</v>
      </c>
      <c r="N71" s="6">
        <v>0.3333</v>
      </c>
      <c r="O71" s="6">
        <v>0.5</v>
      </c>
      <c r="P71" s="6">
        <v>0.3333</v>
      </c>
      <c r="Q71" s="7"/>
      <c r="R71" s="7"/>
    </row>
    <row r="72" spans="1:18">
      <c r="A72" s="4" t="s">
        <v>123</v>
      </c>
      <c r="B72" s="4">
        <f t="shared" si="1"/>
        <v>2</v>
      </c>
      <c r="C72" s="4" t="s">
        <v>36</v>
      </c>
      <c r="D72" s="1" t="str">
        <f>IFERROR(VLOOKUP(A72,[1]biopep_DB!$F$2:$J$1654,5,0),)</f>
        <v>Binding of peptide substrates and inhibitors of angiotensin-converting enzyme. Importance of the COOH-terminal dipeptide sequence.; Antihypertensive peptides derived from milk proteins.; Angiotensin I-converting enzyme inhibitory activity and insulin secretion stimulative activity of fermented fish sauce.;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Review on the angiotensin-I-converting enzyme (ACE) inhibitor peptides from marine proteins.; What are the ideal properties for functional food peptides with antihypertensive effect? A computational peptidology approach.</v>
      </c>
      <c r="E72" s="1" t="str">
        <f>IFERROR(VLOOKUP(A72,[1]biopep_DB!$F$2:$L$1654,6,0),0)</f>
        <v>10.1002/(SICI)1521-3803(19990601)43:3&lt;159::AID-FOOD159&gt;3.0.CO;2-R; 10.1016/S1389-1723(03)70138-8; 10.1021/jf051263l; 10.1002/psc.892; 10.1007/s12010-012-0024-y; 10.1016/j.foodchem.2013.05.140</v>
      </c>
      <c r="F72" s="1" t="str">
        <f>IFERROR(VLOOKUP(A72,[1]biopep_DB!$F$2:$L$1654,7,0),0)</f>
        <v>6243277 10399348 16233562 16448176 17654623 23271625 23871047</v>
      </c>
      <c r="G72" s="5">
        <v>186.21</v>
      </c>
      <c r="H72" s="5">
        <v>5.57</v>
      </c>
      <c r="I72" s="5">
        <v>-0.2</v>
      </c>
      <c r="J72" s="6">
        <v>0.1</v>
      </c>
      <c r="K72" s="5">
        <v>101.3</v>
      </c>
      <c r="L72" s="6">
        <v>1</v>
      </c>
      <c r="M72" s="6">
        <v>-0.905</v>
      </c>
      <c r="N72" s="6">
        <v>0.5</v>
      </c>
      <c r="O72" s="6">
        <v>0.5</v>
      </c>
      <c r="P72" s="6">
        <v>0</v>
      </c>
      <c r="Q72" s="7"/>
      <c r="R72" s="7"/>
    </row>
    <row r="73" spans="1:18">
      <c r="A73" s="4" t="s">
        <v>124</v>
      </c>
      <c r="B73" s="4">
        <f t="shared" si="1"/>
        <v>7</v>
      </c>
      <c r="C73" s="4" t="s">
        <v>125</v>
      </c>
      <c r="D73" s="1" t="str">
        <f>IFERROR(VLOOKUP(A73,[1]biopep_DB!$F$2:$J$1654,5,0),)</f>
        <v>A new QSAR model, for angiotensin I-converting enzyme inhibitory oligopeptides.</v>
      </c>
      <c r="E73" s="1" t="str">
        <f>IFERROR(VLOOKUP(A73,[1]biopep_DB!$F$2:$L$1654,6,0),0)</f>
        <v>10.1016/j.foodchem.2012.09.092</v>
      </c>
      <c r="F73" s="1">
        <f>IFERROR(VLOOKUP(A73,[1]biopep_DB!$F$2:$L$1654,7,0),0)</f>
        <v>23194537</v>
      </c>
      <c r="G73" s="5">
        <v>633.69</v>
      </c>
      <c r="H73" s="5">
        <v>5.57</v>
      </c>
      <c r="I73" s="5">
        <v>-0.21</v>
      </c>
      <c r="J73" s="6">
        <v>0.5857</v>
      </c>
      <c r="K73" s="5">
        <v>13.19</v>
      </c>
      <c r="L73" s="6">
        <v>0.5714</v>
      </c>
      <c r="M73" s="6">
        <v>-1.3429</v>
      </c>
      <c r="N73" s="6">
        <v>0.2857</v>
      </c>
      <c r="O73" s="6">
        <v>0.4286</v>
      </c>
      <c r="P73" s="6">
        <v>0.2857</v>
      </c>
      <c r="Q73" s="7"/>
      <c r="R73" s="7"/>
    </row>
    <row r="74" spans="1:18">
      <c r="A74" s="4" t="s">
        <v>126</v>
      </c>
      <c r="B74" s="4">
        <f t="shared" si="1"/>
        <v>9</v>
      </c>
      <c r="C74" s="4"/>
      <c r="G74" s="5">
        <v>721.8</v>
      </c>
      <c r="H74" s="5">
        <v>5.57</v>
      </c>
      <c r="I74" s="5">
        <v>-0.2</v>
      </c>
      <c r="J74" s="6">
        <v>0.2</v>
      </c>
      <c r="K74" s="5">
        <v>54.22</v>
      </c>
      <c r="L74" s="6">
        <v>0.6667</v>
      </c>
      <c r="M74" s="6">
        <v>-1.1644</v>
      </c>
      <c r="N74" s="6">
        <v>0.2222</v>
      </c>
      <c r="O74" s="6">
        <v>0.6667</v>
      </c>
      <c r="P74" s="6">
        <v>0.1111</v>
      </c>
      <c r="Q74" s="7"/>
      <c r="R74" s="7"/>
    </row>
    <row r="75" spans="1:18">
      <c r="A75" s="4" t="s">
        <v>127</v>
      </c>
      <c r="B75" s="4">
        <f t="shared" si="1"/>
        <v>3</v>
      </c>
      <c r="C75" s="4" t="s">
        <v>128</v>
      </c>
      <c r="G75" s="5">
        <v>283.32</v>
      </c>
      <c r="H75" s="5">
        <v>5.57</v>
      </c>
      <c r="I75" s="5">
        <v>-0.2</v>
      </c>
      <c r="J75" s="6">
        <v>-0.4667</v>
      </c>
      <c r="K75" s="5">
        <v>135.07</v>
      </c>
      <c r="L75" s="6">
        <v>1</v>
      </c>
      <c r="M75" s="6">
        <v>-0.6033</v>
      </c>
      <c r="N75" s="6">
        <v>0.3333</v>
      </c>
      <c r="O75" s="6">
        <v>0.6667</v>
      </c>
      <c r="P75" s="6">
        <v>0</v>
      </c>
      <c r="Q75" s="7"/>
      <c r="R75" s="7"/>
    </row>
    <row r="76" spans="1:18">
      <c r="A76" s="4" t="s">
        <v>129</v>
      </c>
      <c r="B76" s="4">
        <f t="shared" si="1"/>
        <v>5</v>
      </c>
      <c r="C76" s="4" t="s">
        <v>130</v>
      </c>
      <c r="D76" s="1" t="str">
        <f>IFERROR(VLOOKUP(A76,[1]biopep_DB!$F$2:$J$1654,5,0),)</f>
        <v>Novel angiotensin I-converting enzyme inhibitory peptides derived from edible mushroom Agaricus bisporus (J.E. Lange) Imbach identified by LC-MS/MS.</v>
      </c>
      <c r="E76" s="1" t="str">
        <f>IFERROR(VLOOKUP(A76,[1]biopep_DB!$F$2:$L$1654,6,0),0)</f>
        <v>10.1016/j.foodchem.2013.10.053</v>
      </c>
      <c r="F76" s="1">
        <f>IFERROR(VLOOKUP(A76,[1]biopep_DB!$F$2:$L$1654,7,0),0)</f>
        <v>24262574</v>
      </c>
      <c r="G76" s="5">
        <v>472.54</v>
      </c>
      <c r="H76" s="5">
        <v>8.8</v>
      </c>
      <c r="I76" s="5">
        <v>0.79</v>
      </c>
      <c r="J76" s="6">
        <v>-0.54</v>
      </c>
      <c r="K76" s="5">
        <v>85.04</v>
      </c>
      <c r="L76" s="6">
        <v>0.6</v>
      </c>
      <c r="M76" s="6">
        <v>-0.24</v>
      </c>
      <c r="N76" s="6">
        <v>0.6</v>
      </c>
      <c r="O76" s="6">
        <v>0.4</v>
      </c>
      <c r="P76" s="6">
        <v>0</v>
      </c>
      <c r="Q76" s="7"/>
      <c r="R76" s="7"/>
    </row>
    <row r="77" spans="1:18">
      <c r="A77" s="4" t="s">
        <v>131</v>
      </c>
      <c r="B77" s="4">
        <f t="shared" si="1"/>
        <v>5</v>
      </c>
      <c r="C77" s="4" t="s">
        <v>132</v>
      </c>
      <c r="D77" s="1" t="str">
        <f>IFERROR(VLOOKUP(A77,[1]biopep_DB!$F$2:$J$1654,5,0),)</f>
        <v>A new QSAR model, for angiotensin I-converting enzyme inhibitory oligopeptides.</v>
      </c>
      <c r="E77" s="1" t="str">
        <f>IFERROR(VLOOKUP(A77,[1]biopep_DB!$F$2:$L$1654,6,0),0)</f>
        <v>10.1016/j.foodchem.2012.09.092</v>
      </c>
      <c r="F77" s="1">
        <f>IFERROR(VLOOKUP(A77,[1]biopep_DB!$F$2:$L$1654,7,0),0)</f>
        <v>23194537</v>
      </c>
      <c r="G77" s="5">
        <v>479.57</v>
      </c>
      <c r="H77" s="5">
        <v>5.57</v>
      </c>
      <c r="I77" s="5">
        <v>-0.2</v>
      </c>
      <c r="J77" s="6">
        <v>0.24</v>
      </c>
      <c r="K77" s="5">
        <v>162.08</v>
      </c>
      <c r="L77" s="6">
        <v>1</v>
      </c>
      <c r="M77" s="6">
        <v>-1.17</v>
      </c>
      <c r="N77" s="6">
        <v>0.2</v>
      </c>
      <c r="O77" s="6">
        <v>0.6</v>
      </c>
      <c r="P77" s="6">
        <v>0.2</v>
      </c>
      <c r="Q77" s="7"/>
      <c r="R77" s="7"/>
    </row>
    <row r="78" spans="1:18">
      <c r="A78" s="4" t="s">
        <v>133</v>
      </c>
      <c r="B78" s="4">
        <f t="shared" si="1"/>
        <v>3</v>
      </c>
      <c r="C78" s="4" t="s">
        <v>36</v>
      </c>
      <c r="D78" s="1" t="str">
        <f>IFERROR(VLOOKUP(A78,[1]biopep_DB!$F$2:$J$1654,5,0),)</f>
        <v>Structural requirements of Angiotensin I-converting enzyme inhibitory peptides: quantitative structure-activity relationship study of di- and tripeptides.</v>
      </c>
      <c r="E78" s="1" t="str">
        <f>IFERROR(VLOOKUP(A78,[1]biopep_DB!$F$2:$L$1654,6,0),0)</f>
        <v>10.1021/jf051263l</v>
      </c>
      <c r="F78" s="1">
        <f>IFERROR(VLOOKUP(A78,[1]biopep_DB!$F$2:$L$1654,7,0),0)</f>
        <v>16448176</v>
      </c>
      <c r="G78" s="5">
        <v>345.39</v>
      </c>
      <c r="H78" s="5">
        <v>8.8</v>
      </c>
      <c r="I78" s="5">
        <v>0.79</v>
      </c>
      <c r="J78" s="6">
        <v>-1.8667</v>
      </c>
      <c r="K78" s="5">
        <v>6.67</v>
      </c>
      <c r="L78" s="6">
        <v>0.3333</v>
      </c>
      <c r="M78" s="6">
        <v>0.3767</v>
      </c>
      <c r="N78" s="6">
        <v>0.6667</v>
      </c>
      <c r="O78" s="6">
        <v>0</v>
      </c>
      <c r="P78" s="6">
        <v>0</v>
      </c>
      <c r="Q78" s="7"/>
      <c r="R78" s="7"/>
    </row>
    <row r="79" spans="1:18">
      <c r="A79" s="4" t="s">
        <v>134</v>
      </c>
      <c r="B79" s="4">
        <f t="shared" si="1"/>
        <v>3</v>
      </c>
      <c r="C79" s="4" t="s">
        <v>36</v>
      </c>
      <c r="D79" s="1" t="str">
        <f>IFERROR(VLOOKUP(A79,[1]biopep_DB!$F$2:$J$1654,5,0),)</f>
        <v>Structural requirements of Angiotensin I-converting enzyme inhibitory peptides: quantitative structure-activity relationship study of di- and tripeptides.</v>
      </c>
      <c r="E79" s="1" t="str">
        <f>IFERROR(VLOOKUP(A79,[1]biopep_DB!$F$2:$L$1654,6,0),0)</f>
        <v>10.1021/jf051263l</v>
      </c>
      <c r="F79" s="1" t="str">
        <f>IFERROR(VLOOKUP(A79,[1]biopep_DB!$F$2:$L$1654,7,0),0)</f>
        <v>16448176</v>
      </c>
      <c r="G79" s="5">
        <v>330.38</v>
      </c>
      <c r="H79" s="5">
        <v>5.57</v>
      </c>
      <c r="I79" s="5">
        <v>-0.2</v>
      </c>
      <c r="J79" s="6">
        <v>0.7</v>
      </c>
      <c r="K79" s="5">
        <v>6.67</v>
      </c>
      <c r="L79" s="6">
        <v>0.6667</v>
      </c>
      <c r="M79" s="6">
        <v>-1.79</v>
      </c>
      <c r="N79" s="6">
        <v>0.6667</v>
      </c>
      <c r="O79" s="6">
        <v>0</v>
      </c>
      <c r="P79" s="6">
        <v>0.3333</v>
      </c>
      <c r="Q79" s="7"/>
      <c r="R79" s="7"/>
    </row>
    <row r="80" spans="1:18">
      <c r="A80" s="4" t="s">
        <v>135</v>
      </c>
      <c r="B80" s="4">
        <f t="shared" si="1"/>
        <v>13</v>
      </c>
      <c r="C80" s="4"/>
      <c r="G80" s="5">
        <v>1400.67</v>
      </c>
      <c r="H80" s="5">
        <v>8.29</v>
      </c>
      <c r="I80" s="5">
        <v>0.79</v>
      </c>
      <c r="J80" s="6">
        <v>0.2</v>
      </c>
      <c r="K80" s="5">
        <v>53.68</v>
      </c>
      <c r="L80" s="6">
        <v>0.6154</v>
      </c>
      <c r="M80" s="6">
        <v>-1.07</v>
      </c>
      <c r="N80" s="6">
        <v>0.5385</v>
      </c>
      <c r="O80" s="6">
        <v>0.0769</v>
      </c>
      <c r="P80" s="6">
        <v>0.1538</v>
      </c>
      <c r="Q80" s="7"/>
      <c r="R80" s="7"/>
    </row>
    <row r="81" spans="1:18">
      <c r="A81" s="4" t="s">
        <v>136</v>
      </c>
      <c r="B81" s="4">
        <f t="shared" si="1"/>
        <v>6</v>
      </c>
      <c r="C81" s="4"/>
      <c r="D81" s="1" t="str">
        <f>IFERROR(VLOOKUP(A81,[1]biopep_DB!$F$2:$J$1654,5,0),)</f>
        <v>Enterococcus faecalis strains from food, environmental, and clinical origin produce ACE-inhibitory peptides and other bioactive peptides during growth in bovine skim milk.</v>
      </c>
      <c r="E81" s="1" t="str">
        <f>IFERROR(VLOOKUP(A81,[1]biopep_DB!$F$2:$L$1654,6,0),0)</f>
        <v>10.1016/j.ijfoodmicro.2013.06.019</v>
      </c>
      <c r="F81" s="1">
        <f>IFERROR(VLOOKUP(A81,[1]biopep_DB!$F$2:$L$1654,7,0),0)</f>
        <v>23845432</v>
      </c>
      <c r="G81" s="5">
        <v>646.69</v>
      </c>
      <c r="H81" s="5">
        <v>5.57</v>
      </c>
      <c r="I81" s="5">
        <v>-0.2</v>
      </c>
      <c r="J81" s="6">
        <v>-0.4833</v>
      </c>
      <c r="K81" s="5">
        <v>69</v>
      </c>
      <c r="L81" s="6">
        <v>0.3333</v>
      </c>
      <c r="M81" s="6">
        <v>-0.485</v>
      </c>
      <c r="N81" s="6">
        <v>0.3333</v>
      </c>
      <c r="O81" s="6">
        <v>0.1667</v>
      </c>
      <c r="P81" s="6">
        <v>0.3333</v>
      </c>
      <c r="Q81" s="7"/>
      <c r="R81" s="7"/>
    </row>
    <row r="82" spans="1:18">
      <c r="A82" s="4" t="s">
        <v>137</v>
      </c>
      <c r="B82" s="4">
        <f t="shared" si="1"/>
        <v>9</v>
      </c>
      <c r="C82" s="4" t="s">
        <v>138</v>
      </c>
      <c r="D82" s="1" t="str">
        <f>IFERROR(VLOOKUP(A82,[1]biopep_DB!$F$2:$J$1654,5,0),)</f>
        <v>Inhibition of angiotensin-converting enzyme by synthetic peptide fragments of various beta-caseins.; Evaluation of the allergenicity of goat milk, cow milk, and their lactosera in a guinea pig model.</v>
      </c>
      <c r="E82" s="1" t="str">
        <f>IFERROR(VLOOKUP(A82,[1]biopep_DB!$F$2:$L$1654,6,0),0)</f>
        <v>10.3168/jds.2008-1125</v>
      </c>
      <c r="F82" s="1" t="str">
        <f>IFERROR(VLOOKUP(A82,[1]biopep_DB!$F$2:$L$1654,7,0),0)</f>
        <v>1368548 19233776</v>
      </c>
      <c r="G82" s="5">
        <v>1006.11</v>
      </c>
      <c r="H82" s="5">
        <v>5.57</v>
      </c>
      <c r="I82" s="5">
        <v>-0.21</v>
      </c>
      <c r="J82" s="6">
        <v>-0.1778</v>
      </c>
      <c r="K82" s="5">
        <v>54.67</v>
      </c>
      <c r="L82" s="6">
        <v>0.4444</v>
      </c>
      <c r="M82" s="6">
        <v>-0.7567</v>
      </c>
      <c r="N82" s="6">
        <v>0.2222</v>
      </c>
      <c r="O82" s="6">
        <v>0.2222</v>
      </c>
      <c r="P82" s="6">
        <v>0.4444</v>
      </c>
      <c r="Q82" s="7"/>
      <c r="R82" s="7"/>
    </row>
    <row r="83" spans="1:18">
      <c r="A83" s="4" t="s">
        <v>139</v>
      </c>
      <c r="B83" s="4">
        <f t="shared" si="1"/>
        <v>2</v>
      </c>
      <c r="C83" s="4" t="s">
        <v>140</v>
      </c>
      <c r="D83" s="1" t="str">
        <f>IFERROR(VLOOKUP(A83,[1]biopep_DB!$F$2:$J$1654,5,0),)</f>
        <v>What are the ideal properties for functional food peptides with antihypertensive effect? A computational peptidology approach.</v>
      </c>
      <c r="E83" s="1" t="str">
        <f>IFERROR(VLOOKUP(A83,[1]biopep_DB!$F$2:$L$1654,6,0),0)</f>
        <v>10.1016/j.foodchem.2013.05.140</v>
      </c>
      <c r="F83" s="1">
        <f>IFERROR(VLOOKUP(A83,[1]biopep_DB!$F$2:$L$1654,7,0),0)</f>
        <v>23871047</v>
      </c>
      <c r="G83" s="5">
        <v>245.28</v>
      </c>
      <c r="H83" s="5">
        <v>9.8</v>
      </c>
      <c r="I83" s="5">
        <v>0.8</v>
      </c>
      <c r="J83" s="6">
        <v>-1.35</v>
      </c>
      <c r="K83" s="5">
        <v>5</v>
      </c>
      <c r="L83" s="6">
        <v>0.5</v>
      </c>
      <c r="M83" s="6">
        <v>0.455</v>
      </c>
      <c r="N83" s="6">
        <v>0.5</v>
      </c>
      <c r="O83" s="6">
        <v>0</v>
      </c>
      <c r="P83" s="6">
        <v>0</v>
      </c>
      <c r="Q83" s="7"/>
      <c r="R83" s="7"/>
    </row>
    <row r="84" spans="1:18">
      <c r="A84" s="4" t="s">
        <v>141</v>
      </c>
      <c r="B84" s="4">
        <f t="shared" si="1"/>
        <v>5</v>
      </c>
      <c r="C84" s="4" t="s">
        <v>31</v>
      </c>
      <c r="D84" s="1" t="str">
        <f>IFERROR(VLOOKUP(A84,[1]biopep_DB!$F$2:$J$1654,5,0),)</f>
        <v/>
      </c>
      <c r="E84" s="1" t="str">
        <f>IFERROR(VLOOKUP(A84,[1]biopep_DB!$F$2:$L$1654,6,0),0)</f>
        <v/>
      </c>
      <c r="F84" s="1" t="str">
        <f>IFERROR(VLOOKUP(A84,[1]biopep_DB!$F$2:$L$1654,7,0),0)</f>
        <v/>
      </c>
      <c r="G84" s="5">
        <v>561.66</v>
      </c>
      <c r="H84" s="5">
        <v>10.35</v>
      </c>
      <c r="I84" s="5">
        <v>1.79</v>
      </c>
      <c r="J84" s="6">
        <v>-1.02</v>
      </c>
      <c r="K84" s="5">
        <v>-8.98</v>
      </c>
      <c r="L84" s="6">
        <v>0.2</v>
      </c>
      <c r="M84" s="6">
        <v>0.282</v>
      </c>
      <c r="N84" s="6">
        <v>0.2</v>
      </c>
      <c r="O84" s="6">
        <v>0.2</v>
      </c>
      <c r="P84" s="6">
        <v>0</v>
      </c>
      <c r="Q84" s="7"/>
      <c r="R84" s="7"/>
    </row>
    <row r="85" spans="1:18">
      <c r="A85" s="4" t="s">
        <v>142</v>
      </c>
      <c r="B85" s="4">
        <f t="shared" si="1"/>
        <v>3</v>
      </c>
      <c r="C85" s="4" t="s">
        <v>98</v>
      </c>
      <c r="D85" s="1" t="str">
        <f>IFERROR(VLOOKUP(A85,[1]biopep_DB!$F$2:$J$1654,5,0),)</f>
        <v/>
      </c>
      <c r="E85" s="1" t="str">
        <f>IFERROR(VLOOKUP(A85,[1]biopep_DB!$F$2:$L$1654,6,0),0)</f>
        <v/>
      </c>
      <c r="F85" s="1" t="str">
        <f>IFERROR(VLOOKUP(A85,[1]biopep_DB!$F$2:$L$1654,7,0),0)</f>
        <v/>
      </c>
      <c r="G85" s="5">
        <v>392.45</v>
      </c>
      <c r="H85" s="5">
        <v>9.8</v>
      </c>
      <c r="I85" s="5">
        <v>0.8</v>
      </c>
      <c r="J85" s="6">
        <v>0.0333</v>
      </c>
      <c r="K85" s="5">
        <v>6.67</v>
      </c>
      <c r="L85" s="6">
        <v>0.6667</v>
      </c>
      <c r="M85" s="6">
        <v>-0.69</v>
      </c>
      <c r="N85" s="6">
        <v>0.3333</v>
      </c>
      <c r="O85" s="6">
        <v>0</v>
      </c>
      <c r="P85" s="6">
        <v>0.3333</v>
      </c>
      <c r="Q85" s="7"/>
      <c r="R85" s="7"/>
    </row>
    <row r="86" spans="1:18">
      <c r="A86" s="4" t="s">
        <v>143</v>
      </c>
      <c r="B86" s="4">
        <f t="shared" si="1"/>
        <v>5</v>
      </c>
      <c r="C86" s="4" t="s">
        <v>31</v>
      </c>
      <c r="D86" s="1" t="str">
        <f>IFERROR(VLOOKUP(A86,[1]biopep_DB!$F$2:$J$1654,5,0),)</f>
        <v/>
      </c>
      <c r="E86" s="1" t="str">
        <f>IFERROR(VLOOKUP(A86,[1]biopep_DB!$F$2:$L$1654,6,0),0)</f>
        <v/>
      </c>
      <c r="F86" s="1" t="str">
        <f>IFERROR(VLOOKUP(A86,[1]biopep_DB!$F$2:$L$1654,7,0),0)</f>
        <v/>
      </c>
      <c r="G86" s="5">
        <v>624.69</v>
      </c>
      <c r="H86" s="5">
        <v>6.79</v>
      </c>
      <c r="I86" s="5">
        <v>-0.11</v>
      </c>
      <c r="J86" s="6">
        <v>-0.98</v>
      </c>
      <c r="K86" s="5">
        <v>85.04</v>
      </c>
      <c r="L86" s="6">
        <v>0.4</v>
      </c>
      <c r="M86" s="6">
        <v>-0.276</v>
      </c>
      <c r="N86" s="6">
        <v>0.4</v>
      </c>
      <c r="O86" s="6">
        <v>0</v>
      </c>
      <c r="P86" s="6">
        <v>0.2</v>
      </c>
      <c r="Q86" s="7"/>
      <c r="R86" s="7"/>
    </row>
    <row r="87" spans="1:18">
      <c r="A87" s="4" t="s">
        <v>144</v>
      </c>
      <c r="B87" s="4">
        <f t="shared" si="1"/>
        <v>10</v>
      </c>
      <c r="C87" s="4"/>
      <c r="D87" s="1" t="str">
        <f>IFERROR(VLOOKUP(A87,[1]biopep_DB!$F$2:$J$1654,5,0),)</f>
        <v/>
      </c>
      <c r="E87" s="1" t="str">
        <f>IFERROR(VLOOKUP(A87,[1]biopep_DB!$F$2:$L$1654,6,0),0)</f>
        <v/>
      </c>
      <c r="F87" s="1" t="str">
        <f>IFERROR(VLOOKUP(A87,[1]biopep_DB!$F$2:$L$1654,7,0),0)</f>
        <v/>
      </c>
      <c r="G87" s="5">
        <v>1198.34</v>
      </c>
      <c r="H87" s="5">
        <v>9.81</v>
      </c>
      <c r="I87" s="5">
        <v>1.06</v>
      </c>
      <c r="J87" s="6">
        <v>-0.97</v>
      </c>
      <c r="K87" s="5">
        <v>22.5</v>
      </c>
      <c r="L87" s="6">
        <v>0.5</v>
      </c>
      <c r="M87" s="6">
        <v>-0.318</v>
      </c>
      <c r="N87" s="6">
        <v>0.2</v>
      </c>
      <c r="O87" s="6">
        <v>0.3</v>
      </c>
      <c r="P87" s="6">
        <v>0.2</v>
      </c>
      <c r="Q87" s="7"/>
      <c r="R87" s="7"/>
    </row>
    <row r="88" spans="1:18">
      <c r="A88" s="4" t="s">
        <v>145</v>
      </c>
      <c r="B88" s="4">
        <f t="shared" si="1"/>
        <v>3</v>
      </c>
      <c r="C88" s="4"/>
      <c r="D88" s="1" t="str">
        <f>IFERROR(VLOOKUP(A88,[1]biopep_DB!$F$2:$J$1654,5,0),)</f>
        <v/>
      </c>
      <c r="E88" s="1" t="str">
        <f>IFERROR(VLOOKUP(A88,[1]biopep_DB!$F$2:$L$1654,6,0),0)</f>
        <v/>
      </c>
      <c r="F88" s="1" t="str">
        <f>IFERROR(VLOOKUP(A88,[1]biopep_DB!$F$2:$L$1654,7,0),0)</f>
        <v/>
      </c>
      <c r="G88" s="5">
        <v>342.39</v>
      </c>
      <c r="H88" s="5">
        <v>9.8</v>
      </c>
      <c r="I88" s="5">
        <v>0.8</v>
      </c>
      <c r="J88" s="6">
        <v>-1.4333</v>
      </c>
      <c r="K88" s="5">
        <v>70.87</v>
      </c>
      <c r="L88" s="6">
        <v>0.6667</v>
      </c>
      <c r="M88" s="6">
        <v>0.3033</v>
      </c>
      <c r="N88" s="6">
        <v>0.3333</v>
      </c>
      <c r="O88" s="6">
        <v>0.3333</v>
      </c>
      <c r="P88" s="6">
        <v>0</v>
      </c>
      <c r="Q88" s="7"/>
      <c r="R88" s="7"/>
    </row>
    <row r="89" spans="1:18">
      <c r="A89" s="4" t="s">
        <v>146</v>
      </c>
      <c r="B89" s="4">
        <f t="shared" si="1"/>
        <v>5</v>
      </c>
      <c r="C89" s="4" t="s">
        <v>147</v>
      </c>
      <c r="D89" s="1" t="str">
        <f>IFERROR(VLOOKUP(A89,[1]biopep_DB!$F$2:$J$1654,5,0),)</f>
        <v>A new QSAR model, for angiotensin I-converting enzyme inhibitory oligopeptides.</v>
      </c>
      <c r="E89" s="1" t="str">
        <f>IFERROR(VLOOKUP(A89,[1]biopep_DB!$F$2:$L$1654,6,0),0)</f>
        <v>10.1016/j.foodchem.2012.09.092</v>
      </c>
      <c r="F89" s="1">
        <f>IFERROR(VLOOKUP(A89,[1]biopep_DB!$F$2:$L$1654,7,0),0)</f>
        <v>23194537</v>
      </c>
      <c r="G89" s="5">
        <v>541.64</v>
      </c>
      <c r="H89" s="5">
        <v>11</v>
      </c>
      <c r="I89" s="5">
        <v>1.79</v>
      </c>
      <c r="J89" s="6">
        <v>-1.28</v>
      </c>
      <c r="K89" s="5">
        <v>85.04</v>
      </c>
      <c r="L89" s="6">
        <v>0.6</v>
      </c>
      <c r="M89" s="6">
        <v>0.136</v>
      </c>
      <c r="N89" s="6">
        <v>0.6</v>
      </c>
      <c r="O89" s="6">
        <v>0.2</v>
      </c>
      <c r="P89" s="6">
        <v>0</v>
      </c>
      <c r="Q89" s="7"/>
      <c r="R89" s="7"/>
    </row>
    <row r="90" spans="1:18">
      <c r="A90" s="4" t="s">
        <v>148</v>
      </c>
      <c r="B90" s="4">
        <f t="shared" si="1"/>
        <v>5</v>
      </c>
      <c r="C90" s="4" t="s">
        <v>31</v>
      </c>
      <c r="D90" s="1" t="str">
        <f>IFERROR(VLOOKUP(A90,[1]biopep_DB!$F$2:$J$1654,5,0),)</f>
        <v/>
      </c>
      <c r="E90" s="1" t="str">
        <f>IFERROR(VLOOKUP(A90,[1]biopep_DB!$F$2:$L$1654,6,0),0)</f>
        <v/>
      </c>
      <c r="F90" s="1" t="str">
        <f>IFERROR(VLOOKUP(A90,[1]biopep_DB!$F$2:$L$1654,7,0),0)</f>
        <v/>
      </c>
      <c r="G90" s="5">
        <v>585.66</v>
      </c>
      <c r="H90" s="5">
        <v>12</v>
      </c>
      <c r="I90" s="5">
        <v>1.8</v>
      </c>
      <c r="J90" s="6">
        <v>-1.92</v>
      </c>
      <c r="K90" s="5">
        <v>123.56</v>
      </c>
      <c r="L90" s="6">
        <v>0.4</v>
      </c>
      <c r="M90" s="6">
        <v>0.894</v>
      </c>
      <c r="N90" s="6">
        <v>0.2</v>
      </c>
      <c r="O90" s="6">
        <v>0.4</v>
      </c>
      <c r="P90" s="6">
        <v>0</v>
      </c>
      <c r="Q90" s="7"/>
      <c r="R90" s="7"/>
    </row>
    <row r="91" spans="1:18">
      <c r="A91" s="4" t="s">
        <v>149</v>
      </c>
      <c r="B91" s="4">
        <f t="shared" si="1"/>
        <v>3</v>
      </c>
      <c r="C91" s="4" t="s">
        <v>31</v>
      </c>
      <c r="D91" s="1" t="str">
        <f>IFERROR(VLOOKUP(A91,[1]biopep_DB!$F$2:$J$1654,5,0),)</f>
        <v/>
      </c>
      <c r="E91" s="1" t="str">
        <f>IFERROR(VLOOKUP(A91,[1]biopep_DB!$F$2:$L$1654,6,0),0)</f>
        <v/>
      </c>
      <c r="F91" s="1" t="str">
        <f>IFERROR(VLOOKUP(A91,[1]biopep_DB!$F$2:$L$1654,7,0),0)</f>
        <v/>
      </c>
      <c r="G91" s="5">
        <v>408.45</v>
      </c>
      <c r="H91" s="5">
        <v>8.79</v>
      </c>
      <c r="I91" s="5">
        <v>0.79</v>
      </c>
      <c r="J91" s="6">
        <v>-1.3333</v>
      </c>
      <c r="K91" s="5">
        <v>-18.47</v>
      </c>
      <c r="L91" s="6">
        <v>0.3333</v>
      </c>
      <c r="M91" s="6">
        <v>0.35</v>
      </c>
      <c r="N91" s="6">
        <v>0.3333</v>
      </c>
      <c r="O91" s="6">
        <v>0</v>
      </c>
      <c r="P91" s="6">
        <v>0.3333</v>
      </c>
      <c r="Q91" s="7"/>
      <c r="R91" s="7"/>
    </row>
    <row r="92" spans="1:18">
      <c r="A92" s="4" t="s">
        <v>150</v>
      </c>
      <c r="B92" s="4">
        <f t="shared" si="1"/>
        <v>3</v>
      </c>
      <c r="C92" s="4" t="s">
        <v>151</v>
      </c>
      <c r="D92" s="1" t="str">
        <f>IFERROR(VLOOKUP(A92,[1]biopep_DB!$F$2:$J$1654,5,0),)</f>
        <v>What are the ideal properties for functional food peptides with antihypertensive effect? A computational peptidology approach.</v>
      </c>
      <c r="E92" s="1" t="str">
        <f>IFERROR(VLOOKUP(A92,[1]biopep_DB!$F$2:$L$1654,6,0),0)</f>
        <v>10.1016/j.foodchem.2013.05.140</v>
      </c>
      <c r="F92" s="1" t="str">
        <f>IFERROR(VLOOKUP(A92,[1]biopep_DB!$F$2:$L$1654,7,0),0)</f>
        <v>23871047</v>
      </c>
      <c r="G92" s="5">
        <v>273.29</v>
      </c>
      <c r="H92" s="5">
        <v>5.57</v>
      </c>
      <c r="I92" s="5">
        <v>-0.2</v>
      </c>
      <c r="J92" s="6">
        <v>-0.2</v>
      </c>
      <c r="K92" s="5">
        <v>153.13</v>
      </c>
      <c r="L92" s="6">
        <v>0.6667</v>
      </c>
      <c r="M92" s="6">
        <v>-0.3233</v>
      </c>
      <c r="N92" s="6">
        <v>0.3333</v>
      </c>
      <c r="O92" s="6">
        <v>0.6667</v>
      </c>
      <c r="P92" s="6">
        <v>0</v>
      </c>
      <c r="Q92" s="7"/>
      <c r="R92" s="7"/>
    </row>
    <row r="93" spans="1:18">
      <c r="A93" s="4" t="s">
        <v>152</v>
      </c>
      <c r="B93" s="4">
        <f t="shared" si="1"/>
        <v>11</v>
      </c>
      <c r="C93" s="4"/>
      <c r="G93" s="5">
        <v>1257.44</v>
      </c>
      <c r="H93" s="5">
        <v>5.57</v>
      </c>
      <c r="I93" s="5">
        <v>-0.2</v>
      </c>
      <c r="J93" s="6">
        <v>0.4545</v>
      </c>
      <c r="K93" s="5">
        <v>117.71</v>
      </c>
      <c r="L93" s="6">
        <v>0.6364</v>
      </c>
      <c r="M93" s="6">
        <v>-1.7391</v>
      </c>
      <c r="N93" s="6">
        <v>0.2727</v>
      </c>
      <c r="O93" s="6">
        <v>0.3636</v>
      </c>
      <c r="P93" s="6">
        <v>0.4545</v>
      </c>
      <c r="Q93" s="7"/>
      <c r="R93" s="7"/>
    </row>
    <row r="94" spans="1:18">
      <c r="A94" s="4" t="s">
        <v>153</v>
      </c>
      <c r="B94" s="4">
        <f t="shared" si="1"/>
        <v>5</v>
      </c>
      <c r="C94" s="4"/>
      <c r="D94" s="1" t="str">
        <f>IFERROR(VLOOKUP(A94,[1]biopep_DB!$F$2:$J$1654,5,0),)</f>
        <v/>
      </c>
      <c r="E94" s="1" t="str">
        <f>IFERROR(VLOOKUP(A94,[1]biopep_DB!$F$2:$L$1654,6,0),0)</f>
        <v/>
      </c>
      <c r="F94" s="1" t="str">
        <f>IFERROR(VLOOKUP(A94,[1]biopep_DB!$F$2:$L$1654,7,0),0)</f>
        <v/>
      </c>
      <c r="G94" s="5">
        <v>532.59</v>
      </c>
      <c r="H94" s="5">
        <v>9.8</v>
      </c>
      <c r="I94" s="5">
        <v>0.8</v>
      </c>
      <c r="J94" s="6">
        <v>0</v>
      </c>
      <c r="K94" s="5">
        <v>8</v>
      </c>
      <c r="L94" s="6">
        <v>0.4</v>
      </c>
      <c r="M94" s="6">
        <v>-0.406</v>
      </c>
      <c r="N94" s="6">
        <v>0.2</v>
      </c>
      <c r="O94" s="6">
        <v>0.2</v>
      </c>
      <c r="P94" s="6">
        <v>0.4</v>
      </c>
      <c r="Q94" s="7"/>
      <c r="R94" s="7"/>
    </row>
    <row r="95" spans="1:18">
      <c r="A95" s="4" t="s">
        <v>154</v>
      </c>
      <c r="B95" s="4">
        <f t="shared" si="1"/>
        <v>3</v>
      </c>
      <c r="C95" s="4" t="s">
        <v>31</v>
      </c>
      <c r="D95" s="1" t="str">
        <f>IFERROR(VLOOKUP(A95,[1]biopep_DB!$F$2:$J$1654,5,0),)</f>
        <v/>
      </c>
      <c r="E95" s="1" t="str">
        <f>IFERROR(VLOOKUP(A95,[1]biopep_DB!$F$2:$L$1654,6,0),0)</f>
        <v/>
      </c>
      <c r="F95" s="1" t="str">
        <f>IFERROR(VLOOKUP(A95,[1]biopep_DB!$F$2:$L$1654,7,0),0)</f>
        <v/>
      </c>
      <c r="G95" s="5">
        <v>362.38</v>
      </c>
      <c r="H95" s="5">
        <v>5.57</v>
      </c>
      <c r="I95" s="5">
        <v>-0.2</v>
      </c>
      <c r="J95" s="6">
        <v>0.0333</v>
      </c>
      <c r="K95" s="5">
        <v>6.67</v>
      </c>
      <c r="L95" s="6">
        <v>0.6667</v>
      </c>
      <c r="M95" s="6">
        <v>-1.1</v>
      </c>
      <c r="N95" s="6">
        <v>0.3333</v>
      </c>
      <c r="O95" s="6">
        <v>0.3333</v>
      </c>
      <c r="P95" s="6">
        <v>0.3333</v>
      </c>
      <c r="Q95" s="7"/>
      <c r="R95" s="7"/>
    </row>
    <row r="96" spans="1:18">
      <c r="A96" s="4" t="s">
        <v>155</v>
      </c>
      <c r="B96" s="4">
        <f t="shared" si="1"/>
        <v>7</v>
      </c>
      <c r="C96" s="4" t="s">
        <v>156</v>
      </c>
      <c r="G96" s="5">
        <v>830.88</v>
      </c>
      <c r="H96" s="5">
        <v>5.88</v>
      </c>
      <c r="I96" s="5">
        <v>-0.21</v>
      </c>
      <c r="J96" s="6">
        <v>-0.8</v>
      </c>
      <c r="K96" s="5">
        <v>20.93</v>
      </c>
      <c r="L96" s="6">
        <v>0.2857</v>
      </c>
      <c r="M96" s="6">
        <v>-0.0414</v>
      </c>
      <c r="N96" s="6">
        <v>0.2857</v>
      </c>
      <c r="O96" s="6">
        <v>0.2857</v>
      </c>
      <c r="P96" s="6">
        <v>0.4286</v>
      </c>
      <c r="Q96" s="7"/>
      <c r="R96" s="7"/>
    </row>
    <row r="97" spans="1:18">
      <c r="A97" s="4" t="s">
        <v>157</v>
      </c>
      <c r="B97" s="4">
        <f t="shared" si="1"/>
        <v>3</v>
      </c>
      <c r="C97" s="4" t="s">
        <v>158</v>
      </c>
      <c r="D97" s="1" t="str">
        <f>IFERROR(VLOOKUP(A97,[1]biopep_DB!$F$2:$J$1654,5,0),)</f>
        <v/>
      </c>
      <c r="E97" s="1" t="str">
        <f>IFERROR(VLOOKUP(A97,[1]biopep_DB!$F$2:$L$1654,6,0),0)</f>
        <v/>
      </c>
      <c r="F97" s="1" t="str">
        <f>IFERROR(VLOOKUP(A97,[1]biopep_DB!$F$2:$L$1654,7,0),0)</f>
        <v/>
      </c>
      <c r="G97" s="5">
        <v>337.37</v>
      </c>
      <c r="H97" s="5">
        <v>5.57</v>
      </c>
      <c r="I97" s="5">
        <v>-0.2</v>
      </c>
      <c r="J97" s="6">
        <v>1.3</v>
      </c>
      <c r="K97" s="5">
        <v>47.8</v>
      </c>
      <c r="L97" s="6">
        <v>0.6667</v>
      </c>
      <c r="M97" s="6">
        <v>-1.51</v>
      </c>
      <c r="N97" s="6">
        <v>0.3333</v>
      </c>
      <c r="O97" s="6">
        <v>0</v>
      </c>
      <c r="P97" s="6">
        <v>0.6667</v>
      </c>
      <c r="Q97" s="7"/>
      <c r="R97" s="7"/>
    </row>
    <row r="98" spans="1:18">
      <c r="A98" s="4" t="s">
        <v>159</v>
      </c>
      <c r="B98" s="4">
        <f t="shared" si="1"/>
        <v>2</v>
      </c>
      <c r="C98" s="4" t="s">
        <v>160</v>
      </c>
      <c r="D98" s="1" t="str">
        <f>IFERROR(VLOOKUP(A98,[1]biopep_DB!$F$2:$J$1654,5,0),)</f>
        <v>Angiotensin I-converting enzyme inhibitory activity and insulin secretion stimulative activity of fermented fish sauce.</v>
      </c>
      <c r="E98" s="1" t="str">
        <f>IFERROR(VLOOKUP(A98,[1]biopep_DB!$F$2:$L$1654,6,0),0)</f>
        <v>10.1016/S1389-1723(03)70138-8</v>
      </c>
      <c r="F98" s="1">
        <f>IFERROR(VLOOKUP(A98,[1]biopep_DB!$F$2:$L$1654,7,0),0)</f>
        <v>16233562</v>
      </c>
      <c r="G98" s="5">
        <v>188.22</v>
      </c>
      <c r="H98" s="5">
        <v>5.57</v>
      </c>
      <c r="I98" s="5">
        <v>-0.2</v>
      </c>
      <c r="J98" s="6">
        <v>3</v>
      </c>
      <c r="K98" s="5">
        <v>5</v>
      </c>
      <c r="L98" s="6">
        <v>1</v>
      </c>
      <c r="M98" s="6">
        <v>-2.925</v>
      </c>
      <c r="N98" s="6">
        <v>0.5</v>
      </c>
      <c r="O98" s="6">
        <v>0</v>
      </c>
      <c r="P98" s="6">
        <v>0.5</v>
      </c>
      <c r="Q98" s="7"/>
      <c r="R98" s="7"/>
    </row>
    <row r="99" spans="1:18">
      <c r="A99" s="4" t="s">
        <v>161</v>
      </c>
      <c r="B99" s="4">
        <f t="shared" si="1"/>
        <v>9</v>
      </c>
      <c r="C99" s="4"/>
      <c r="D99" s="1" t="str">
        <f>IFERROR(VLOOKUP(A99,[1]biopep_DB!$F$2:$J$1654,5,0),)</f>
        <v/>
      </c>
      <c r="E99" s="1" t="str">
        <f>IFERROR(VLOOKUP(A99,[1]biopep_DB!$F$2:$L$1654,6,0),0)</f>
        <v/>
      </c>
      <c r="F99" s="1" t="str">
        <f>IFERROR(VLOOKUP(A99,[1]biopep_DB!$F$2:$L$1654,7,0),0)</f>
        <v/>
      </c>
      <c r="G99" s="5">
        <v>889.99</v>
      </c>
      <c r="H99" s="5">
        <v>4.05</v>
      </c>
      <c r="I99" s="5">
        <v>-1.2</v>
      </c>
      <c r="J99" s="6">
        <v>1.1222</v>
      </c>
      <c r="K99" s="5">
        <v>30.29</v>
      </c>
      <c r="L99" s="6">
        <v>0.5556</v>
      </c>
      <c r="M99" s="6">
        <v>-1.5133</v>
      </c>
      <c r="N99" s="6">
        <v>0.4444</v>
      </c>
      <c r="O99" s="6">
        <v>0.1111</v>
      </c>
      <c r="P99" s="6">
        <v>0.5556</v>
      </c>
      <c r="Q99" s="7"/>
      <c r="R99" s="7"/>
    </row>
    <row r="100" spans="1:18">
      <c r="A100" s="4" t="s">
        <v>162</v>
      </c>
      <c r="B100" s="4">
        <f t="shared" si="1"/>
        <v>3</v>
      </c>
      <c r="C100" s="4" t="s">
        <v>163</v>
      </c>
      <c r="D100" s="1" t="str">
        <f>IFERROR(VLOOKUP(A100,[1]biopep_DB!$F$2:$J$1654,5,0),)</f>
        <v>Ala-Val-Phe and Val-Phe: ACE inhibitory peptides derived from insect protein with antihypertensive activity in spontaneously hypertensive rats.; Antihypertensive peptides from food proteins: a review.; What are the ideal properties for functional food peptides with antihypertensive effect? A computational peptidology approach.</v>
      </c>
      <c r="E100" s="1" t="str">
        <f>IFERROR(VLOOKUP(A100,[1]biopep_DB!$F$2:$L$1654,6,0),0)</f>
        <v>10.1016/j.peptides.2009.05.029; 10.1039/c2fo10192k; 10.1016/j.foodchem.2013.05.140</v>
      </c>
      <c r="F100" s="1" t="str">
        <f>IFERROR(VLOOKUP(A100,[1]biopep_DB!$F$2:$L$1654,7,0),0)</f>
        <v>19524628 22249830 23871047</v>
      </c>
      <c r="G100" s="5">
        <v>335.4</v>
      </c>
      <c r="H100" s="5">
        <v>5.57</v>
      </c>
      <c r="I100" s="5">
        <v>-0.2</v>
      </c>
      <c r="J100" s="6">
        <v>2.9333</v>
      </c>
      <c r="K100" s="5">
        <v>6.67</v>
      </c>
      <c r="L100" s="6">
        <v>1</v>
      </c>
      <c r="M100" s="6">
        <v>-2.9433</v>
      </c>
      <c r="N100" s="6">
        <v>0.3333</v>
      </c>
      <c r="O100" s="6">
        <v>0</v>
      </c>
      <c r="P100" s="6">
        <v>0.6667</v>
      </c>
      <c r="Q100" s="7"/>
      <c r="R100" s="7"/>
    </row>
    <row r="101" spans="1:18">
      <c r="A101" s="4" t="s">
        <v>164</v>
      </c>
      <c r="B101" s="4">
        <f t="shared" si="1"/>
        <v>3</v>
      </c>
      <c r="C101" s="4" t="s">
        <v>36</v>
      </c>
      <c r="D101" s="1" t="str">
        <f>IFERROR(VLOOKUP(A101,[1]biopep_DB!$F$2:$J$1654,5,0),)</f>
        <v>Structural requirements of Angiotensin I-converting enzyme inhibitory peptides: quantitative structure-activity relationship study of di- and tripeptides.; Isolation and characterization of peptides with antihypertensive activity in foodstuffs.</v>
      </c>
      <c r="E101" s="1" t="str">
        <f>IFERROR(VLOOKUP(A101,[1]biopep_DB!$F$2:$L$1654,6,0),0)</f>
        <v>10.1021/jf051263l; 10.1080/10408398.2012.664829</v>
      </c>
      <c r="F101" s="1" t="str">
        <f>IFERROR(VLOOKUP(A101,[1]biopep_DB!$F$2:$L$1654,7,0),0)</f>
        <v>16448176 24915368</v>
      </c>
      <c r="G101" s="5">
        <v>301.38</v>
      </c>
      <c r="H101" s="5">
        <v>5.57</v>
      </c>
      <c r="I101" s="5">
        <v>-0.2</v>
      </c>
      <c r="J101" s="6">
        <v>3.2667</v>
      </c>
      <c r="K101" s="5">
        <v>6.67</v>
      </c>
      <c r="L101" s="6">
        <v>1</v>
      </c>
      <c r="M101" s="6">
        <v>-3.59</v>
      </c>
      <c r="N101" s="6">
        <v>0.6667</v>
      </c>
      <c r="O101" s="6">
        <v>0</v>
      </c>
      <c r="P101" s="6">
        <v>0.6667</v>
      </c>
      <c r="Q101" s="7"/>
      <c r="R101" s="7"/>
    </row>
    <row r="102" spans="1:18">
      <c r="A102" s="4" t="s">
        <v>165</v>
      </c>
      <c r="B102" s="4">
        <f t="shared" si="1"/>
        <v>6</v>
      </c>
      <c r="C102" s="4" t="s">
        <v>166</v>
      </c>
      <c r="D102" s="1" t="str">
        <f>IFERROR(VLOOKUP(A102,[1]biopep_DB!$F$2:$J$1654,5,0),)</f>
        <v>A new QSAR model, for angiotensin I-converting enzyme inhibitory oligopeptides.</v>
      </c>
      <c r="E102" s="1" t="str">
        <f>IFERROR(VLOOKUP(A102,[1]biopep_DB!$F$2:$L$1654,6,0),0)</f>
        <v>10.1016/j.foodchem.2012.09.092</v>
      </c>
      <c r="F102" s="1" t="str">
        <f>IFERROR(VLOOKUP(A102,[1]biopep_DB!$F$2:$L$1654,7,0),0)</f>
        <v>23194537</v>
      </c>
      <c r="G102" s="5">
        <v>668.79</v>
      </c>
      <c r="H102" s="5">
        <v>9.8</v>
      </c>
      <c r="I102" s="5">
        <v>0.8</v>
      </c>
      <c r="J102" s="6">
        <v>0.15</v>
      </c>
      <c r="K102" s="5">
        <v>3.53</v>
      </c>
      <c r="L102" s="6">
        <v>0.6667</v>
      </c>
      <c r="M102" s="6">
        <v>-1.0717</v>
      </c>
      <c r="N102" s="6">
        <v>0.1667</v>
      </c>
      <c r="O102" s="6">
        <v>0.3333</v>
      </c>
      <c r="P102" s="6">
        <v>0.3333</v>
      </c>
      <c r="Q102" s="7"/>
      <c r="R102" s="7"/>
    </row>
    <row r="103" spans="1:18">
      <c r="A103" s="4" t="s">
        <v>167</v>
      </c>
      <c r="B103" s="4">
        <f t="shared" si="1"/>
        <v>3</v>
      </c>
      <c r="C103" s="4" t="s">
        <v>36</v>
      </c>
      <c r="D103" s="1" t="str">
        <f>IFERROR(VLOOKUP(A103,[1]biopep_DB!$F$2:$J$1654,5,0),)</f>
        <v>Bioactive peptides in amaranth (Amaranthus hypochondriacus) seed.; Evaluation of the allergenicity of goat milk, cow milk, and their lactosera in a guinea pig model.; What are the ideal properties for functional food peptides with antihypertensive effect? A computational peptidology approach.</v>
      </c>
      <c r="E103" s="1" t="str">
        <f>IFERROR(VLOOKUP(A103,[1]biopep_DB!$F$2:$L$1654,6,0),0)</f>
        <v>10.1021/jf072911z; 10.3168/jds.2008-1125; 10.1016/j.foodchem.2013.05.140</v>
      </c>
      <c r="F103" s="1" t="str">
        <f>IFERROR(VLOOKUP(A103,[1]biopep_DB!$F$2:$L$1654,7,0),0)</f>
        <v>18211015 19233776 23871047</v>
      </c>
      <c r="G103" s="5">
        <v>285.34</v>
      </c>
      <c r="H103" s="5">
        <v>5.57</v>
      </c>
      <c r="I103" s="5">
        <v>-0.2</v>
      </c>
      <c r="J103" s="6">
        <v>1.4667</v>
      </c>
      <c r="K103" s="5">
        <v>70.87</v>
      </c>
      <c r="L103" s="6">
        <v>1</v>
      </c>
      <c r="M103" s="6">
        <v>-1.95</v>
      </c>
      <c r="N103" s="6">
        <v>0.3333</v>
      </c>
      <c r="O103" s="6">
        <v>0.3333</v>
      </c>
      <c r="P103" s="6">
        <v>0.3333</v>
      </c>
      <c r="Q103" s="7"/>
      <c r="R103" s="7"/>
    </row>
    <row r="104" spans="1:18">
      <c r="A104" s="4" t="s">
        <v>168</v>
      </c>
      <c r="B104" s="4">
        <f t="shared" si="1"/>
        <v>5</v>
      </c>
      <c r="C104" s="4" t="s">
        <v>169</v>
      </c>
      <c r="D104" s="1" t="str">
        <f>IFERROR(VLOOKUP(A104,[1]biopep_DB!$F$2:$J$1654,5,0),)</f>
        <v>Evaluation of the allergenicity of goat milk, cow milk, and their lactosera in a guinea pig model.; A new QSAR model, for angiotensin I-converting enzyme inhibitory oligopeptides.</v>
      </c>
      <c r="E104" s="1" t="str">
        <f>IFERROR(VLOOKUP(A104,[1]biopep_DB!$F$2:$L$1654,6,0),0)</f>
        <v>10.3168/jds.2008-1125; 10.1016/j.foodchem.2012.09.092</v>
      </c>
      <c r="F104" s="1" t="str">
        <f>IFERROR(VLOOKUP(A104,[1]biopep_DB!$F$2:$L$1654,7,0),0)</f>
        <v>19233776 23194537</v>
      </c>
      <c r="G104" s="5">
        <v>545.63</v>
      </c>
      <c r="H104" s="5">
        <v>5.57</v>
      </c>
      <c r="I104" s="5">
        <v>-0.21</v>
      </c>
      <c r="J104" s="6">
        <v>0.3</v>
      </c>
      <c r="K104" s="5">
        <v>71.2</v>
      </c>
      <c r="L104" s="6">
        <v>0.8</v>
      </c>
      <c r="M104" s="6">
        <v>-1.142</v>
      </c>
      <c r="N104" s="6">
        <v>0.2</v>
      </c>
      <c r="O104" s="6">
        <v>0.4</v>
      </c>
      <c r="P104" s="6">
        <v>0.4</v>
      </c>
      <c r="Q104" s="7"/>
      <c r="R104" s="7"/>
    </row>
    <row r="105" spans="1:18">
      <c r="A105" s="4" t="s">
        <v>170</v>
      </c>
      <c r="B105" s="4">
        <f t="shared" si="1"/>
        <v>6</v>
      </c>
      <c r="C105" s="4"/>
      <c r="D105" s="1" t="str">
        <f>IFERROR(VLOOKUP(A105,[1]biopep_DB!$F$2:$J$1654,5,0),)</f>
        <v>Identification of angiotensin-I-converting enzyme inhibitory peptides derived from sodium caseinate hydrolysates produced by Lactobacillus helveticus NCC 2765.</v>
      </c>
      <c r="E105" s="1" t="str">
        <f>IFERROR(VLOOKUP(A105,[1]biopep_DB!$F$2:$L$1654,6,0),0)</f>
        <v>10.1021/jf049510t</v>
      </c>
      <c r="F105" s="1">
        <f>IFERROR(VLOOKUP(A105,[1]biopep_DB!$F$2:$L$1654,7,0),0)</f>
        <v>15537298</v>
      </c>
      <c r="G105" s="5">
        <v>673.76</v>
      </c>
      <c r="H105" s="5">
        <v>5.57</v>
      </c>
      <c r="I105" s="5">
        <v>-0.21</v>
      </c>
      <c r="J105" s="6">
        <v>-0.3333</v>
      </c>
      <c r="K105" s="5">
        <v>93.1</v>
      </c>
      <c r="L105" s="6">
        <v>0.6667</v>
      </c>
      <c r="M105" s="6">
        <v>-0.725</v>
      </c>
      <c r="N105" s="6">
        <v>0.1667</v>
      </c>
      <c r="O105" s="6">
        <v>0.3333</v>
      </c>
      <c r="P105" s="6">
        <v>0.3333</v>
      </c>
      <c r="Q105" s="7"/>
      <c r="R105" s="7"/>
    </row>
    <row r="106" spans="1:18">
      <c r="A106" s="4" t="s">
        <v>171</v>
      </c>
      <c r="B106" s="4">
        <f t="shared" si="1"/>
        <v>7</v>
      </c>
      <c r="C106" s="4" t="s">
        <v>169</v>
      </c>
      <c r="D106" s="1" t="str">
        <f>IFERROR(VLOOKUP(A106,[1]biopep_DB!$F$2:$J$1654,5,0),)</f>
        <v>A new QSAR model, for angiotensin I-converting enzyme inhibitory oligopeptides.</v>
      </c>
      <c r="E106" s="1" t="str">
        <f>IFERROR(VLOOKUP(A106,[1]biopep_DB!$F$2:$L$1654,6,0),0)</f>
        <v>10.1016/j.foodchem.2012.09.092</v>
      </c>
      <c r="F106" s="1" t="str">
        <f>IFERROR(VLOOKUP(A106,[1]biopep_DB!$F$2:$L$1654,7,0),0)</f>
        <v>23194537</v>
      </c>
      <c r="G106" s="5">
        <v>770.87</v>
      </c>
      <c r="H106" s="5">
        <v>5.57</v>
      </c>
      <c r="I106" s="5">
        <v>-0.21</v>
      </c>
      <c r="J106" s="6">
        <v>-0.5143</v>
      </c>
      <c r="K106" s="5">
        <v>108.74</v>
      </c>
      <c r="L106" s="6">
        <v>0.7143</v>
      </c>
      <c r="M106" s="6">
        <v>-0.6214</v>
      </c>
      <c r="N106" s="6">
        <v>0.1429</v>
      </c>
      <c r="O106" s="6">
        <v>0.4286</v>
      </c>
      <c r="P106" s="6">
        <v>0.2857</v>
      </c>
      <c r="Q106" s="7"/>
      <c r="R106" s="7"/>
    </row>
    <row r="107" spans="1:18">
      <c r="A107" s="4" t="s">
        <v>172</v>
      </c>
      <c r="B107" s="4">
        <f t="shared" si="1"/>
        <v>7</v>
      </c>
      <c r="C107" s="4" t="s">
        <v>173</v>
      </c>
      <c r="D107" s="1" t="str">
        <f>IFERROR(VLOOKUP(A107,[1]biopep_DB!$F$2:$J$1654,5,0),)</f>
        <v>Evaluation of the allergenicity of goat milk, cow milk, and their lactosera in a guinea pig model.; Antihypertensive peptides: production, bioavailability and incorporation into foods.; Bioactive peptides derived from milk proteins and their health beneficial potentials: an update.; Antihypertensive peptides from food proteins: a review.</v>
      </c>
      <c r="E107" s="1" t="str">
        <f>IFERROR(VLOOKUP(A107,[1]biopep_DB!$F$2:$L$1654,6,0),0)</f>
        <v>10.3168/jds.2008-1125; 10.1016/j.cis.2010.11.001; 10.1039/c0fo00016g; 10.1039/c2fo10192k</v>
      </c>
      <c r="F107" s="1" t="str">
        <f>IFERROR(VLOOKUP(A107,[1]biopep_DB!$F$2:$L$1654,7,0),0)</f>
        <v>19233776 21185549 21773582 22249830</v>
      </c>
      <c r="G107" s="5">
        <v>829.94</v>
      </c>
      <c r="H107" s="5">
        <v>8.79</v>
      </c>
      <c r="I107" s="5">
        <v>0.79</v>
      </c>
      <c r="J107" s="6">
        <v>-0.9286</v>
      </c>
      <c r="K107" s="5">
        <v>81.23</v>
      </c>
      <c r="L107" s="6">
        <v>0.5714</v>
      </c>
      <c r="M107" s="6">
        <v>-0.2329</v>
      </c>
      <c r="N107" s="6">
        <v>0.1429</v>
      </c>
      <c r="O107" s="6">
        <v>0.2857</v>
      </c>
      <c r="P107" s="6">
        <v>0.2857</v>
      </c>
      <c r="Q107" s="7"/>
      <c r="R107" s="7"/>
    </row>
    <row r="108" spans="1:18">
      <c r="A108" s="4" t="s">
        <v>174</v>
      </c>
      <c r="B108" s="4">
        <f t="shared" si="1"/>
        <v>3</v>
      </c>
      <c r="C108" s="4" t="s">
        <v>175</v>
      </c>
      <c r="D108" s="1" t="str">
        <f>IFERROR(VLOOKUP(A108,[1]biopep_DB!$F$2:$J$1654,5,0),)</f>
        <v>Analysis of novel angiotensin I-converting enzyme inhibitory peptides from enzymatic hydrolysates of cuttlefish (Sepia officinalis) muscle proteins.; Review on the angiotensin-I-converting enzyme (ACE) inhibitor peptides from marine proteins.; What are the ideal properties for functional food peptides with antihypertensive effect? A computational peptidology approach.</v>
      </c>
      <c r="E108" s="1" t="str">
        <f>IFERROR(VLOOKUP(A108,[1]biopep_DB!$F$2:$L$1654,6,0),0)</f>
        <v>10.1021/jf904300q; 10.1007/s12010-012-0024-y; 10.1016/j.foodchem.2013.05.140</v>
      </c>
      <c r="F108" s="1" t="str">
        <f>IFERROR(VLOOKUP(A108,[1]biopep_DB!$F$2:$L$1654,7,0),0)</f>
        <v>20180574 23271625 23871047</v>
      </c>
      <c r="G108" s="5">
        <v>287.36</v>
      </c>
      <c r="H108" s="5">
        <v>5.57</v>
      </c>
      <c r="I108" s="5">
        <v>-0.2</v>
      </c>
      <c r="J108" s="6">
        <v>3.4</v>
      </c>
      <c r="K108" s="5">
        <v>6.67</v>
      </c>
      <c r="L108" s="6">
        <v>1</v>
      </c>
      <c r="M108" s="6">
        <v>-3.2967</v>
      </c>
      <c r="N108" s="6">
        <v>0.3333</v>
      </c>
      <c r="O108" s="6">
        <v>0</v>
      </c>
      <c r="P108" s="6">
        <v>0.6667</v>
      </c>
      <c r="Q108" s="7"/>
      <c r="R108" s="7"/>
    </row>
    <row r="109" spans="1:18">
      <c r="A109" s="4" t="s">
        <v>176</v>
      </c>
      <c r="B109" s="4">
        <f t="shared" si="1"/>
        <v>5</v>
      </c>
      <c r="C109" s="4" t="s">
        <v>177</v>
      </c>
      <c r="D109" s="1" t="str">
        <f>IFERROR(VLOOKUP(A109,[1]biopep_DB!$F$2:$J$1654,5,0),)</f>
        <v>Inhibition of angiotensin-converting enzyme by synthetic peptide fragments of human kappa-casein.; Angiotensin converting enzyme inhibitory peptides derived from food proteins: biochemistry, bioactivity and production.; A new QSAR model, for angiotensin I-converting enzyme inhibitory oligopeptides.</v>
      </c>
      <c r="E109" s="1" t="str">
        <f>IFERROR(VLOOKUP(A109,[1]biopep_DB!$F$2:$L$1654,6,0),0)</f>
        <v>10.2174/138161207780363068; 10.1016/j.foodchem.2012.09.092</v>
      </c>
      <c r="F109" s="1" t="str">
        <f>IFERROR(VLOOKUP(A109,[1]biopep_DB!$F$2:$L$1654,7,0),0)</f>
        <v>1368540 17430180 23194537</v>
      </c>
      <c r="G109" s="5">
        <v>540.66</v>
      </c>
      <c r="H109" s="5">
        <v>9.8</v>
      </c>
      <c r="I109" s="5">
        <v>0.8</v>
      </c>
      <c r="J109" s="6">
        <v>0.82</v>
      </c>
      <c r="K109" s="5">
        <v>46.52</v>
      </c>
      <c r="L109" s="6">
        <v>0.8</v>
      </c>
      <c r="M109" s="6">
        <v>-1.434</v>
      </c>
      <c r="N109" s="6">
        <v>0.2</v>
      </c>
      <c r="O109" s="6">
        <v>0.2</v>
      </c>
      <c r="P109" s="6">
        <v>0.4</v>
      </c>
      <c r="Q109" s="7"/>
      <c r="R109" s="7"/>
    </row>
    <row r="110" spans="1:18">
      <c r="A110" s="4" t="s">
        <v>178</v>
      </c>
      <c r="B110" s="4">
        <f t="shared" si="1"/>
        <v>2</v>
      </c>
      <c r="C110" s="4" t="s">
        <v>36</v>
      </c>
      <c r="D110" s="1" t="str">
        <f>IFERROR(VLOOKUP(A110,[1]biopep_DB!$F$2:$J$1654,5,0),)</f>
        <v>Angiotensin I-converting enzyme inhibitory peptides derived from wakame (Undaria pinnatifida) and their antihypertensive effect in spontaneously hypertensive rats.;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Antihypertensive effect of peptide-enriched soy sauce-like seasoning and identification of its angiotensin I-converting enzyme inhibitory substances.; QSAR study on angiotensin-converting enzyme inhibitor oligopeptides based on a novel set of sequence information descriptors.; Inhibition strength of short peptides derived from an ACE inhibitory peptide.;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110" s="1" t="str">
        <f>IFERROR(VLOOKUP(A110,[1]biopep_DB!$F$2:$L$1654,6,0),0)</f>
        <v>10.1021/jf020482t; 10.1021/jf051263l; 10.1002/psc.892; 10.1021/jf903261h; 10.1007/s00894-010-0862-x; 10.1021/jf202902r; 10.1016/j.talanta.2012.12.041; 10.1016/j.foodchem.2013.05.140; 10.1080/10408398.2012.664829</v>
      </c>
      <c r="F110" s="1" t="str">
        <f>IFERROR(VLOOKUP(A110,[1]biopep_DB!$F$2:$L$1654,7,0),0)</f>
        <v>12358510 16448176 17654623 19994857 20941517 21923188 23598136 23871047 24915368</v>
      </c>
      <c r="G110" s="5">
        <v>275.3</v>
      </c>
      <c r="H110" s="5">
        <v>5.57</v>
      </c>
      <c r="I110" s="5">
        <v>-0.2</v>
      </c>
      <c r="J110" s="6">
        <v>0.45</v>
      </c>
      <c r="K110" s="5">
        <v>5</v>
      </c>
      <c r="L110" s="6">
        <v>1</v>
      </c>
      <c r="M110" s="6">
        <v>-2.07</v>
      </c>
      <c r="N110" s="6">
        <v>0.5</v>
      </c>
      <c r="O110" s="6">
        <v>0</v>
      </c>
      <c r="P110" s="6">
        <v>0.5</v>
      </c>
      <c r="Q110" s="7"/>
      <c r="R110" s="7"/>
    </row>
    <row r="111" spans="1:18">
      <c r="A111" s="4" t="s">
        <v>179</v>
      </c>
      <c r="B111" s="4">
        <f t="shared" si="1"/>
        <v>4</v>
      </c>
      <c r="C111" s="4" t="s">
        <v>180</v>
      </c>
      <c r="D111" s="1" t="str">
        <f>IFERROR(VLOOKUP(A111,[1]biopep_DB!$F$2:$J$1654,5,0),)</f>
        <v>Vegetable foods: a cheap source of proteins and peptides with antihypertensive, antioxidant, and other less occurrence bioactivities.</v>
      </c>
      <c r="E111" s="1" t="str">
        <f>IFERROR(VLOOKUP(A111,[1]biopep_DB!$F$2:$L$1654,6,0),0)</f>
        <v>10.1016/j.talanta.2012.12.041</v>
      </c>
      <c r="F111" s="1">
        <f>IFERROR(VLOOKUP(A111,[1]biopep_DB!$F$2:$L$1654,7,0),0)</f>
        <v>23598136</v>
      </c>
      <c r="G111" s="5">
        <v>519.59</v>
      </c>
      <c r="H111" s="5">
        <v>5.57</v>
      </c>
      <c r="I111" s="5">
        <v>-0.2</v>
      </c>
      <c r="J111" s="6">
        <v>0.525</v>
      </c>
      <c r="K111" s="5">
        <v>55.65</v>
      </c>
      <c r="L111" s="6">
        <v>1</v>
      </c>
      <c r="M111" s="6">
        <v>-1.78</v>
      </c>
      <c r="N111" s="6">
        <v>0.25</v>
      </c>
      <c r="O111" s="6">
        <v>0.25</v>
      </c>
      <c r="P111" s="6">
        <v>0.5</v>
      </c>
      <c r="Q111" s="7"/>
      <c r="R111" s="7"/>
    </row>
    <row r="112" spans="1:18">
      <c r="A112" s="4" t="s">
        <v>181</v>
      </c>
      <c r="B112" s="4">
        <f t="shared" si="1"/>
        <v>4</v>
      </c>
      <c r="C112" s="4"/>
      <c r="D112" s="1" t="str">
        <f>IFERROR(VLOOKUP(A112,[1]biopep_DB!$F$2:$J$1654,5,0),)</f>
        <v/>
      </c>
      <c r="E112" s="1" t="str">
        <f>IFERROR(VLOOKUP(A112,[1]biopep_DB!$F$2:$L$1654,6,0),0)</f>
        <v/>
      </c>
      <c r="F112" s="1" t="str">
        <f>IFERROR(VLOOKUP(A112,[1]biopep_DB!$F$2:$L$1654,7,0),0)</f>
        <v/>
      </c>
      <c r="G112" s="5">
        <v>500.55</v>
      </c>
      <c r="H112" s="5">
        <v>5.57</v>
      </c>
      <c r="I112" s="5">
        <v>-0.2</v>
      </c>
      <c r="J112" s="6">
        <v>-1.05</v>
      </c>
      <c r="K112" s="5">
        <v>55.65</v>
      </c>
      <c r="L112" s="6">
        <v>0.75</v>
      </c>
      <c r="M112" s="6">
        <v>-0.695</v>
      </c>
      <c r="N112" s="6">
        <v>0.25</v>
      </c>
      <c r="O112" s="6">
        <v>0.25</v>
      </c>
      <c r="P112" s="6">
        <v>0.25</v>
      </c>
      <c r="Q112" s="7"/>
      <c r="R112" s="7"/>
    </row>
    <row r="113" spans="1:18">
      <c r="A113" s="4" t="s">
        <v>182</v>
      </c>
      <c r="B113" s="4">
        <f t="shared" si="1"/>
        <v>3</v>
      </c>
      <c r="C113" s="4" t="s">
        <v>183</v>
      </c>
      <c r="D113" s="1" t="str">
        <f>IFERROR(VLOOKUP(A113,[1]biopep_DB!$F$2:$J$1654,5,0),)</f>
        <v/>
      </c>
      <c r="E113" s="1" t="str">
        <f>IFERROR(VLOOKUP(A113,[1]biopep_DB!$F$2:$L$1654,6,0),0)</f>
        <v/>
      </c>
      <c r="F113" s="1" t="str">
        <f>IFERROR(VLOOKUP(A113,[1]biopep_DB!$F$2:$L$1654,7,0),0)</f>
        <v/>
      </c>
      <c r="G113" s="5">
        <v>461.51</v>
      </c>
      <c r="H113" s="5">
        <v>5.57</v>
      </c>
      <c r="I113" s="5">
        <v>-0.2</v>
      </c>
      <c r="J113" s="6">
        <v>0</v>
      </c>
      <c r="K113" s="5">
        <v>6.67</v>
      </c>
      <c r="L113" s="6">
        <v>1</v>
      </c>
      <c r="M113" s="6">
        <v>-2.1567</v>
      </c>
      <c r="N113" s="6">
        <v>0.3333</v>
      </c>
      <c r="O113" s="6">
        <v>0</v>
      </c>
      <c r="P113" s="6">
        <v>0.6667</v>
      </c>
      <c r="Q113" s="7"/>
      <c r="R113" s="7"/>
    </row>
    <row r="114" spans="1:18">
      <c r="A114" s="4" t="s">
        <v>184</v>
      </c>
      <c r="B114" s="4">
        <f t="shared" si="1"/>
        <v>2</v>
      </c>
      <c r="C114" s="4" t="s">
        <v>36</v>
      </c>
      <c r="D114" s="1" t="str">
        <f>IFERROR(VLOOKUP(A114,[1]biopep_DB!$F$2:$J$1654,5,0),)</f>
        <v>Isolation from alpha-zein of thermolysin peptides with angiotensin I-converting enzyme inhibitory activity.;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Peptide with angiotensin I-converting enzyme inhibitory activity from hydrolyzed corn gluten meal.; Bioactive peptides in amaranth (Amaranthus hypochondriacus) seed.; Antihypertensive effect of peptide-enriched soy sauce-like seasoning and identification of its angiotensin I-converting enzyme inhibitory substances.;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
      <c r="E114" s="1" t="str">
        <f>IFERROR(VLOOKUP(A114,[1]biopep_DB!$F$2:$L$1654,6,0),0)</f>
        <v>10.1271/bbb.60.661; 10.1021/jf051263l; 10.1002/psc.892; 10.1021/jf0705670; 10.1021/jf072911z; 10.1021/jf903261h; 10.1016/j.talanta.2012.12.041; 10.1016/j.jprot.2013.06.023; 10.1016/j.foodchem.2013.05.140; 10.1080/10408398.2012.664829</v>
      </c>
      <c r="F114" s="1" t="str">
        <f>IFERROR(VLOOKUP(A114,[1]biopep_DB!$F$2:$L$1654,7,0),0)</f>
        <v>8829536 16448176 17654623 17715987 18211015 19994857 23598136 23806758 23871047 24915368</v>
      </c>
      <c r="G114" s="5">
        <v>252.27</v>
      </c>
      <c r="H114" s="5">
        <v>5.57</v>
      </c>
      <c r="I114" s="5">
        <v>-0.21</v>
      </c>
      <c r="J114" s="6">
        <v>0.25</v>
      </c>
      <c r="K114" s="5">
        <v>5</v>
      </c>
      <c r="L114" s="6">
        <v>0.5</v>
      </c>
      <c r="M114" s="6">
        <v>-0.835</v>
      </c>
      <c r="N114" s="6">
        <v>0.5</v>
      </c>
      <c r="O114" s="6">
        <v>0</v>
      </c>
      <c r="P114" s="6">
        <v>0.5</v>
      </c>
      <c r="Q114" s="7"/>
      <c r="R114" s="7"/>
    </row>
    <row r="115" spans="1:18">
      <c r="A115" s="4" t="s">
        <v>185</v>
      </c>
      <c r="B115" s="4">
        <f t="shared" si="1"/>
        <v>5</v>
      </c>
      <c r="C115" s="4" t="s">
        <v>31</v>
      </c>
      <c r="D115" s="1" t="str">
        <f>IFERROR(VLOOKUP(A115,[1]biopep_DB!$F$2:$J$1654,5,0),)</f>
        <v/>
      </c>
      <c r="E115" s="1" t="str">
        <f>IFERROR(VLOOKUP(A115,[1]biopep_DB!$F$2:$L$1654,6,0),0)</f>
        <v/>
      </c>
      <c r="F115" s="1" t="str">
        <f>IFERROR(VLOOKUP(A115,[1]biopep_DB!$F$2:$L$1654,7,0),0)</f>
        <v/>
      </c>
      <c r="G115" s="5">
        <v>597.57</v>
      </c>
      <c r="H115" s="5">
        <v>4.05</v>
      </c>
      <c r="I115" s="5">
        <v>-2.2</v>
      </c>
      <c r="J115" s="6">
        <v>-1.46</v>
      </c>
      <c r="K115" s="5">
        <v>96.64</v>
      </c>
      <c r="L115" s="6">
        <v>0.2</v>
      </c>
      <c r="M115" s="6">
        <v>0.49</v>
      </c>
      <c r="N115" s="6">
        <v>0.6</v>
      </c>
      <c r="O115" s="6">
        <v>0.2</v>
      </c>
      <c r="P115" s="6">
        <v>0.2</v>
      </c>
      <c r="Q115" s="7"/>
      <c r="R115" s="7"/>
    </row>
    <row r="116" spans="1:18">
      <c r="A116" s="4" t="s">
        <v>186</v>
      </c>
      <c r="B116" s="4">
        <f t="shared" si="1"/>
        <v>6</v>
      </c>
      <c r="C116" s="4" t="s">
        <v>187</v>
      </c>
      <c r="D116" s="1" t="str">
        <f>IFERROR(VLOOKUP(A116,[1]biopep_DB!$F$2:$J$1654,5,0),)</f>
        <v>A new QSAR model, for angiotensin I-converting enzyme inhibitory oligopeptides.</v>
      </c>
      <c r="E116" s="1" t="str">
        <f>IFERROR(VLOOKUP(A116,[1]biopep_DB!$F$2:$L$1654,6,0),0)</f>
        <v>10.1016/j.foodchem.2012.09.092</v>
      </c>
      <c r="F116" s="1" t="str">
        <f>IFERROR(VLOOKUP(A116,[1]biopep_DB!$F$2:$L$1654,7,0),0)</f>
        <v>23194537</v>
      </c>
      <c r="G116" s="5">
        <v>726.77</v>
      </c>
      <c r="H116" s="5">
        <v>4.6</v>
      </c>
      <c r="I116" s="5">
        <v>-1.2</v>
      </c>
      <c r="J116" s="6">
        <v>-0.4167</v>
      </c>
      <c r="K116" s="5">
        <v>37.3</v>
      </c>
      <c r="L116" s="6">
        <v>0.5</v>
      </c>
      <c r="M116" s="6">
        <v>-0.4583</v>
      </c>
      <c r="N116" s="6">
        <v>0.3333</v>
      </c>
      <c r="O116" s="6">
        <v>0.1667</v>
      </c>
      <c r="P116" s="6">
        <v>0.5</v>
      </c>
      <c r="Q116" s="7"/>
      <c r="R116" s="7"/>
    </row>
    <row r="117" spans="1:18">
      <c r="A117" s="4" t="s">
        <v>188</v>
      </c>
      <c r="B117" s="4">
        <f t="shared" si="1"/>
        <v>4</v>
      </c>
      <c r="C117" s="4"/>
      <c r="D117" s="1" t="str">
        <f>IFERROR(VLOOKUP(A117,[1]biopep_DB!$F$2:$J$1654,5,0),)</f>
        <v/>
      </c>
      <c r="E117" s="1" t="str">
        <f>IFERROR(VLOOKUP(A117,[1]biopep_DB!$F$2:$L$1654,6,0),0)</f>
        <v/>
      </c>
      <c r="F117" s="1" t="str">
        <f>IFERROR(VLOOKUP(A117,[1]biopep_DB!$F$2:$L$1654,7,0),0)</f>
        <v/>
      </c>
      <c r="G117" s="5">
        <v>562.61</v>
      </c>
      <c r="H117" s="5">
        <v>5.57</v>
      </c>
      <c r="I117" s="5">
        <v>-0.21</v>
      </c>
      <c r="J117" s="6">
        <v>0.5</v>
      </c>
      <c r="K117" s="5">
        <v>89</v>
      </c>
      <c r="L117" s="6">
        <v>0.5</v>
      </c>
      <c r="M117" s="6">
        <v>-1.1275</v>
      </c>
      <c r="N117" s="6">
        <v>0.25</v>
      </c>
      <c r="O117" s="6">
        <v>0</v>
      </c>
      <c r="P117" s="6">
        <v>0.75</v>
      </c>
      <c r="Q117" s="7"/>
      <c r="R117" s="7"/>
    </row>
    <row r="118" spans="1:18">
      <c r="A118" s="4" t="s">
        <v>189</v>
      </c>
      <c r="B118" s="4">
        <f t="shared" si="1"/>
        <v>5</v>
      </c>
      <c r="C118" s="4" t="s">
        <v>190</v>
      </c>
      <c r="D118" s="1" t="str">
        <f>IFERROR(VLOOKUP(A118,[1]biopep_DB!$F$2:$J$1654,5,0),)</f>
        <v>A new QSAR model, for angiotensin I-converting enzyme inhibitory oligopeptides.</v>
      </c>
      <c r="E118" s="1" t="str">
        <f>IFERROR(VLOOKUP(A118,[1]biopep_DB!$F$2:$L$1654,6,0),0)</f>
        <v>10.1016/j.foodchem.2012.09.092</v>
      </c>
      <c r="F118" s="1" t="str">
        <f>IFERROR(VLOOKUP(A118,[1]biopep_DB!$F$2:$L$1654,7,0),0)</f>
        <v>23194537</v>
      </c>
      <c r="G118" s="5">
        <v>659.73</v>
      </c>
      <c r="H118" s="5">
        <v>5.57</v>
      </c>
      <c r="I118" s="5">
        <v>-0.21</v>
      </c>
      <c r="J118" s="6">
        <v>0.08</v>
      </c>
      <c r="K118" s="5">
        <v>97.88</v>
      </c>
      <c r="L118" s="6">
        <v>0.6</v>
      </c>
      <c r="M118" s="6">
        <v>-0.902</v>
      </c>
      <c r="N118" s="6">
        <v>0.2</v>
      </c>
      <c r="O118" s="6">
        <v>0.2</v>
      </c>
      <c r="P118" s="6">
        <v>0.6</v>
      </c>
      <c r="Q118" s="7"/>
      <c r="R118" s="7"/>
    </row>
    <row r="119" spans="1:18">
      <c r="A119" s="4" t="s">
        <v>191</v>
      </c>
      <c r="B119" s="4">
        <f t="shared" si="1"/>
        <v>6</v>
      </c>
      <c r="C119" s="4" t="s">
        <v>192</v>
      </c>
      <c r="D119" s="1" t="str">
        <f>IFERROR(VLOOKUP(A119,[1]biopep_DB!$F$2:$J$1654,5,0),)</f>
        <v>Antihypertensive effect of the peptides derived from casein by an extracellular proteinase from Lactobacillus helveticus CP790.; A new QSAR model, for angiotensin I-converting enzyme inhibitory oligopeptides.</v>
      </c>
      <c r="E119" s="1" t="str">
        <f>IFERROR(VLOOKUP(A119,[1]biopep_DB!$F$2:$L$1654,6,0),0)</f>
        <v>10.3168/jds.S0022-0302(94)77026-0; 10.1016/j.foodchem.2012.09.092</v>
      </c>
      <c r="F119" s="1" t="str">
        <f>IFERROR(VLOOKUP(A119,[1]biopep_DB!$F$2:$L$1654,7,0),0)</f>
        <v>8201050 23194537</v>
      </c>
      <c r="G119" s="5">
        <v>788.84</v>
      </c>
      <c r="H119" s="5">
        <v>4.6</v>
      </c>
      <c r="I119" s="5">
        <v>-1.2</v>
      </c>
      <c r="J119" s="6">
        <v>-0.5167</v>
      </c>
      <c r="K119" s="5">
        <v>112.2</v>
      </c>
      <c r="L119" s="6">
        <v>0.5</v>
      </c>
      <c r="M119" s="6">
        <v>-0.4783</v>
      </c>
      <c r="N119" s="6">
        <v>0.3333</v>
      </c>
      <c r="O119" s="6">
        <v>0.1667</v>
      </c>
      <c r="P119" s="6">
        <v>0.5</v>
      </c>
      <c r="Q119" s="7"/>
      <c r="R119" s="7"/>
    </row>
    <row r="120" spans="1:18">
      <c r="A120" s="4" t="s">
        <v>193</v>
      </c>
      <c r="B120" s="4">
        <f t="shared" si="1"/>
        <v>7</v>
      </c>
      <c r="C120" s="4" t="s">
        <v>194</v>
      </c>
      <c r="D120" s="1" t="str">
        <f>IFERROR(VLOOKUP(A120,[1]biopep_DB!$F$2:$J$1654,5,0),)</f>
        <v>Antihypertensive peptides: production, bioavailability and incorporation into foods.; Antihypertensive peptides from food proteins: a review.; Glycinyl-histidinyl-serine (GHS), a novel rapeseed protein-derived peptide has blood pressure-lowering effect in spontaneously hypertensive rats.; Isolation and characterization of peptides with antihypertensive activity in foodstuffs.</v>
      </c>
      <c r="E120" s="1" t="str">
        <f>IFERROR(VLOOKUP(A120,[1]biopep_DB!$F$2:$L$1654,6,0),0)</f>
        <v>10.1016/j.cis.2010.11.001; 10.1039/c2fo10192k; 10.1021/jf400865m; 10.1080/10408398.2012.664829</v>
      </c>
      <c r="F120" s="1" t="str">
        <f>IFERROR(VLOOKUP(A120,[1]biopep_DB!$F$2:$L$1654,7,0),0)</f>
        <v>21185549 22249830 23919612 24915368</v>
      </c>
      <c r="G120" s="5">
        <v>902</v>
      </c>
      <c r="H120" s="5">
        <v>4.05</v>
      </c>
      <c r="I120" s="5">
        <v>-1.2</v>
      </c>
      <c r="J120" s="6">
        <v>0.1</v>
      </c>
      <c r="K120" s="5">
        <v>97.6</v>
      </c>
      <c r="L120" s="6">
        <v>0.5714</v>
      </c>
      <c r="M120" s="6">
        <v>-1.1129</v>
      </c>
      <c r="N120" s="6">
        <v>0.4286</v>
      </c>
      <c r="O120" s="6">
        <v>0.1429</v>
      </c>
      <c r="P120" s="6">
        <v>0.5714</v>
      </c>
      <c r="Q120" s="7"/>
      <c r="R120" s="7"/>
    </row>
    <row r="121" spans="1:18">
      <c r="A121" s="4" t="s">
        <v>195</v>
      </c>
      <c r="B121" s="4">
        <f t="shared" si="1"/>
        <v>8</v>
      </c>
      <c r="C121" s="4"/>
      <c r="G121" s="5">
        <v>1049.17</v>
      </c>
      <c r="H121" s="5">
        <v>4.05</v>
      </c>
      <c r="I121" s="5">
        <v>-1.2</v>
      </c>
      <c r="J121" s="6">
        <v>0.4375</v>
      </c>
      <c r="K121" s="5">
        <v>86.65</v>
      </c>
      <c r="L121" s="6">
        <v>0.625</v>
      </c>
      <c r="M121" s="6">
        <v>-1.3463</v>
      </c>
      <c r="N121" s="6">
        <v>0.375</v>
      </c>
      <c r="O121" s="6">
        <v>0.125</v>
      </c>
      <c r="P121" s="6">
        <v>0.625</v>
      </c>
      <c r="Q121" s="7"/>
      <c r="R121" s="7"/>
    </row>
    <row r="122" spans="1:18">
      <c r="A122" s="4" t="s">
        <v>196</v>
      </c>
      <c r="B122" s="4">
        <f t="shared" si="1"/>
        <v>8</v>
      </c>
      <c r="C122" s="4" t="s">
        <v>197</v>
      </c>
      <c r="D122" s="1" t="str">
        <f>IFERROR(VLOOKUP(A122,[1]biopep_DB!$F$2:$J$1654,5,0),)</f>
        <v>A new QSAR model, for angiotensin I-converting enzyme inhibitory oligopeptides.</v>
      </c>
      <c r="E122" s="1" t="str">
        <f>IFERROR(VLOOKUP(A122,[1]biopep_DB!$F$2:$L$1654,6,0),0)</f>
        <v>10.1016/j.foodchem.2012.09.092</v>
      </c>
      <c r="F122" s="1" t="str">
        <f>IFERROR(VLOOKUP(A122,[1]biopep_DB!$F$2:$L$1654,7,0),0)</f>
        <v>23194537</v>
      </c>
      <c r="G122" s="5">
        <v>821.96</v>
      </c>
      <c r="H122" s="5">
        <v>8.63</v>
      </c>
      <c r="I122" s="5">
        <v>0.79</v>
      </c>
      <c r="J122" s="6">
        <v>0.6875</v>
      </c>
      <c r="K122" s="5">
        <v>-1.86</v>
      </c>
      <c r="L122" s="6">
        <v>0.5</v>
      </c>
      <c r="M122" s="6">
        <v>-1.48</v>
      </c>
      <c r="N122" s="6">
        <v>0.5</v>
      </c>
      <c r="O122" s="6">
        <v>0.25</v>
      </c>
      <c r="P122" s="6">
        <v>0.375</v>
      </c>
      <c r="Q122" s="7"/>
      <c r="R122" s="7"/>
    </row>
    <row r="123" spans="1:18">
      <c r="A123" s="4" t="s">
        <v>198</v>
      </c>
      <c r="B123" s="4">
        <f t="shared" si="1"/>
        <v>5</v>
      </c>
      <c r="C123" s="4" t="s">
        <v>31</v>
      </c>
      <c r="D123" s="1" t="str">
        <f>IFERROR(VLOOKUP(A123,[1]biopep_DB!$F$2:$J$1654,5,0),)</f>
        <v/>
      </c>
      <c r="E123" s="1" t="str">
        <f>IFERROR(VLOOKUP(A123,[1]biopep_DB!$F$2:$L$1654,6,0),0)</f>
        <v/>
      </c>
      <c r="F123" s="1" t="str">
        <f>IFERROR(VLOOKUP(A123,[1]biopep_DB!$F$2:$L$1654,7,0),0)</f>
        <v/>
      </c>
      <c r="G123" s="5">
        <v>664.75</v>
      </c>
      <c r="H123" s="5">
        <v>9.99</v>
      </c>
      <c r="I123" s="5">
        <v>1.79</v>
      </c>
      <c r="J123" s="6">
        <v>-2.28</v>
      </c>
      <c r="K123" s="5">
        <v>111.72</v>
      </c>
      <c r="L123" s="6">
        <v>0.2</v>
      </c>
      <c r="M123" s="6">
        <v>0.798</v>
      </c>
      <c r="N123" s="6">
        <v>0.4</v>
      </c>
      <c r="O123" s="6">
        <v>0</v>
      </c>
      <c r="P123" s="6">
        <v>0.2</v>
      </c>
      <c r="Q123" s="7"/>
      <c r="R123" s="7"/>
    </row>
    <row r="124" spans="1:18">
      <c r="A124" s="4" t="s">
        <v>199</v>
      </c>
      <c r="B124" s="4">
        <f t="shared" si="1"/>
        <v>20</v>
      </c>
      <c r="C124" s="4"/>
      <c r="G124" s="5">
        <v>2228.55</v>
      </c>
      <c r="H124" s="5">
        <v>8.79</v>
      </c>
      <c r="I124" s="5">
        <v>0.79</v>
      </c>
      <c r="J124" s="6">
        <v>0.105</v>
      </c>
      <c r="K124" s="5">
        <v>104.49</v>
      </c>
      <c r="L124" s="6">
        <v>0.6</v>
      </c>
      <c r="M124" s="6">
        <v>-1.159</v>
      </c>
      <c r="N124" s="6">
        <v>0.4</v>
      </c>
      <c r="O124" s="6">
        <v>0.2</v>
      </c>
      <c r="P124" s="6">
        <v>0.35</v>
      </c>
      <c r="Q124" s="7"/>
      <c r="R124" s="7"/>
    </row>
    <row r="125" spans="1:18">
      <c r="A125" s="4" t="s">
        <v>200</v>
      </c>
      <c r="B125" s="4">
        <f t="shared" si="1"/>
        <v>3</v>
      </c>
      <c r="C125" s="4"/>
      <c r="D125" s="1" t="str">
        <f>IFERROR(VLOOKUP(A125,[1]biopep_DB!$F$2:$J$1654,5,0),)</f>
        <v>Isolation from alpha-zein of thermolysin peptides with angiotensin I-converting enzyme inhibitory activity.</v>
      </c>
      <c r="E125" s="1" t="str">
        <f>IFERROR(VLOOKUP(A125,[1]biopep_DB!$F$2:$L$1654,6,0),0)</f>
        <v>10.1271/bbb.60.661</v>
      </c>
      <c r="F125" s="1" t="str">
        <f>IFERROR(VLOOKUP(A125,[1]biopep_DB!$F$2:$L$1654,7,0),0)</f>
        <v>8829536</v>
      </c>
      <c r="G125" s="5">
        <v>349.38</v>
      </c>
      <c r="H125" s="5">
        <v>5.57</v>
      </c>
      <c r="I125" s="5">
        <v>-0.21</v>
      </c>
      <c r="J125" s="6">
        <v>-0.3667</v>
      </c>
      <c r="K125" s="5">
        <v>47.8</v>
      </c>
      <c r="L125" s="6">
        <v>0.6667</v>
      </c>
      <c r="M125" s="6">
        <v>-0.5567</v>
      </c>
      <c r="N125" s="6">
        <v>0.3333</v>
      </c>
      <c r="O125" s="6">
        <v>0.3333</v>
      </c>
      <c r="P125" s="6">
        <v>0.3333</v>
      </c>
      <c r="Q125" s="7"/>
      <c r="R125" s="7"/>
    </row>
    <row r="126" spans="1:18">
      <c r="A126" s="4" t="s">
        <v>201</v>
      </c>
      <c r="B126" s="4">
        <f t="shared" si="1"/>
        <v>5</v>
      </c>
      <c r="C126" s="4"/>
      <c r="D126" s="1" t="str">
        <f>IFERROR(VLOOKUP(A126,[1]biopep_DB!$F$2:$J$1654,5,0),)</f>
        <v>Isolation from alpha-zein of thermolysin peptides with angiotensin I-converting enzyme inhibitory activity.</v>
      </c>
      <c r="E126" s="1" t="str">
        <f>IFERROR(VLOOKUP(A126,[1]biopep_DB!$F$2:$L$1654,6,0),0)</f>
        <v>10.1271/bbb.60.661</v>
      </c>
      <c r="F126" s="1" t="str">
        <f>IFERROR(VLOOKUP(A126,[1]biopep_DB!$F$2:$L$1654,7,0),0)</f>
        <v>8829536</v>
      </c>
      <c r="G126" s="5">
        <v>605.64</v>
      </c>
      <c r="H126" s="5">
        <v>5.57</v>
      </c>
      <c r="I126" s="5">
        <v>-0.21</v>
      </c>
      <c r="J126" s="6">
        <v>-1.62</v>
      </c>
      <c r="K126" s="5">
        <v>109.72</v>
      </c>
      <c r="L126" s="6">
        <v>0.4</v>
      </c>
      <c r="M126" s="6">
        <v>0.21</v>
      </c>
      <c r="N126" s="6">
        <v>0.2</v>
      </c>
      <c r="O126" s="6">
        <v>0.2</v>
      </c>
      <c r="P126" s="6">
        <v>0.2</v>
      </c>
      <c r="Q126" s="7"/>
      <c r="R126" s="7"/>
    </row>
    <row r="127" spans="1:18">
      <c r="A127" s="4" t="s">
        <v>202</v>
      </c>
      <c r="B127" s="4">
        <f t="shared" si="1"/>
        <v>5</v>
      </c>
      <c r="C127" s="4"/>
      <c r="D127" s="1" t="str">
        <f>IFERROR(VLOOKUP(A127,[1]biopep_DB!$F$2:$J$1654,5,0),)</f>
        <v/>
      </c>
      <c r="E127" s="1" t="str">
        <f>IFERROR(VLOOKUP(A127,[1]biopep_DB!$F$2:$L$1654,6,0),0)</f>
        <v/>
      </c>
      <c r="F127" s="1" t="str">
        <f>IFERROR(VLOOKUP(A127,[1]biopep_DB!$F$2:$L$1654,7,0),0)</f>
        <v/>
      </c>
      <c r="G127" s="5">
        <v>509.55</v>
      </c>
      <c r="H127" s="5">
        <v>5.57</v>
      </c>
      <c r="I127" s="5">
        <v>-0.21</v>
      </c>
      <c r="J127" s="6">
        <v>0.72</v>
      </c>
      <c r="K127" s="5">
        <v>-25.96</v>
      </c>
      <c r="L127" s="6">
        <v>0.4</v>
      </c>
      <c r="M127" s="6">
        <v>-1.278</v>
      </c>
      <c r="N127" s="6">
        <v>0.2</v>
      </c>
      <c r="O127" s="6">
        <v>0.2</v>
      </c>
      <c r="P127" s="6">
        <v>0.6</v>
      </c>
      <c r="Q127" s="7"/>
      <c r="R127" s="7"/>
    </row>
    <row r="128" spans="1:18">
      <c r="A128" s="4" t="s">
        <v>203</v>
      </c>
      <c r="B128" s="4">
        <f t="shared" si="1"/>
        <v>5</v>
      </c>
      <c r="C128" s="4" t="s">
        <v>31</v>
      </c>
      <c r="D128" s="1" t="str">
        <f>IFERROR(VLOOKUP(A128,[1]biopep_DB!$F$2:$J$1654,5,0),)</f>
        <v/>
      </c>
      <c r="E128" s="1" t="str">
        <f>IFERROR(VLOOKUP(A128,[1]biopep_DB!$F$2:$L$1654,6,0),0)</f>
        <v/>
      </c>
      <c r="F128" s="1" t="str">
        <f>IFERROR(VLOOKUP(A128,[1]biopep_DB!$F$2:$L$1654,7,0),0)</f>
        <v/>
      </c>
      <c r="G128" s="5">
        <v>609.63</v>
      </c>
      <c r="H128" s="5">
        <v>5.57</v>
      </c>
      <c r="I128" s="5">
        <v>-0.21</v>
      </c>
      <c r="J128" s="6">
        <v>-1.44</v>
      </c>
      <c r="K128" s="5">
        <v>14.46</v>
      </c>
      <c r="L128" s="6">
        <v>0.2</v>
      </c>
      <c r="M128" s="6">
        <v>0.262</v>
      </c>
      <c r="N128" s="6">
        <v>0.2</v>
      </c>
      <c r="O128" s="6">
        <v>0</v>
      </c>
      <c r="P128" s="6">
        <v>0.4</v>
      </c>
      <c r="Q128" s="7"/>
      <c r="R128" s="7"/>
    </row>
    <row r="129" spans="1:18">
      <c r="A129" s="4" t="s">
        <v>204</v>
      </c>
      <c r="B129" s="4">
        <f t="shared" si="1"/>
        <v>3</v>
      </c>
      <c r="C129" s="4" t="s">
        <v>31</v>
      </c>
      <c r="D129" s="1" t="str">
        <f>IFERROR(VLOOKUP(A129,[1]biopep_DB!$F$2:$J$1654,5,0),)</f>
        <v/>
      </c>
      <c r="E129" s="1" t="str">
        <f>IFERROR(VLOOKUP(A129,[1]biopep_DB!$F$2:$L$1654,6,0),0)</f>
        <v/>
      </c>
      <c r="F129" s="1" t="str">
        <f>IFERROR(VLOOKUP(A129,[1]biopep_DB!$F$2:$L$1654,7,0),0)</f>
        <v/>
      </c>
      <c r="G129" s="5">
        <v>438.48</v>
      </c>
      <c r="H129" s="5">
        <v>5.57</v>
      </c>
      <c r="I129" s="5">
        <v>-0.21</v>
      </c>
      <c r="J129" s="6">
        <v>-0.1333</v>
      </c>
      <c r="K129" s="5">
        <v>-27.9</v>
      </c>
      <c r="L129" s="6">
        <v>0.6667</v>
      </c>
      <c r="M129" s="6">
        <v>-1.3333</v>
      </c>
      <c r="N129" s="6">
        <v>0.3333</v>
      </c>
      <c r="O129" s="6">
        <v>0</v>
      </c>
      <c r="P129" s="6">
        <v>0.6667</v>
      </c>
      <c r="Q129" s="7"/>
      <c r="R129" s="7"/>
    </row>
    <row r="130" spans="1:18">
      <c r="A130" s="4" t="s">
        <v>205</v>
      </c>
      <c r="B130" s="4">
        <f t="shared" si="1"/>
        <v>2</v>
      </c>
      <c r="C130" s="4" t="s">
        <v>206</v>
      </c>
      <c r="D130" s="1" t="str">
        <f>IFERROR(VLOOKUP(A130,[1]biopep_DB!$F$2:$J$1654,5,0),)</f>
        <v>Review on the angiotensin-I-converting enzyme (ACE) inhibitor peptides from marine proteins.;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130" s="1" t="str">
        <f>IFERROR(VLOOKUP(A130,[1]biopep_DB!$F$2:$L$1654,6,0),0)</f>
        <v>10.1007/s12010-012-0024-y; 10.1016/j.jprot.2013.06.023; 10.1016/j.foodchem.2013.05.140</v>
      </c>
      <c r="F130" s="1" t="str">
        <f>IFERROR(VLOOKUP(A130,[1]biopep_DB!$F$2:$L$1654,7,0),0)</f>
        <v>23271625 23806758 23871047</v>
      </c>
      <c r="G130" s="5">
        <v>268.33</v>
      </c>
      <c r="H130" s="5">
        <v>5.52</v>
      </c>
      <c r="I130" s="5">
        <v>-0.25</v>
      </c>
      <c r="J130" s="6">
        <v>2.65</v>
      </c>
      <c r="K130" s="5">
        <v>5</v>
      </c>
      <c r="L130" s="6">
        <v>0.5</v>
      </c>
      <c r="M130" s="6">
        <v>-2.13</v>
      </c>
      <c r="N130" s="6">
        <v>0</v>
      </c>
      <c r="O130" s="6">
        <v>0</v>
      </c>
      <c r="P130" s="6">
        <v>0.5</v>
      </c>
      <c r="Q130" s="7"/>
      <c r="R130" s="7"/>
    </row>
    <row r="131" spans="1:18">
      <c r="A131" s="4" t="s">
        <v>207</v>
      </c>
      <c r="B131" s="4">
        <f t="shared" si="1"/>
        <v>7</v>
      </c>
      <c r="C131" s="4" t="s">
        <v>208</v>
      </c>
      <c r="D131" s="1" t="str">
        <f>IFERROR(VLOOKUP(A131,[1]biopep_DB!$F$2:$J$1654,5,0),)</f>
        <v/>
      </c>
      <c r="E131" s="1" t="str">
        <f>IFERROR(VLOOKUP(A131,[1]biopep_DB!$F$2:$L$1654,6,0),0)</f>
        <v/>
      </c>
      <c r="F131" s="1" t="str">
        <f>IFERROR(VLOOKUP(A131,[1]biopep_DB!$F$2:$L$1654,7,0),0)</f>
        <v/>
      </c>
      <c r="G131" s="5">
        <v>801.01</v>
      </c>
      <c r="H131" s="5">
        <v>7.96</v>
      </c>
      <c r="I131" s="5">
        <v>0.73</v>
      </c>
      <c r="J131" s="6">
        <v>0.5857</v>
      </c>
      <c r="K131" s="5">
        <v>33.6</v>
      </c>
      <c r="L131" s="6">
        <v>0.2857</v>
      </c>
      <c r="M131" s="6">
        <v>-0.7114</v>
      </c>
      <c r="N131" s="6">
        <v>0.1429</v>
      </c>
      <c r="O131" s="6">
        <v>0.1429</v>
      </c>
      <c r="P131" s="6">
        <v>0.2857</v>
      </c>
      <c r="Q131" s="7"/>
      <c r="R131" s="7"/>
    </row>
    <row r="132" spans="1:18">
      <c r="A132" s="4" t="s">
        <v>209</v>
      </c>
      <c r="B132" s="4">
        <f t="shared" si="1"/>
        <v>6</v>
      </c>
      <c r="C132" s="4" t="s">
        <v>210</v>
      </c>
      <c r="D132" s="1" t="str">
        <f>IFERROR(VLOOKUP(A132,[1]biopep_DB!$F$2:$J$1654,5,0),)</f>
        <v>Angiotensin I-converting enzyme inhibitory properties of whey protein digests: concentration and characterization of active peptides.; A new QSAR model, for angiotensin I-converting enzyme inhibitory oligopeptides.</v>
      </c>
      <c r="E132" s="1" t="str">
        <f>IFERROR(VLOOKUP(A132,[1]biopep_DB!$F$2:$L$1654,6,0),0)</f>
        <v>10.1017/s0022029999003982; 10.1016/j.foodchem.2012.09.092</v>
      </c>
      <c r="F132" s="1" t="str">
        <f>IFERROR(VLOOKUP(A132,[1]biopep_DB!$F$2:$L$1654,7,0),0)</f>
        <v>10717843 23194537</v>
      </c>
      <c r="G132" s="5">
        <v>653.73</v>
      </c>
      <c r="H132" s="5">
        <v>4.05</v>
      </c>
      <c r="I132" s="5">
        <v>-1.25</v>
      </c>
      <c r="J132" s="6">
        <v>-0.2667</v>
      </c>
      <c r="K132" s="5">
        <v>62.67</v>
      </c>
      <c r="L132" s="6">
        <v>0.3333</v>
      </c>
      <c r="M132" s="6">
        <v>-0.2233</v>
      </c>
      <c r="N132" s="6">
        <v>0.5</v>
      </c>
      <c r="O132" s="6">
        <v>0.3333</v>
      </c>
      <c r="P132" s="6">
        <v>0</v>
      </c>
      <c r="Q132" s="7"/>
      <c r="R132" s="7"/>
    </row>
    <row r="133" spans="1:18">
      <c r="A133" s="4" t="s">
        <v>211</v>
      </c>
      <c r="B133" s="4">
        <f t="shared" si="1"/>
        <v>16</v>
      </c>
      <c r="C133" s="4"/>
      <c r="G133" s="5">
        <v>1771.91</v>
      </c>
      <c r="H133" s="5">
        <v>8.26</v>
      </c>
      <c r="I133" s="5">
        <v>0.84</v>
      </c>
      <c r="J133" s="6">
        <v>-0.9937</v>
      </c>
      <c r="K133" s="5">
        <v>20.89</v>
      </c>
      <c r="L133" s="6">
        <v>0.1875</v>
      </c>
      <c r="M133" s="6">
        <v>-0.0763</v>
      </c>
      <c r="N133" s="6">
        <v>0.125</v>
      </c>
      <c r="O133" s="6">
        <v>0.25</v>
      </c>
      <c r="P133" s="6">
        <v>0.3125</v>
      </c>
      <c r="Q133" s="7"/>
      <c r="R133" s="7"/>
    </row>
    <row r="134" spans="1:18">
      <c r="A134" s="4" t="s">
        <v>212</v>
      </c>
      <c r="B134" s="4">
        <f t="shared" ref="B134:B197" si="2">LEN(A134)</f>
        <v>7</v>
      </c>
      <c r="C134" s="4" t="s">
        <v>213</v>
      </c>
      <c r="D134" s="1" t="str">
        <f>IFERROR(VLOOKUP(A134,[1]biopep_DB!$F$2:$J$1654,5,0),)</f>
        <v/>
      </c>
      <c r="E134" s="1" t="str">
        <f>IFERROR(VLOOKUP(A134,[1]biopep_DB!$F$2:$L$1654,6,0),0)</f>
        <v/>
      </c>
      <c r="F134" s="1" t="str">
        <f>IFERROR(VLOOKUP(A134,[1]biopep_DB!$F$2:$L$1654,7,0),0)</f>
        <v/>
      </c>
      <c r="G134" s="5">
        <v>758.93</v>
      </c>
      <c r="H134" s="5">
        <v>8.25</v>
      </c>
      <c r="I134" s="5">
        <v>0.75</v>
      </c>
      <c r="J134" s="6">
        <v>0.7857</v>
      </c>
      <c r="K134" s="5">
        <v>40.7</v>
      </c>
      <c r="L134" s="6">
        <v>0.5714</v>
      </c>
      <c r="M134" s="6">
        <v>-1.2957</v>
      </c>
      <c r="N134" s="6">
        <v>0.2857</v>
      </c>
      <c r="O134" s="6">
        <v>0.1429</v>
      </c>
      <c r="P134" s="6">
        <v>0.4286</v>
      </c>
      <c r="Q134" s="7"/>
      <c r="R134" s="7"/>
    </row>
    <row r="135" spans="1:18">
      <c r="A135" s="4" t="s">
        <v>214</v>
      </c>
      <c r="B135" s="4">
        <f t="shared" si="2"/>
        <v>6</v>
      </c>
      <c r="C135" s="4" t="s">
        <v>215</v>
      </c>
      <c r="D135" s="1" t="str">
        <f>IFERROR(VLOOKUP(A135,[1]biopep_DB!$F$2:$J$1654,5,0),)</f>
        <v>Effects of angiotensin I-converting enzyme inhibitory substances derived from Indonesian dried-salted fish on blood pressure of rats.; Structure and activity of angiotensin I converting enzyme inhibitory peptides derived from Alaskan pollack skin.; A new QSAR model, for angiotensin I-converting enzyme inhibitory oligopeptides.</v>
      </c>
      <c r="E135" s="1" t="str">
        <f>IFERROR(VLOOKUP(A135,[1]biopep_DB!$F$2:$L$1654,6,0),0)</f>
        <v>10.1271/bbb.59.425; 10.5483/bmbrep.2002.35.2.239; 10.1016/j.foodchem.2012.09.092</v>
      </c>
      <c r="F135" s="1" t="str">
        <f>IFERROR(VLOOKUP(A135,[1]biopep_DB!$F$2:$L$1654,7,0),0)</f>
        <v>7766180 12297036 23194537</v>
      </c>
      <c r="G135" s="5">
        <v>779.95</v>
      </c>
      <c r="H135" s="5">
        <v>5.52</v>
      </c>
      <c r="I135" s="5">
        <v>-0.25</v>
      </c>
      <c r="J135" s="6">
        <v>1.1167</v>
      </c>
      <c r="K135" s="5">
        <v>120</v>
      </c>
      <c r="L135" s="6">
        <v>0.6667</v>
      </c>
      <c r="M135" s="6">
        <v>-2.0717</v>
      </c>
      <c r="N135" s="6">
        <v>0.1667</v>
      </c>
      <c r="O135" s="6">
        <v>0.1667</v>
      </c>
      <c r="P135" s="6">
        <v>0.6667</v>
      </c>
      <c r="Q135" s="7"/>
      <c r="R135" s="7"/>
    </row>
    <row r="136" spans="1:18">
      <c r="A136" s="4" t="s">
        <v>216</v>
      </c>
      <c r="B136" s="4">
        <f t="shared" si="2"/>
        <v>2</v>
      </c>
      <c r="C136" s="4" t="s">
        <v>217</v>
      </c>
      <c r="D136" s="1" t="str">
        <f>IFERROR(VLOOKUP(A136,[1]biopep_DB!$F$2:$J$1654,5,0),)</f>
        <v>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136" s="1" t="str">
        <f>IFERROR(VLOOKUP(A136,[1]biopep_DB!$F$2:$L$1654,6,0),0)</f>
        <v>10.1002/psc.892; 10.1007/s00894-010-0862-x; 10.1016/j.jprot.2013.06.023; 10.1016/j.foodchem.2013.05.140</v>
      </c>
      <c r="F136" s="1" t="str">
        <f>IFERROR(VLOOKUP(A136,[1]biopep_DB!$F$2:$L$1654,7,0),0)</f>
        <v>17654623 20941517 23806758 23871047</v>
      </c>
      <c r="G136" s="5">
        <v>204.18</v>
      </c>
      <c r="H136" s="5">
        <v>4.05</v>
      </c>
      <c r="I136" s="5">
        <v>-1.24</v>
      </c>
      <c r="J136" s="6">
        <v>-0.85</v>
      </c>
      <c r="K136" s="5">
        <v>5</v>
      </c>
      <c r="L136" s="6">
        <v>0.5</v>
      </c>
      <c r="M136" s="6">
        <v>-0.065</v>
      </c>
      <c r="N136" s="6">
        <v>0.5</v>
      </c>
      <c r="O136" s="6">
        <v>0.5</v>
      </c>
      <c r="P136" s="6">
        <v>0</v>
      </c>
      <c r="Q136" s="7"/>
      <c r="R136" s="7"/>
    </row>
    <row r="137" spans="1:18">
      <c r="A137" s="4" t="s">
        <v>218</v>
      </c>
      <c r="B137" s="4">
        <f t="shared" si="2"/>
        <v>10</v>
      </c>
      <c r="C137" s="4" t="s">
        <v>219</v>
      </c>
      <c r="D137" s="1" t="str">
        <f>IFERROR(VLOOKUP(A137,[1]biopep_DB!$F$2:$J$1654,5,0),)</f>
        <v>A new QSAR model, for angiotensin I-converting enzyme inhibitory oligopeptides.</v>
      </c>
      <c r="E137" s="1" t="str">
        <f>IFERROR(VLOOKUP(A137,[1]biopep_DB!$F$2:$L$1654,6,0),0)</f>
        <v>10.1016/j.foodchem.2012.09.092</v>
      </c>
      <c r="F137" s="1" t="str">
        <f>IFERROR(VLOOKUP(A137,[1]biopep_DB!$F$2:$L$1654,7,0),0)</f>
        <v>23194537</v>
      </c>
      <c r="G137" s="5">
        <v>1119.23</v>
      </c>
      <c r="H137" s="5">
        <v>5.84</v>
      </c>
      <c r="I137" s="5">
        <v>-0.24</v>
      </c>
      <c r="J137" s="6">
        <v>-0.36</v>
      </c>
      <c r="K137" s="5">
        <v>83.92</v>
      </c>
      <c r="L137" s="6">
        <v>0.5</v>
      </c>
      <c r="M137" s="6">
        <v>-0.584</v>
      </c>
      <c r="N137" s="6">
        <v>0.3</v>
      </c>
      <c r="O137" s="6">
        <v>0.3</v>
      </c>
      <c r="P137" s="6">
        <v>0.3</v>
      </c>
      <c r="Q137" s="7"/>
      <c r="R137" s="7"/>
    </row>
    <row r="138" spans="1:18">
      <c r="A138" s="4" t="s">
        <v>220</v>
      </c>
      <c r="B138" s="4">
        <f t="shared" si="2"/>
        <v>7</v>
      </c>
      <c r="C138" s="4"/>
      <c r="D138" s="1" t="str">
        <f>IFERROR(VLOOKUP(A138,[1]biopep_DB!$F$2:$J$1654,5,0),)</f>
        <v/>
      </c>
      <c r="E138" s="1" t="str">
        <f>IFERROR(VLOOKUP(A138,[1]biopep_DB!$F$2:$L$1654,6,0),0)</f>
        <v/>
      </c>
      <c r="F138" s="1" t="str">
        <f>IFERROR(VLOOKUP(A138,[1]biopep_DB!$F$2:$L$1654,7,0),0)</f>
        <v/>
      </c>
      <c r="G138" s="5">
        <v>679.68</v>
      </c>
      <c r="H138" s="5">
        <v>4.05</v>
      </c>
      <c r="I138" s="5">
        <v>-1.24</v>
      </c>
      <c r="J138" s="6">
        <v>-0.5714</v>
      </c>
      <c r="K138" s="5">
        <v>41.59</v>
      </c>
      <c r="L138" s="6">
        <v>0.4286</v>
      </c>
      <c r="M138" s="6">
        <v>-0.2714</v>
      </c>
      <c r="N138" s="6">
        <v>0.2857</v>
      </c>
      <c r="O138" s="6">
        <v>0.5714</v>
      </c>
      <c r="P138" s="6">
        <v>0.1429</v>
      </c>
      <c r="Q138" s="7"/>
      <c r="R138" s="7"/>
    </row>
    <row r="139" spans="1:18">
      <c r="A139" s="4" t="s">
        <v>221</v>
      </c>
      <c r="B139" s="4">
        <f t="shared" si="2"/>
        <v>8</v>
      </c>
      <c r="C139" s="4" t="s">
        <v>222</v>
      </c>
      <c r="D139" s="1" t="str">
        <f>IFERROR(VLOOKUP(A139,[1]biopep_DB!$F$2:$J$1654,5,0),)</f>
        <v>A new QSAR model, for angiotensin I-converting enzyme inhibitory oligopeptides.</v>
      </c>
      <c r="E139" s="1" t="str">
        <f>IFERROR(VLOOKUP(A139,[1]biopep_DB!$F$2:$L$1654,6,0),0)</f>
        <v>10.1016/j.foodchem.2012.09.092</v>
      </c>
      <c r="F139" s="1" t="str">
        <f>IFERROR(VLOOKUP(A139,[1]biopep_DB!$F$2:$L$1654,7,0),0)</f>
        <v>23194537</v>
      </c>
      <c r="G139" s="5">
        <v>865.89</v>
      </c>
      <c r="H139" s="5">
        <v>4.05</v>
      </c>
      <c r="I139" s="5">
        <v>-1.24</v>
      </c>
      <c r="J139" s="6">
        <v>-0.6125</v>
      </c>
      <c r="K139" s="5">
        <v>37.64</v>
      </c>
      <c r="L139" s="6">
        <v>0.5</v>
      </c>
      <c r="M139" s="6">
        <v>-0.5288</v>
      </c>
      <c r="N139" s="6">
        <v>0.25</v>
      </c>
      <c r="O139" s="6">
        <v>0.5</v>
      </c>
      <c r="P139" s="6">
        <v>0.25</v>
      </c>
      <c r="Q139" s="7"/>
      <c r="R139" s="7"/>
    </row>
    <row r="140" spans="1:18">
      <c r="A140" s="4" t="s">
        <v>223</v>
      </c>
      <c r="B140" s="4">
        <f t="shared" si="2"/>
        <v>14</v>
      </c>
      <c r="C140" s="4" t="s">
        <v>224</v>
      </c>
      <c r="D140" s="1" t="str">
        <f>IFERROR(VLOOKUP(A140,[1]biopep_DB!$F$2:$J$1654,5,0),)</f>
        <v>Purification and characterization of angiotensin I converting enzyme inhibitory peptides from the rotifer, Brachionus rotundiformis.</v>
      </c>
      <c r="E140" s="1" t="str">
        <f>IFERROR(VLOOKUP(A140,[1]biopep_DB!$F$2:$L$1654,6,0),0)</f>
        <v>10.1016/j.biortech.2009.05.057</v>
      </c>
      <c r="F140" s="1" t="str">
        <f>IFERROR(VLOOKUP(A140,[1]biopep_DB!$F$2:$L$1654,7,0),0)</f>
        <v>19540110</v>
      </c>
      <c r="G140" s="5">
        <v>1539.49</v>
      </c>
      <c r="H140" s="5">
        <v>4.05</v>
      </c>
      <c r="I140" s="5">
        <v>-6.14</v>
      </c>
      <c r="J140" s="6">
        <v>-1.4214</v>
      </c>
      <c r="K140" s="5">
        <v>-21.33</v>
      </c>
      <c r="L140" s="6">
        <v>0.2143</v>
      </c>
      <c r="M140" s="6">
        <v>0.1779</v>
      </c>
      <c r="N140" s="6">
        <v>0.2857</v>
      </c>
      <c r="O140" s="6">
        <v>0.4286</v>
      </c>
      <c r="P140" s="6">
        <v>0.2143</v>
      </c>
      <c r="Q140" s="7"/>
      <c r="R140" s="7"/>
    </row>
    <row r="141" spans="1:18">
      <c r="A141" s="4" t="s">
        <v>225</v>
      </c>
      <c r="B141" s="4">
        <f t="shared" si="2"/>
        <v>27</v>
      </c>
      <c r="C141" s="4" t="s">
        <v>226</v>
      </c>
      <c r="D141" s="1" t="str">
        <f>IFERROR(VLOOKUP(A141,[1]biopep_DB!$F$2:$J$1654,5,0),)</f>
        <v>Antihypertensive effect of the peptides derived from casein by an extracellular proteinase from Lactobacillus helveticus CP790.</v>
      </c>
      <c r="E141" s="1" t="str">
        <f>IFERROR(VLOOKUP(A141,[1]biopep_DB!$F$2:$L$1654,6,0),0)</f>
        <v>10.3168/jds.S0022-0302(94)77026-0</v>
      </c>
      <c r="F141" s="1" t="str">
        <f>IFERROR(VLOOKUP(A141,[1]biopep_DB!$F$2:$L$1654,7,0),0)</f>
        <v>8201050</v>
      </c>
      <c r="G141" s="5">
        <v>3039.35</v>
      </c>
      <c r="H141" s="5">
        <v>4.54</v>
      </c>
      <c r="I141" s="5">
        <v>-2.15</v>
      </c>
      <c r="J141" s="6">
        <v>-0.5704</v>
      </c>
      <c r="K141" s="5">
        <v>61.64</v>
      </c>
      <c r="L141" s="6">
        <v>0.4815</v>
      </c>
      <c r="M141" s="6">
        <v>-0.6326</v>
      </c>
      <c r="N141" s="6">
        <v>0.1852</v>
      </c>
      <c r="O141" s="6">
        <v>0.4074</v>
      </c>
      <c r="P141" s="6">
        <v>0.3333</v>
      </c>
      <c r="Q141" s="7"/>
      <c r="R141" s="7"/>
    </row>
    <row r="142" spans="1:18">
      <c r="A142" s="4" t="s">
        <v>227</v>
      </c>
      <c r="B142" s="4">
        <f t="shared" si="2"/>
        <v>4</v>
      </c>
      <c r="C142" s="4"/>
      <c r="D142" s="1" t="str">
        <f>IFERROR(VLOOKUP(A142,[1]biopep_DB!$F$2:$J$1654,5,0),)</f>
        <v>Antihypertensive peptides from food proteins: a review.</v>
      </c>
      <c r="E142" s="1" t="str">
        <f>IFERROR(VLOOKUP(A142,[1]biopep_DB!$F$2:$L$1654,6,0),0)</f>
        <v>10.1039/c2fo10192k</v>
      </c>
      <c r="F142" s="1" t="str">
        <f>IFERROR(VLOOKUP(A142,[1]biopep_DB!$F$2:$L$1654,7,0),0)</f>
        <v>22249830</v>
      </c>
      <c r="G142" s="5">
        <v>565.58</v>
      </c>
      <c r="H142" s="5">
        <v>4.37</v>
      </c>
      <c r="I142" s="5">
        <v>-1.24</v>
      </c>
      <c r="J142" s="6">
        <v>-2.175</v>
      </c>
      <c r="K142" s="5">
        <v>7.5</v>
      </c>
      <c r="L142" s="6">
        <v>0.25</v>
      </c>
      <c r="M142" s="6">
        <v>0.765</v>
      </c>
      <c r="N142" s="6">
        <v>0.25</v>
      </c>
      <c r="O142" s="6">
        <v>0.25</v>
      </c>
      <c r="P142" s="6">
        <v>0.25</v>
      </c>
      <c r="Q142" s="7"/>
      <c r="R142" s="7"/>
    </row>
    <row r="143" spans="1:18">
      <c r="A143" s="4" t="s">
        <v>228</v>
      </c>
      <c r="B143" s="4">
        <f t="shared" si="2"/>
        <v>2</v>
      </c>
      <c r="C143" s="4" t="s">
        <v>36</v>
      </c>
      <c r="D143" s="1" t="str">
        <f>IFERROR(VLOOKUP(A143,[1]biopep_DB!$F$2:$J$1654,5,0),)</f>
        <v>Angiotensin I-converting enzyme inhibitory activity and insulin secretion stimulative activity of fermented fish sauce.; Structural requirements of Angiotensin I-converting enzyme inhibitory peptides: quantitative structure-activity relationship study of di- and tripeptides.; What are the ideal properties for functional food peptides with antihypertensive effect? A computational peptidology approach.</v>
      </c>
      <c r="E143" s="1" t="str">
        <f>IFERROR(VLOOKUP(A143,[1]biopep_DB!$F$2:$L$1654,6,0),0)</f>
        <v>10.1016/S1389-1723(03)70138-8; 10.1021/jf051263l; 10.1016/j.foodchem.2013.05.140</v>
      </c>
      <c r="F143" s="1" t="str">
        <f>IFERROR(VLOOKUP(A143,[1]biopep_DB!$F$2:$L$1654,7,0),0)</f>
        <v>16233562 16448176 23871047</v>
      </c>
      <c r="G143" s="5">
        <v>280.28</v>
      </c>
      <c r="H143" s="5">
        <v>4.05</v>
      </c>
      <c r="I143" s="5">
        <v>-1.24</v>
      </c>
      <c r="J143" s="6">
        <v>-0.35</v>
      </c>
      <c r="K143" s="5">
        <v>-32.7</v>
      </c>
      <c r="L143" s="6">
        <v>0.5</v>
      </c>
      <c r="M143" s="6">
        <v>-0.65</v>
      </c>
      <c r="N143" s="6">
        <v>0</v>
      </c>
      <c r="O143" s="6">
        <v>0.5</v>
      </c>
      <c r="P143" s="6">
        <v>0.5</v>
      </c>
      <c r="Q143" s="7"/>
      <c r="R143" s="7"/>
    </row>
    <row r="144" spans="1:18">
      <c r="A144" s="4" t="s">
        <v>229</v>
      </c>
      <c r="B144" s="4">
        <f t="shared" si="2"/>
        <v>3</v>
      </c>
      <c r="C144" s="4" t="s">
        <v>56</v>
      </c>
      <c r="D144" s="1" t="str">
        <f>IFERROR(VLOOKUP(A144,[1]biopep_DB!$F$2:$J$1654,5,0),)</f>
        <v>Review on the angiotensin-I-converting enzyme (ACE) inhibitor peptides from marine proteins.; What are the ideal properties for functional food peptides with antihypertensive effect? A computational peptidology approach.</v>
      </c>
      <c r="E144" s="1" t="str">
        <f>IFERROR(VLOOKUP(A144,[1]biopep_DB!$F$2:$L$1654,6,0),0)</f>
        <v>10.1007/s12010-012-0024-y; 10.1016/j.foodchem.2013.05.140</v>
      </c>
      <c r="F144" s="1" t="str">
        <f>IFERROR(VLOOKUP(A144,[1]biopep_DB!$F$2:$L$1654,7,0),0)</f>
        <v>23271625 23871047</v>
      </c>
      <c r="G144" s="5">
        <v>337.33</v>
      </c>
      <c r="H144" s="5">
        <v>4.05</v>
      </c>
      <c r="I144" s="5">
        <v>-1.24</v>
      </c>
      <c r="J144" s="6">
        <v>-0.3667</v>
      </c>
      <c r="K144" s="5">
        <v>-18.47</v>
      </c>
      <c r="L144" s="6">
        <v>0.3333</v>
      </c>
      <c r="M144" s="6">
        <v>-0.7467</v>
      </c>
      <c r="N144" s="6">
        <v>0</v>
      </c>
      <c r="O144" s="6">
        <v>0.6667</v>
      </c>
      <c r="P144" s="6">
        <v>0.3333</v>
      </c>
      <c r="Q144" s="7"/>
      <c r="R144" s="7"/>
    </row>
    <row r="145" spans="1:18">
      <c r="A145" s="4" t="s">
        <v>230</v>
      </c>
      <c r="B145" s="4">
        <f t="shared" si="2"/>
        <v>6</v>
      </c>
      <c r="C145" s="4" t="s">
        <v>231</v>
      </c>
      <c r="D145" s="1" t="str">
        <f>IFERROR(VLOOKUP(A145,[1]biopep_DB!$F$2:$J$1654,5,0),)</f>
        <v>Antihypertensive peptides: production, bioavailability and incorporation into foods.</v>
      </c>
      <c r="E145" s="1" t="str">
        <f>IFERROR(VLOOKUP(A145,[1]biopep_DB!$F$2:$L$1654,6,0),0)</f>
        <v>10.1016/j.cis.2010.11.001</v>
      </c>
      <c r="F145" s="1" t="str">
        <f>IFERROR(VLOOKUP(A145,[1]biopep_DB!$F$2:$L$1654,7,0),0)</f>
        <v>21185549</v>
      </c>
      <c r="G145" s="5">
        <v>772.81</v>
      </c>
      <c r="H145" s="5">
        <v>5.08</v>
      </c>
      <c r="I145" s="5">
        <v>-1.15</v>
      </c>
      <c r="J145" s="6">
        <v>-1.0667</v>
      </c>
      <c r="K145" s="5">
        <v>56.43</v>
      </c>
      <c r="L145" s="6">
        <v>0.3333</v>
      </c>
      <c r="M145" s="6">
        <v>-0.375</v>
      </c>
      <c r="N145" s="6">
        <v>0</v>
      </c>
      <c r="O145" s="6">
        <v>0.3333</v>
      </c>
      <c r="P145" s="6">
        <v>0.3333</v>
      </c>
      <c r="Q145" s="7"/>
      <c r="R145" s="7"/>
    </row>
    <row r="146" spans="1:18">
      <c r="A146" s="4" t="s">
        <v>232</v>
      </c>
      <c r="B146" s="4">
        <f t="shared" si="2"/>
        <v>3</v>
      </c>
      <c r="C146" s="4"/>
      <c r="D146" s="1" t="str">
        <f>IFERROR(VLOOKUP(A146,[1]biopep_DB!$F$2:$J$1654,5,0),)</f>
        <v/>
      </c>
      <c r="E146" s="1" t="str">
        <f>IFERROR(VLOOKUP(A146,[1]biopep_DB!$F$2:$L$1654,6,0),0)</f>
        <v/>
      </c>
      <c r="F146" s="1" t="str">
        <f>IFERROR(VLOOKUP(A146,[1]biopep_DB!$F$2:$L$1654,7,0),0)</f>
        <v/>
      </c>
      <c r="G146" s="5">
        <v>408.45</v>
      </c>
      <c r="H146" s="5">
        <v>5.84</v>
      </c>
      <c r="I146" s="5">
        <v>-0.24</v>
      </c>
      <c r="J146" s="6">
        <v>-1.5333</v>
      </c>
      <c r="K146" s="5">
        <v>-68.57</v>
      </c>
      <c r="L146" s="6">
        <v>0.3333</v>
      </c>
      <c r="M146" s="6">
        <v>0.0933</v>
      </c>
      <c r="N146" s="6">
        <v>0.3333</v>
      </c>
      <c r="O146" s="6">
        <v>0.3333</v>
      </c>
      <c r="P146" s="6">
        <v>0.3333</v>
      </c>
      <c r="Q146" s="7"/>
      <c r="R146" s="7"/>
    </row>
    <row r="147" spans="1:18">
      <c r="A147" s="4" t="s">
        <v>233</v>
      </c>
      <c r="B147" s="4">
        <f t="shared" si="2"/>
        <v>2</v>
      </c>
      <c r="C147" s="4" t="s">
        <v>36</v>
      </c>
      <c r="D147" s="1" t="str">
        <f>IFERROR(VLOOKUP(A147,[1]biopep_DB!$F$2:$J$1654,5,0),)</f>
        <v>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Assessing the dependence of (51)V A(z) value on the aromatic ring orientation of V(IV)O(2+) pyridine complexes.; A molecular keypad lock based on the thiacalix[4]arene of 1,3-alternate conformation.; QSAR study on angiotensin-converting enzyme inhibitor oligopeptides based on a novel set of sequence information descriptors.;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147" s="1" t="str">
        <f>IFERROR(VLOOKUP(A147,[1]biopep_DB!$F$2:$L$1654,6,0),0)</f>
        <v>10.1021/jf051263l; 10.1002/psc.892; 10.1021/ic9001779; 10.1021/ol900845g; 10.1007/s00894-010-0862-x; 10.1016/j.talanta.2012.12.041; 10.1016/j.jprot.2013.06.023; 10.1016/j.foodchem.2013.05.140</v>
      </c>
      <c r="F147" s="1" t="str">
        <f>IFERROR(VLOOKUP(A147,[1]biopep_DB!$F$2:$L$1654,7,0),0)</f>
        <v>16448176 17654623 19449891 19449894 20941517 23598136 23806758 23871047</v>
      </c>
      <c r="G147" s="5">
        <v>190.15</v>
      </c>
      <c r="H147" s="5">
        <v>4.05</v>
      </c>
      <c r="I147" s="5">
        <v>-1.24</v>
      </c>
      <c r="J147" s="6">
        <v>-1.95</v>
      </c>
      <c r="K147" s="5">
        <v>5</v>
      </c>
      <c r="L147" s="6">
        <v>0</v>
      </c>
      <c r="M147" s="6">
        <v>0.37</v>
      </c>
      <c r="N147" s="6">
        <v>0</v>
      </c>
      <c r="O147" s="6">
        <v>1</v>
      </c>
      <c r="P147" s="6">
        <v>0</v>
      </c>
      <c r="Q147" s="7"/>
      <c r="R147" s="7"/>
    </row>
    <row r="148" spans="1:18">
      <c r="A148" s="4" t="s">
        <v>234</v>
      </c>
      <c r="B148" s="4">
        <f t="shared" si="2"/>
        <v>3</v>
      </c>
      <c r="C148" s="4" t="s">
        <v>36</v>
      </c>
      <c r="D148" s="1" t="str">
        <f>IFERROR(VLOOKUP(A148,[1]biopep_DB!$F$2:$J$1654,5,0),)</f>
        <v>Structural requirements of Angiotensin I-converting enzyme inhibitory peptides: quantitative structure-activity relationship study of di- and tripeptides.; Isolation and characterization of peptides with antihypertensive activity in foodstuffs.</v>
      </c>
      <c r="E148" s="1" t="str">
        <f>IFERROR(VLOOKUP(A148,[1]biopep_DB!$F$2:$L$1654,6,0),0)</f>
        <v>10.1021/jf051263l; 10.1080/10408398.2012.664829</v>
      </c>
      <c r="F148" s="1" t="str">
        <f>IFERROR(VLOOKUP(A148,[1]biopep_DB!$F$2:$L$1654,7,0),0)</f>
        <v>16448176 24915368</v>
      </c>
      <c r="G148" s="5">
        <v>303.31</v>
      </c>
      <c r="H148" s="5">
        <v>4.05</v>
      </c>
      <c r="I148" s="5">
        <v>-1.24</v>
      </c>
      <c r="J148" s="6">
        <v>-0.0333</v>
      </c>
      <c r="K148" s="5">
        <v>6.67</v>
      </c>
      <c r="L148" s="6">
        <v>0.3333</v>
      </c>
      <c r="M148" s="6">
        <v>-1.3933</v>
      </c>
      <c r="N148" s="6">
        <v>0.3333</v>
      </c>
      <c r="O148" s="6">
        <v>0.6667</v>
      </c>
      <c r="P148" s="6">
        <v>0.3333</v>
      </c>
      <c r="Q148" s="7"/>
      <c r="R148" s="7"/>
    </row>
    <row r="149" spans="1:18">
      <c r="A149" s="4" t="s">
        <v>235</v>
      </c>
      <c r="B149" s="4">
        <f t="shared" si="2"/>
        <v>5</v>
      </c>
      <c r="C149" s="4" t="s">
        <v>236</v>
      </c>
      <c r="D149" s="1" t="str">
        <f>IFERROR(VLOOKUP(A149,[1]biopep_DB!$F$2:$J$1654,5,0),)</f>
        <v>A new QSAR model, for angiotensin I-converting enzyme inhibitory oligopeptides.</v>
      </c>
      <c r="E149" s="1" t="str">
        <f>IFERROR(VLOOKUP(A149,[1]biopep_DB!$F$2:$L$1654,6,0),0)</f>
        <v>10.1016/j.foodchem.2012.09.092</v>
      </c>
      <c r="F149" s="1" t="str">
        <f>IFERROR(VLOOKUP(A149,[1]biopep_DB!$F$2:$L$1654,7,0),0)</f>
        <v>23194537</v>
      </c>
      <c r="G149" s="5">
        <v>627.69</v>
      </c>
      <c r="H149" s="5">
        <v>5.08</v>
      </c>
      <c r="I149" s="5">
        <v>-1.15</v>
      </c>
      <c r="J149" s="6">
        <v>-0.34</v>
      </c>
      <c r="K149" s="5">
        <v>40.76</v>
      </c>
      <c r="L149" s="6">
        <v>0.6</v>
      </c>
      <c r="M149" s="6">
        <v>-1.046</v>
      </c>
      <c r="N149" s="6">
        <v>0.2</v>
      </c>
      <c r="O149" s="6">
        <v>0.4</v>
      </c>
      <c r="P149" s="6">
        <v>0.4</v>
      </c>
      <c r="Q149" s="7"/>
      <c r="R149" s="7"/>
    </row>
    <row r="150" spans="1:18">
      <c r="A150" s="4" t="s">
        <v>237</v>
      </c>
      <c r="B150" s="4">
        <f t="shared" si="2"/>
        <v>6</v>
      </c>
      <c r="C150" s="4"/>
      <c r="D150" s="1" t="str">
        <f>IFERROR(VLOOKUP(A150,[1]biopep_DB!$F$2:$J$1654,5,0),)</f>
        <v/>
      </c>
      <c r="E150" s="1" t="str">
        <f>IFERROR(VLOOKUP(A150,[1]biopep_DB!$F$2:$L$1654,6,0),0)</f>
        <v/>
      </c>
      <c r="F150" s="1" t="str">
        <f>IFERROR(VLOOKUP(A150,[1]biopep_DB!$F$2:$L$1654,7,0),0)</f>
        <v/>
      </c>
      <c r="G150" s="5">
        <v>774.86</v>
      </c>
      <c r="H150" s="5">
        <v>5.08</v>
      </c>
      <c r="I150" s="5">
        <v>-1.15</v>
      </c>
      <c r="J150" s="6">
        <v>0.1833</v>
      </c>
      <c r="K150" s="5">
        <v>35.63</v>
      </c>
      <c r="L150" s="6">
        <v>0.6667</v>
      </c>
      <c r="M150" s="6">
        <v>-1.3683</v>
      </c>
      <c r="N150" s="6">
        <v>0.1667</v>
      </c>
      <c r="O150" s="6">
        <v>0.3333</v>
      </c>
      <c r="P150" s="6">
        <v>0.5</v>
      </c>
      <c r="Q150" s="7"/>
      <c r="R150" s="7"/>
    </row>
    <row r="151" spans="1:18">
      <c r="A151" s="4" t="s">
        <v>238</v>
      </c>
      <c r="B151" s="4">
        <f t="shared" si="2"/>
        <v>5</v>
      </c>
      <c r="C151" s="4" t="s">
        <v>239</v>
      </c>
      <c r="D151" s="1" t="str">
        <f>IFERROR(VLOOKUP(A151,[1]biopep_DB!$F$2:$J$1654,5,0),)</f>
        <v>A new QSAR model, for angiotensin I-converting enzyme inhibitory oligopeptides.</v>
      </c>
      <c r="E151" s="1" t="str">
        <f>IFERROR(VLOOKUP(A151,[1]biopep_DB!$F$2:$L$1654,6,0),0)</f>
        <v>10.1016/j.foodchem.2012.09.092</v>
      </c>
      <c r="F151" s="1" t="str">
        <f>IFERROR(VLOOKUP(A151,[1]biopep_DB!$F$2:$L$1654,7,0),0)</f>
        <v>23194537</v>
      </c>
      <c r="G151" s="5">
        <v>629.66</v>
      </c>
      <c r="H151" s="5">
        <v>4.05</v>
      </c>
      <c r="I151" s="5">
        <v>-1.24</v>
      </c>
      <c r="J151" s="6">
        <v>-0.4</v>
      </c>
      <c r="K151" s="5">
        <v>15.7</v>
      </c>
      <c r="L151" s="6">
        <v>0.2</v>
      </c>
      <c r="M151" s="6">
        <v>-0.78</v>
      </c>
      <c r="N151" s="6">
        <v>0</v>
      </c>
      <c r="O151" s="6">
        <v>0.4</v>
      </c>
      <c r="P151" s="6">
        <v>0.6</v>
      </c>
      <c r="Q151" s="7"/>
      <c r="R151" s="7"/>
    </row>
    <row r="152" spans="1:18">
      <c r="A152" s="4" t="s">
        <v>240</v>
      </c>
      <c r="B152" s="4">
        <f t="shared" si="2"/>
        <v>6</v>
      </c>
      <c r="C152" s="4"/>
      <c r="D152" s="1" t="str">
        <f>IFERROR(VLOOKUP(A152,[1]biopep_DB!$F$2:$J$1654,5,0),)</f>
        <v/>
      </c>
      <c r="E152" s="1" t="str">
        <f>IFERROR(VLOOKUP(A152,[1]biopep_DB!$F$2:$L$1654,6,0),0)</f>
        <v/>
      </c>
      <c r="F152" s="1" t="str">
        <f>IFERROR(VLOOKUP(A152,[1]biopep_DB!$F$2:$L$1654,7,0),0)</f>
        <v/>
      </c>
      <c r="G152" s="5">
        <v>762.87</v>
      </c>
      <c r="H152" s="5">
        <v>4.75</v>
      </c>
      <c r="I152" s="5">
        <v>-1.23</v>
      </c>
      <c r="J152" s="6">
        <v>-1.3333</v>
      </c>
      <c r="K152" s="5">
        <v>33.58</v>
      </c>
      <c r="L152" s="6">
        <v>0.3333</v>
      </c>
      <c r="M152" s="6">
        <v>-0.1683</v>
      </c>
      <c r="N152" s="6">
        <v>0.5</v>
      </c>
      <c r="O152" s="6">
        <v>0.1667</v>
      </c>
      <c r="P152" s="6">
        <v>0.1667</v>
      </c>
      <c r="Q152" s="7"/>
      <c r="R152" s="7"/>
    </row>
    <row r="153" spans="1:18">
      <c r="A153" s="4" t="s">
        <v>241</v>
      </c>
      <c r="B153" s="4">
        <f t="shared" si="2"/>
        <v>2</v>
      </c>
      <c r="C153" s="4" t="s">
        <v>242</v>
      </c>
      <c r="D153" s="1" t="str">
        <f>IFERROR(VLOOKUP(A153,[1]biopep_DB!$F$2:$J$1654,5,0),)</f>
        <v/>
      </c>
      <c r="E153" s="1" t="str">
        <f>IFERROR(VLOOKUP(A153,[1]biopep_DB!$F$2:$L$1654,6,0),0)</f>
        <v/>
      </c>
      <c r="F153" s="1" t="str">
        <f>IFERROR(VLOOKUP(A153,[1]biopep_DB!$F$2:$L$1654,7,0),0)</f>
        <v/>
      </c>
      <c r="G153" s="5">
        <v>261.27</v>
      </c>
      <c r="H153" s="5">
        <v>5.84</v>
      </c>
      <c r="I153" s="5">
        <v>-0.24</v>
      </c>
      <c r="J153" s="6">
        <v>-3.7</v>
      </c>
      <c r="K153" s="5">
        <v>-37.45</v>
      </c>
      <c r="L153" s="6">
        <v>0</v>
      </c>
      <c r="M153" s="6">
        <v>1.63</v>
      </c>
      <c r="N153" s="6">
        <v>0.5</v>
      </c>
      <c r="O153" s="6">
        <v>0.5</v>
      </c>
      <c r="P153" s="6">
        <v>0</v>
      </c>
      <c r="Q153" s="7"/>
      <c r="R153" s="7"/>
    </row>
    <row r="154" spans="1:18">
      <c r="A154" s="4" t="s">
        <v>243</v>
      </c>
      <c r="B154" s="4">
        <f t="shared" si="2"/>
        <v>5</v>
      </c>
      <c r="C154" s="4" t="s">
        <v>244</v>
      </c>
      <c r="D154" s="1" t="str">
        <f>IFERROR(VLOOKUP(A154,[1]biopep_DB!$F$2:$J$1654,5,0),)</f>
        <v>The potential role of milk-derived peptides in cardiovascular disease.; A new QSAR model, for angiotensin I-converting enzyme inhibitory oligopeptides.</v>
      </c>
      <c r="E154" s="1" t="str">
        <f>IFERROR(VLOOKUP(A154,[1]biopep_DB!$F$2:$L$1654,6,0),0)</f>
        <v>10.1039/c1fo10017c; 10.1016/j.foodchem.2012.09.092</v>
      </c>
      <c r="F154" s="1" t="str">
        <f>IFERROR(VLOOKUP(A154,[1]biopep_DB!$F$2:$L$1654,7,0),0)</f>
        <v>21779574 23194537</v>
      </c>
      <c r="G154" s="5">
        <v>608.69</v>
      </c>
      <c r="H154" s="5">
        <v>6.74</v>
      </c>
      <c r="I154" s="5">
        <v>-0.15</v>
      </c>
      <c r="J154" s="6">
        <v>-1.54</v>
      </c>
      <c r="K154" s="5">
        <v>-7.04</v>
      </c>
      <c r="L154" s="6">
        <v>0.4</v>
      </c>
      <c r="M154" s="6">
        <v>-0.134</v>
      </c>
      <c r="N154" s="6">
        <v>0.2</v>
      </c>
      <c r="O154" s="6">
        <v>0.4</v>
      </c>
      <c r="P154" s="6">
        <v>0.2</v>
      </c>
      <c r="Q154" s="7"/>
      <c r="R154" s="7"/>
    </row>
    <row r="155" spans="1:18">
      <c r="A155" s="4" t="s">
        <v>245</v>
      </c>
      <c r="B155" s="4">
        <f t="shared" si="2"/>
        <v>6</v>
      </c>
      <c r="C155" s="4" t="s">
        <v>246</v>
      </c>
      <c r="D155" s="1" t="str">
        <f>IFERROR(VLOOKUP(A155,[1]biopep_DB!$F$2:$J$1654,5,0),)</f>
        <v>Angiotensin-converting enzyme inhibitory activity of peptides derived from caprine kefir.; A new QSAR model, for angiotensin I-converting enzyme inhibitory oligopeptides.</v>
      </c>
      <c r="E155" s="1" t="str">
        <f>IFERROR(VLOOKUP(A155,[1]biopep_DB!$F$2:$L$1654,6,0),0)</f>
        <v>10.3168/jds.S0022-0302(05)73032-0; 10.1016/j.foodchem.2012.09.092</v>
      </c>
      <c r="F155" s="1" t="str">
        <f>IFERROR(VLOOKUP(A155,[1]biopep_DB!$F$2:$L$1654,7,0),0)</f>
        <v>16162521 23194537</v>
      </c>
      <c r="G155" s="5">
        <v>755.86</v>
      </c>
      <c r="H155" s="5">
        <v>6.74</v>
      </c>
      <c r="I155" s="5">
        <v>-0.15</v>
      </c>
      <c r="J155" s="6">
        <v>-0.8167</v>
      </c>
      <c r="K155" s="5">
        <v>27.9</v>
      </c>
      <c r="L155" s="6">
        <v>0.5</v>
      </c>
      <c r="M155" s="6">
        <v>-0.6083</v>
      </c>
      <c r="N155" s="6">
        <v>0.1667</v>
      </c>
      <c r="O155" s="6">
        <v>0.3333</v>
      </c>
      <c r="P155" s="6">
        <v>0.3333</v>
      </c>
      <c r="Q155" s="7"/>
      <c r="R155" s="7"/>
    </row>
    <row r="156" spans="1:18">
      <c r="A156" s="4" t="s">
        <v>247</v>
      </c>
      <c r="B156" s="4">
        <f t="shared" si="2"/>
        <v>15</v>
      </c>
      <c r="C156" s="4" t="s">
        <v>248</v>
      </c>
      <c r="D156" s="1" t="str">
        <f>IFERROR(VLOOKUP(A156,[1]biopep_DB!$F$2:$J$1654,5,0),)</f>
        <v>Inhibition of angiotensin-converting enzyme by synthetic peptide fragments of various beta-caseins.</v>
      </c>
      <c r="E156" s="1" t="str">
        <f>IFERROR(VLOOKUP(A156,[1]biopep_DB!$F$2:$L$1654,6,0),0)</f>
        <v/>
      </c>
      <c r="F156" s="1" t="str">
        <f>IFERROR(VLOOKUP(A156,[1]biopep_DB!$F$2:$L$1654,7,0),0)</f>
        <v>1368548</v>
      </c>
      <c r="G156" s="5">
        <v>1806.06</v>
      </c>
      <c r="H156" s="5">
        <v>5.83</v>
      </c>
      <c r="I156" s="5">
        <v>-0.24</v>
      </c>
      <c r="J156" s="6">
        <v>-0.5733</v>
      </c>
      <c r="K156" s="5">
        <v>65.83</v>
      </c>
      <c r="L156" s="6">
        <v>0.5333</v>
      </c>
      <c r="M156" s="6">
        <v>-0.7093</v>
      </c>
      <c r="N156" s="6">
        <v>0.1333</v>
      </c>
      <c r="O156" s="6">
        <v>0.4</v>
      </c>
      <c r="P156" s="6">
        <v>0.4</v>
      </c>
      <c r="Q156" s="7"/>
      <c r="R156" s="7"/>
    </row>
    <row r="157" spans="1:18">
      <c r="A157" s="4" t="s">
        <v>249</v>
      </c>
      <c r="B157" s="4">
        <f t="shared" si="2"/>
        <v>7</v>
      </c>
      <c r="C157" s="4" t="s">
        <v>250</v>
      </c>
      <c r="D157" s="1" t="str">
        <f>IFERROR(VLOOKUP(A157,[1]biopep_DB!$F$2:$J$1654,5,0),)</f>
        <v>A new QSAR model, for angiotensin I-converting enzyme inhibitory oligopeptides.</v>
      </c>
      <c r="E157" s="1" t="str">
        <f>IFERROR(VLOOKUP(A157,[1]biopep_DB!$F$2:$L$1654,6,0),0)</f>
        <v>10.1016/j.foodchem.2012.09.092</v>
      </c>
      <c r="F157" s="1" t="str">
        <f>IFERROR(VLOOKUP(A157,[1]biopep_DB!$F$2:$L$1654,7,0),0)</f>
        <v>23194537</v>
      </c>
      <c r="G157" s="5">
        <v>807.89</v>
      </c>
      <c r="H157" s="5">
        <v>5.83</v>
      </c>
      <c r="I157" s="5">
        <v>-0.24</v>
      </c>
      <c r="J157" s="6">
        <v>-0.5571</v>
      </c>
      <c r="K157" s="5">
        <v>-39.94</v>
      </c>
      <c r="L157" s="6">
        <v>0.2857</v>
      </c>
      <c r="M157" s="6">
        <v>-0.6971</v>
      </c>
      <c r="N157" s="6">
        <v>0.1429</v>
      </c>
      <c r="O157" s="6">
        <v>0.4286</v>
      </c>
      <c r="P157" s="6">
        <v>0.4286</v>
      </c>
      <c r="Q157" s="7"/>
      <c r="R157" s="7"/>
    </row>
    <row r="158" spans="1:18">
      <c r="A158" s="4" t="s">
        <v>251</v>
      </c>
      <c r="B158" s="4">
        <f t="shared" si="2"/>
        <v>8</v>
      </c>
      <c r="C158" s="4" t="s">
        <v>252</v>
      </c>
      <c r="D158" s="1" t="str">
        <f>IFERROR(VLOOKUP(A158,[1]biopep_DB!$F$2:$J$1654,5,0),)</f>
        <v>A new QSAR model, for angiotensin I-converting enzyme inhibitory oligopeptides.</v>
      </c>
      <c r="E158" s="1" t="str">
        <f>IFERROR(VLOOKUP(A158,[1]biopep_DB!$F$2:$L$1654,6,0),0)</f>
        <v>10.1016/j.foodchem.2012.09.092</v>
      </c>
      <c r="F158" s="1" t="str">
        <f>IFERROR(VLOOKUP(A158,[1]biopep_DB!$F$2:$L$1654,7,0),0)</f>
        <v>23194537</v>
      </c>
      <c r="G158" s="5">
        <v>994.1</v>
      </c>
      <c r="H158" s="5">
        <v>5.83</v>
      </c>
      <c r="I158" s="5">
        <v>-0.24</v>
      </c>
      <c r="J158" s="6">
        <v>-0.6</v>
      </c>
      <c r="K158" s="5">
        <v>-46.66</v>
      </c>
      <c r="L158" s="6">
        <v>0.375</v>
      </c>
      <c r="M158" s="6">
        <v>-0.9013</v>
      </c>
      <c r="N158" s="6">
        <v>0.125</v>
      </c>
      <c r="O158" s="6">
        <v>0.375</v>
      </c>
      <c r="P158" s="6">
        <v>0.5</v>
      </c>
      <c r="Q158" s="7"/>
      <c r="R158" s="7"/>
    </row>
    <row r="159" spans="1:18">
      <c r="A159" s="4" t="s">
        <v>253</v>
      </c>
      <c r="B159" s="4">
        <f t="shared" si="2"/>
        <v>2</v>
      </c>
      <c r="C159" s="4" t="s">
        <v>36</v>
      </c>
      <c r="D159" s="1" t="str">
        <f>IFERROR(VLOOKUP(A159,[1]biopep_DB!$F$2:$J$1654,5,0),)</f>
        <v>Angiotensin I-converting enzyme inhibitory activity and insulin secretion stimulative activity of fermented fish sauce.; Structural requirements of Angiotensin I-converting enzyme inhibitory peptides: quantitative structure-activity relationship study of di- and tripeptides.</v>
      </c>
      <c r="E159" s="1" t="str">
        <f>IFERROR(VLOOKUP(A159,[1]biopep_DB!$F$2:$L$1654,6,0),0)</f>
        <v>10.1016/S1389-1723(03)70138-8; 10.1021/jf051263l</v>
      </c>
      <c r="F159" s="1" t="str">
        <f>IFERROR(VLOOKUP(A159,[1]biopep_DB!$F$2:$L$1654,7,0),0)</f>
        <v>16233562 16448176</v>
      </c>
      <c r="G159" s="5">
        <v>246.26</v>
      </c>
      <c r="H159" s="5">
        <v>4.05</v>
      </c>
      <c r="I159" s="5">
        <v>-1.24</v>
      </c>
      <c r="J159" s="6">
        <v>0.15</v>
      </c>
      <c r="K159" s="5">
        <v>5</v>
      </c>
      <c r="L159" s="6">
        <v>0.5</v>
      </c>
      <c r="M159" s="6">
        <v>-1.62</v>
      </c>
      <c r="N159" s="6">
        <v>0.5</v>
      </c>
      <c r="O159" s="6">
        <v>0.5</v>
      </c>
      <c r="P159" s="6">
        <v>0.5</v>
      </c>
      <c r="Q159" s="7"/>
      <c r="R159" s="7"/>
    </row>
    <row r="160" spans="1:18">
      <c r="A160" s="4" t="s">
        <v>254</v>
      </c>
      <c r="B160" s="4">
        <f t="shared" si="2"/>
        <v>3</v>
      </c>
      <c r="C160" s="4" t="s">
        <v>36</v>
      </c>
      <c r="D160" s="1" t="str">
        <f>IFERROR(VLOOKUP(A160,[1]biopep_DB!$F$2:$J$1654,5,0),)</f>
        <v>Structural requirements of Angiotensin I-converting enzyme inhibitory peptides: quantitative structure-activity relationship study of di- and tripeptides.; A molecular keypad lock based on the thiacalix[4]arene of 1,3-alternate conformation.; Vegetable foods: a cheap source of proteins and peptides with antihypertensive, antioxidant, and other less occurrence bioactivities.</v>
      </c>
      <c r="E160" s="1" t="str">
        <f>IFERROR(VLOOKUP(A160,[1]biopep_DB!$F$2:$L$1654,6,0),0)</f>
        <v>10.1021/jf051263l; 10.1021/ol900845g; 10.1016/j.talanta.2012.12.041</v>
      </c>
      <c r="F160" s="1" t="str">
        <f>IFERROR(VLOOKUP(A160,[1]biopep_DB!$F$2:$L$1654,7,0),0)</f>
        <v>16448176 19449894 23598136</v>
      </c>
      <c r="G160" s="5">
        <v>343.38</v>
      </c>
      <c r="H160" s="5">
        <v>4.05</v>
      </c>
      <c r="I160" s="5">
        <v>-1.24</v>
      </c>
      <c r="J160" s="6">
        <v>-0.4333</v>
      </c>
      <c r="K160" s="5">
        <v>70.87</v>
      </c>
      <c r="L160" s="6">
        <v>0.6667</v>
      </c>
      <c r="M160" s="6">
        <v>-1.08</v>
      </c>
      <c r="N160" s="6">
        <v>0.3333</v>
      </c>
      <c r="O160" s="6">
        <v>0.6667</v>
      </c>
      <c r="P160" s="6">
        <v>0.3333</v>
      </c>
      <c r="Q160" s="7"/>
      <c r="R160" s="7"/>
    </row>
    <row r="161" spans="1:18">
      <c r="A161" s="4" t="s">
        <v>255</v>
      </c>
      <c r="B161" s="4">
        <f t="shared" si="2"/>
        <v>5</v>
      </c>
      <c r="C161" s="4"/>
      <c r="D161" s="1" t="str">
        <f>IFERROR(VLOOKUP(A161,[1]biopep_DB!$F$2:$J$1654,5,0),)</f>
        <v/>
      </c>
      <c r="E161" s="1" t="str">
        <f>IFERROR(VLOOKUP(A161,[1]biopep_DB!$F$2:$L$1654,6,0),0)</f>
        <v/>
      </c>
      <c r="F161" s="1" t="str">
        <f>IFERROR(VLOOKUP(A161,[1]biopep_DB!$F$2:$L$1654,7,0),0)</f>
        <v/>
      </c>
      <c r="G161" s="5">
        <v>559.61</v>
      </c>
      <c r="H161" s="5">
        <v>5.84</v>
      </c>
      <c r="I161" s="5">
        <v>-0.24</v>
      </c>
      <c r="J161" s="6">
        <v>-1.5</v>
      </c>
      <c r="K161" s="5">
        <v>56.22</v>
      </c>
      <c r="L161" s="6">
        <v>0.2</v>
      </c>
      <c r="M161" s="6">
        <v>-0.248</v>
      </c>
      <c r="N161" s="6">
        <v>0.4</v>
      </c>
      <c r="O161" s="6">
        <v>0.4</v>
      </c>
      <c r="P161" s="6">
        <v>0.2</v>
      </c>
      <c r="Q161" s="7"/>
      <c r="R161" s="7"/>
    </row>
    <row r="162" spans="1:18">
      <c r="A162" s="4" t="s">
        <v>256</v>
      </c>
      <c r="B162" s="4">
        <f t="shared" si="2"/>
        <v>9</v>
      </c>
      <c r="C162" s="4"/>
      <c r="D162" s="1" t="str">
        <f>IFERROR(VLOOKUP(A162,[1]biopep_DB!$F$2:$J$1654,5,0),)</f>
        <v>High throughput screening of bradykinin-potentiating peptides in Bothrops moojeni snake venom using precursor ion mass spectrometry.</v>
      </c>
      <c r="E162" s="1" t="str">
        <f>IFERROR(VLOOKUP(A162,[1]biopep_DB!$F$2:$L$1654,6,0),0)</f>
        <v>10.1016/j.toxicon.2008.02.019</v>
      </c>
      <c r="F162" s="1" t="str">
        <f>IFERROR(VLOOKUP(A162,[1]biopep_DB!$F$2:$L$1654,7,0),0)</f>
        <v>18471845</v>
      </c>
      <c r="G162" s="5">
        <v>999.08</v>
      </c>
      <c r="H162" s="5">
        <v>5.96</v>
      </c>
      <c r="I162" s="5">
        <v>-0.24</v>
      </c>
      <c r="J162" s="6">
        <v>-1.4556</v>
      </c>
      <c r="K162" s="5">
        <v>43.31</v>
      </c>
      <c r="L162" s="6">
        <v>0.4444</v>
      </c>
      <c r="M162" s="6">
        <v>0.0822</v>
      </c>
      <c r="N162" s="6">
        <v>0.4444</v>
      </c>
      <c r="O162" s="6">
        <v>0.4444</v>
      </c>
      <c r="P162" s="6">
        <v>0.1111</v>
      </c>
      <c r="Q162" s="7"/>
      <c r="R162" s="7"/>
    </row>
    <row r="163" spans="1:18">
      <c r="A163" s="4" t="s">
        <v>257</v>
      </c>
      <c r="B163" s="4">
        <f t="shared" si="2"/>
        <v>5</v>
      </c>
      <c r="C163" s="4" t="s">
        <v>258</v>
      </c>
      <c r="D163" s="1" t="str">
        <f>IFERROR(VLOOKUP(A163,[1]biopep_DB!$F$2:$J$1654,5,0),)</f>
        <v>Antihypertensive peptides from food proteins: a review.</v>
      </c>
      <c r="E163" s="1" t="str">
        <f>IFERROR(VLOOKUP(A163,[1]biopep_DB!$F$2:$L$1654,6,0),0)</f>
        <v>10.1039/c2fo10192k</v>
      </c>
      <c r="F163" s="1" t="str">
        <f>IFERROR(VLOOKUP(A163,[1]biopep_DB!$F$2:$L$1654,7,0),0)</f>
        <v>22249830</v>
      </c>
      <c r="G163" s="5">
        <v>625.62</v>
      </c>
      <c r="H163" s="5">
        <v>4.05</v>
      </c>
      <c r="I163" s="5">
        <v>-2.24</v>
      </c>
      <c r="J163" s="6">
        <v>-1.04</v>
      </c>
      <c r="K163" s="5">
        <v>8</v>
      </c>
      <c r="L163" s="6">
        <v>0.2</v>
      </c>
      <c r="M163" s="6">
        <v>-0.232</v>
      </c>
      <c r="N163" s="6">
        <v>0.2</v>
      </c>
      <c r="O163" s="6">
        <v>0.4</v>
      </c>
      <c r="P163" s="6">
        <v>0.6</v>
      </c>
      <c r="Q163" s="7"/>
      <c r="R163" s="7"/>
    </row>
    <row r="164" spans="1:18">
      <c r="A164" s="4" t="s">
        <v>259</v>
      </c>
      <c r="B164" s="4">
        <f t="shared" si="2"/>
        <v>2</v>
      </c>
      <c r="C164" s="4" t="s">
        <v>36</v>
      </c>
      <c r="D164" s="1" t="str">
        <f>IFERROR(VLOOKUP(A164,[1]biopep_DB!$F$2:$J$1654,5,0),)</f>
        <v>What are the ideal properties for functional food peptides with antihypertensive effect? A computational peptidology approach.</v>
      </c>
      <c r="E164" s="1" t="str">
        <f>IFERROR(VLOOKUP(A164,[1]biopep_DB!$F$2:$L$1654,6,0),0)</f>
        <v>10.1016/j.foodchem.2013.05.140</v>
      </c>
      <c r="F164" s="1" t="str">
        <f>IFERROR(VLOOKUP(A164,[1]biopep_DB!$F$2:$L$1654,7,0),0)</f>
        <v>23871047</v>
      </c>
      <c r="G164" s="5">
        <v>264.3</v>
      </c>
      <c r="H164" s="5">
        <v>4.05</v>
      </c>
      <c r="I164" s="5">
        <v>-1.24</v>
      </c>
      <c r="J164" s="6">
        <v>-0.8</v>
      </c>
      <c r="K164" s="5">
        <v>5</v>
      </c>
      <c r="L164" s="6">
        <v>0.5</v>
      </c>
      <c r="M164" s="6">
        <v>-0.335</v>
      </c>
      <c r="N164" s="6">
        <v>0.5</v>
      </c>
      <c r="O164" s="6">
        <v>0.5</v>
      </c>
      <c r="P164" s="6">
        <v>0</v>
      </c>
      <c r="Q164" s="7"/>
      <c r="R164" s="7"/>
    </row>
    <row r="165" spans="1:18">
      <c r="A165" s="4" t="s">
        <v>260</v>
      </c>
      <c r="B165" s="4">
        <f t="shared" si="2"/>
        <v>7</v>
      </c>
      <c r="C165" s="4" t="s">
        <v>261</v>
      </c>
      <c r="D165" s="1" t="str">
        <f>IFERROR(VLOOKUP(A165,[1]biopep_DB!$F$2:$J$1654,5,0),)</f>
        <v>Peptide inhibitors for angiotensin I-converting enzyme from thermolysin digest of dried bonito.</v>
      </c>
      <c r="E165" s="1" t="str">
        <f>IFERROR(VLOOKUP(A165,[1]biopep_DB!$F$2:$L$1654,6,0),0)</f>
        <v>10.1271/bbb.56.1541</v>
      </c>
      <c r="F165" s="1" t="str">
        <f>IFERROR(VLOOKUP(A165,[1]biopep_DB!$F$2:$L$1654,7,0),0)</f>
        <v>1369054</v>
      </c>
      <c r="G165" s="5">
        <v>801.95</v>
      </c>
      <c r="H165" s="5">
        <v>5.84</v>
      </c>
      <c r="I165" s="5">
        <v>-0.24</v>
      </c>
      <c r="J165" s="6">
        <v>-0.6143</v>
      </c>
      <c r="K165" s="5">
        <v>31.97</v>
      </c>
      <c r="L165" s="6">
        <v>0.5714</v>
      </c>
      <c r="M165" s="6">
        <v>-0.6371</v>
      </c>
      <c r="N165" s="6">
        <v>0.4286</v>
      </c>
      <c r="O165" s="6">
        <v>0.2857</v>
      </c>
      <c r="P165" s="6">
        <v>0.1429</v>
      </c>
      <c r="Q165" s="7"/>
      <c r="R165" s="7"/>
    </row>
    <row r="166" spans="1:18">
      <c r="A166" s="4" t="s">
        <v>262</v>
      </c>
      <c r="B166" s="4">
        <f t="shared" si="2"/>
        <v>5</v>
      </c>
      <c r="C166" s="4"/>
      <c r="D166" s="1" t="str">
        <f>IFERROR(VLOOKUP(A166,[1]biopep_DB!$F$2:$J$1654,5,0),)</f>
        <v>Isolation and characterization of peptides with antihypertensive activity in foodstuffs.</v>
      </c>
      <c r="E166" s="1" t="str">
        <f>IFERROR(VLOOKUP(A166,[1]biopep_DB!$F$2:$L$1654,6,0),0)</f>
        <v>10.1080/10408398.2012.664829</v>
      </c>
      <c r="F166" s="1" t="str">
        <f>IFERROR(VLOOKUP(A166,[1]biopep_DB!$F$2:$L$1654,7,0),0)</f>
        <v>24915368</v>
      </c>
      <c r="G166" s="5">
        <v>597.68</v>
      </c>
      <c r="H166" s="5">
        <v>4.05</v>
      </c>
      <c r="I166" s="5">
        <v>-1.24</v>
      </c>
      <c r="J166" s="6">
        <v>0.92</v>
      </c>
      <c r="K166" s="5">
        <v>95.88</v>
      </c>
      <c r="L166" s="6">
        <v>0.6</v>
      </c>
      <c r="M166" s="6">
        <v>-1.37</v>
      </c>
      <c r="N166" s="6">
        <v>0.2</v>
      </c>
      <c r="O166" s="6">
        <v>0.4</v>
      </c>
      <c r="P166" s="6">
        <v>0.4</v>
      </c>
      <c r="Q166" s="7"/>
      <c r="R166" s="7"/>
    </row>
    <row r="167" spans="1:18">
      <c r="A167" s="4" t="s">
        <v>263</v>
      </c>
      <c r="B167" s="4">
        <f t="shared" si="2"/>
        <v>2</v>
      </c>
      <c r="C167" s="4" t="s">
        <v>264</v>
      </c>
      <c r="D167" s="1" t="str">
        <f>IFERROR(VLOOKUP(A167,[1]biopep_DB!$F$2:$J$1654,5,0),)</f>
        <v>Isolation and characterization of peptides with antihypertensive activity in foodstuffs.</v>
      </c>
      <c r="E167" s="1" t="str">
        <f>IFERROR(VLOOKUP(A167,[1]biopep_DB!$F$2:$L$1654,6,0),0)</f>
        <v>10.1080/10408398.2012.664829</v>
      </c>
      <c r="F167" s="1" t="str">
        <f>IFERROR(VLOOKUP(A167,[1]biopep_DB!$F$2:$L$1654,7,0),0)</f>
        <v>24915368</v>
      </c>
      <c r="G167" s="5">
        <v>230.22</v>
      </c>
      <c r="H167" s="5">
        <v>4.05</v>
      </c>
      <c r="I167" s="5">
        <v>-1.24</v>
      </c>
      <c r="J167" s="6">
        <v>-2.55</v>
      </c>
      <c r="K167" s="5">
        <v>5</v>
      </c>
      <c r="L167" s="6">
        <v>0.5</v>
      </c>
      <c r="M167" s="6">
        <v>0.84</v>
      </c>
      <c r="N167" s="6">
        <v>0</v>
      </c>
      <c r="O167" s="6">
        <v>1</v>
      </c>
      <c r="P167" s="6">
        <v>0</v>
      </c>
      <c r="Q167" s="7"/>
      <c r="R167" s="7"/>
    </row>
    <row r="168" spans="1:18">
      <c r="A168" s="4" t="s">
        <v>265</v>
      </c>
      <c r="B168" s="4">
        <f t="shared" si="2"/>
        <v>10</v>
      </c>
      <c r="C168" s="4"/>
      <c r="D168" s="1" t="str">
        <f>IFERROR(VLOOKUP(A168,[1]biopep_DB!$F$2:$J$1654,5,0),)</f>
        <v>Angiotensin I-converting enzyme inhibitory peptides generated from in vitro gastrointestinal digestion of pork meat.</v>
      </c>
      <c r="E168" s="1" t="str">
        <f>IFERROR(VLOOKUP(A168,[1]biopep_DB!$F$2:$L$1654,6,0),0)</f>
        <v>10.1021/jf904204n</v>
      </c>
      <c r="F168" s="1" t="str">
        <f>IFERROR(VLOOKUP(A168,[1]biopep_DB!$F$2:$L$1654,7,0),0)</f>
        <v>20151679</v>
      </c>
      <c r="G168" s="5">
        <v>1172.35</v>
      </c>
      <c r="H168" s="5">
        <v>5.84</v>
      </c>
      <c r="I168" s="5">
        <v>-0.24</v>
      </c>
      <c r="J168" s="6">
        <v>-1.03</v>
      </c>
      <c r="K168" s="5">
        <v>29.56</v>
      </c>
      <c r="L168" s="6">
        <v>0.6</v>
      </c>
      <c r="M168" s="6">
        <v>-0.313</v>
      </c>
      <c r="N168" s="6">
        <v>0.2</v>
      </c>
      <c r="O168" s="6">
        <v>0.5</v>
      </c>
      <c r="P168" s="6">
        <v>0.2</v>
      </c>
      <c r="Q168" s="7"/>
      <c r="R168" s="7"/>
    </row>
    <row r="169" spans="1:18">
      <c r="A169" s="4" t="s">
        <v>266</v>
      </c>
      <c r="B169" s="4">
        <f t="shared" si="2"/>
        <v>10</v>
      </c>
      <c r="C169" s="4" t="s">
        <v>267</v>
      </c>
      <c r="D169" s="1" t="str">
        <f>IFERROR(VLOOKUP(A169,[1]biopep_DB!$F$2:$J$1654,5,0),)</f>
        <v>A new QSAR model, for angiotensin I-converting enzyme inhibitory oligopeptides.; VPPIPP and IPPVPP: two hexapeptides innovated to exert antihypertensive activity.</v>
      </c>
      <c r="E169" s="1" t="str">
        <f>IFERROR(VLOOKUP(A169,[1]biopep_DB!$F$2:$L$1654,6,0),0)</f>
        <v>10.1016/j.foodchem.2012.09.092; 10.1371/journal.pone.0062384</v>
      </c>
      <c r="F169" s="1" t="str">
        <f>IFERROR(VLOOKUP(A169,[1]biopep_DB!$F$2:$L$1654,7,0),0)</f>
        <v>23194537 23638059</v>
      </c>
      <c r="G169" s="5">
        <v>1296.48</v>
      </c>
      <c r="H169" s="5">
        <v>6.92</v>
      </c>
      <c r="I169" s="5">
        <v>-0.07</v>
      </c>
      <c r="J169" s="6">
        <v>-0.2</v>
      </c>
      <c r="K169" s="5">
        <v>22.64</v>
      </c>
      <c r="L169" s="6">
        <v>0.5</v>
      </c>
      <c r="M169" s="6">
        <v>-1.034</v>
      </c>
      <c r="N169" s="6">
        <v>0.1</v>
      </c>
      <c r="O169" s="6">
        <v>0.2</v>
      </c>
      <c r="P169" s="6">
        <v>0.5</v>
      </c>
      <c r="Q169" s="7"/>
      <c r="R169" s="7"/>
    </row>
    <row r="170" spans="1:18">
      <c r="A170" s="4" t="s">
        <v>268</v>
      </c>
      <c r="B170" s="4">
        <f t="shared" si="2"/>
        <v>2</v>
      </c>
      <c r="C170" s="4"/>
      <c r="D170" s="1" t="str">
        <f>IFERROR(VLOOKUP(A170,[1]biopep_DB!$F$2:$J$1654,5,0),)</f>
        <v>Quantitative structure-activity relationship study of bitter di- and tri-peptides including relationship with angiotensin I-converting enzyme inhibitory activity.</v>
      </c>
      <c r="E170" s="1" t="str">
        <f>IFERROR(VLOOKUP(A170,[1]biopep_DB!$F$2:$L$1654,6,0),0)</f>
        <v>10.1002/psc.800</v>
      </c>
      <c r="F170" s="1" t="str">
        <f>IFERROR(VLOOKUP(A170,[1]biopep_DB!$F$2:$L$1654,7,0),0)</f>
        <v>17117396</v>
      </c>
      <c r="G170" s="5">
        <v>232.23</v>
      </c>
      <c r="H170" s="5">
        <v>4.05</v>
      </c>
      <c r="I170" s="5">
        <v>-1.24</v>
      </c>
      <c r="J170" s="6">
        <v>0.35</v>
      </c>
      <c r="K170" s="5">
        <v>5</v>
      </c>
      <c r="L170" s="6">
        <v>0.5</v>
      </c>
      <c r="M170" s="6">
        <v>-1.18</v>
      </c>
      <c r="N170" s="6">
        <v>0</v>
      </c>
      <c r="O170" s="6">
        <v>0.5</v>
      </c>
      <c r="P170" s="6">
        <v>0.5</v>
      </c>
      <c r="Q170" s="7"/>
      <c r="R170" s="7"/>
    </row>
    <row r="171" spans="1:18">
      <c r="A171" s="4" t="s">
        <v>269</v>
      </c>
      <c r="B171" s="4">
        <f t="shared" si="2"/>
        <v>11</v>
      </c>
      <c r="C171" s="4"/>
      <c r="G171" s="5">
        <v>1259.45</v>
      </c>
      <c r="H171" s="5">
        <v>4.35</v>
      </c>
      <c r="I171" s="5">
        <v>-2.15</v>
      </c>
      <c r="J171" s="6">
        <v>0.2273</v>
      </c>
      <c r="K171" s="5">
        <v>44.11</v>
      </c>
      <c r="L171" s="6">
        <v>0.6364</v>
      </c>
      <c r="M171" s="6">
        <v>-1.6173</v>
      </c>
      <c r="N171" s="6">
        <v>0.4545</v>
      </c>
      <c r="O171" s="6">
        <v>0.3636</v>
      </c>
      <c r="P171" s="6">
        <v>0.4545</v>
      </c>
      <c r="Q171" s="7"/>
      <c r="R171" s="7"/>
    </row>
    <row r="172" spans="1:18">
      <c r="A172" s="4" t="s">
        <v>270</v>
      </c>
      <c r="B172" s="4">
        <f t="shared" si="2"/>
        <v>15</v>
      </c>
      <c r="C172" s="4"/>
      <c r="D172" s="1" t="str">
        <f>IFERROR(VLOOKUP(A172,[1]biopep_DB!$F$2:$J$1654,5,0),)</f>
        <v>Identification of angiotensin-I-converting enzyme inhibitory peptides derived from sodium caseinate hydrolysates produced by Lactobacillus helveticus NCC 2765.</v>
      </c>
      <c r="E172" s="1" t="str">
        <f>IFERROR(VLOOKUP(A172,[1]biopep_DB!$F$2:$L$1654,6,0),0)</f>
        <v>10.1021/jf049510t</v>
      </c>
      <c r="F172" s="1" t="str">
        <f>IFERROR(VLOOKUP(A172,[1]biopep_DB!$F$2:$L$1654,7,0),0)</f>
        <v>15537298</v>
      </c>
      <c r="G172" s="5">
        <v>1774.02</v>
      </c>
      <c r="H172" s="5">
        <v>4.35</v>
      </c>
      <c r="I172" s="5">
        <v>-2.15</v>
      </c>
      <c r="J172" s="6">
        <v>0.0733</v>
      </c>
      <c r="K172" s="5">
        <v>86.04</v>
      </c>
      <c r="L172" s="6">
        <v>0.6</v>
      </c>
      <c r="M172" s="6">
        <v>-1.5227</v>
      </c>
      <c r="N172" s="6">
        <v>0.4</v>
      </c>
      <c r="O172" s="6">
        <v>0.3333</v>
      </c>
      <c r="P172" s="6">
        <v>0.4667</v>
      </c>
      <c r="Q172" s="7"/>
      <c r="R172" s="7"/>
    </row>
    <row r="173" spans="1:18">
      <c r="A173" s="4" t="s">
        <v>271</v>
      </c>
      <c r="B173" s="4">
        <f t="shared" si="2"/>
        <v>7</v>
      </c>
      <c r="C173" s="4"/>
      <c r="D173" s="1" t="str">
        <f>IFERROR(VLOOKUP(A173,[1]biopep_DB!$F$2:$J$1654,5,0),)</f>
        <v/>
      </c>
      <c r="E173" s="1" t="str">
        <f>IFERROR(VLOOKUP(A173,[1]biopep_DB!$F$2:$L$1654,6,0),0)</f>
        <v/>
      </c>
      <c r="F173" s="1" t="str">
        <f>IFERROR(VLOOKUP(A173,[1]biopep_DB!$F$2:$L$1654,7,0),0)</f>
        <v/>
      </c>
      <c r="G173" s="5">
        <v>864.9</v>
      </c>
      <c r="H173" s="5">
        <v>4.37</v>
      </c>
      <c r="I173" s="5">
        <v>-1.24</v>
      </c>
      <c r="J173" s="6">
        <v>-1.5714</v>
      </c>
      <c r="K173" s="5">
        <v>80.34</v>
      </c>
      <c r="L173" s="6">
        <v>0.2857</v>
      </c>
      <c r="M173" s="6">
        <v>0.4257</v>
      </c>
      <c r="N173" s="6">
        <v>0.1429</v>
      </c>
      <c r="O173" s="6">
        <v>0.4286</v>
      </c>
      <c r="P173" s="6">
        <v>0.2857</v>
      </c>
      <c r="Q173" s="7"/>
      <c r="R173" s="7"/>
    </row>
    <row r="174" spans="1:18">
      <c r="A174" s="4" t="s">
        <v>272</v>
      </c>
      <c r="B174" s="4">
        <f t="shared" si="2"/>
        <v>9</v>
      </c>
      <c r="C174" s="4"/>
      <c r="D174" s="1" t="str">
        <f>IFERROR(VLOOKUP(A174,[1]biopep_DB!$F$2:$J$1654,5,0),)</f>
        <v/>
      </c>
      <c r="E174" s="1" t="str">
        <f>IFERROR(VLOOKUP(A174,[1]biopep_DB!$F$2:$L$1654,6,0),0)</f>
        <v/>
      </c>
      <c r="F174" s="1" t="str">
        <f>IFERROR(VLOOKUP(A174,[1]biopep_DB!$F$2:$L$1654,7,0),0)</f>
        <v/>
      </c>
      <c r="G174" s="5">
        <v>1035.11</v>
      </c>
      <c r="H174" s="5">
        <v>4.37</v>
      </c>
      <c r="I174" s="5">
        <v>-1.24</v>
      </c>
      <c r="J174" s="6">
        <v>-0.8444</v>
      </c>
      <c r="K174" s="5">
        <v>64.71</v>
      </c>
      <c r="L174" s="6">
        <v>0.3333</v>
      </c>
      <c r="M174" s="6">
        <v>-0.32</v>
      </c>
      <c r="N174" s="6">
        <v>0.2222</v>
      </c>
      <c r="O174" s="6">
        <v>0.4444</v>
      </c>
      <c r="P174" s="6">
        <v>0.3333</v>
      </c>
      <c r="Q174" s="7"/>
      <c r="R174" s="7"/>
    </row>
    <row r="175" spans="1:18">
      <c r="A175" s="4" t="s">
        <v>273</v>
      </c>
      <c r="B175" s="4">
        <f t="shared" si="2"/>
        <v>2</v>
      </c>
      <c r="C175" s="4" t="s">
        <v>166</v>
      </c>
      <c r="D175" s="1" t="str">
        <f>IFERROR(VLOOKUP(A175,[1]biopep_DB!$F$2:$J$1654,5,0),)</f>
        <v>Inhibition strength of short peptides derived from an ACE inhibitory peptide.</v>
      </c>
      <c r="E175" s="1" t="str">
        <f>IFERROR(VLOOKUP(A175,[1]biopep_DB!$F$2:$L$1654,6,0),0)</f>
        <v>10.1021/jf202902r</v>
      </c>
      <c r="F175" s="1" t="str">
        <f>IFERROR(VLOOKUP(A175,[1]biopep_DB!$F$2:$L$1654,7,0),0)</f>
        <v>21923188</v>
      </c>
      <c r="G175" s="5">
        <v>319.31</v>
      </c>
      <c r="H175" s="5">
        <v>4.05</v>
      </c>
      <c r="I175" s="5">
        <v>-1.24</v>
      </c>
      <c r="J175" s="6">
        <v>-2.2</v>
      </c>
      <c r="K175" s="5">
        <v>5</v>
      </c>
      <c r="L175" s="6">
        <v>0.5</v>
      </c>
      <c r="M175" s="6">
        <v>-0.325</v>
      </c>
      <c r="N175" s="6">
        <v>0</v>
      </c>
      <c r="O175" s="6">
        <v>0.5</v>
      </c>
      <c r="P175" s="6">
        <v>0.5</v>
      </c>
      <c r="Q175" s="7"/>
      <c r="R175" s="7"/>
    </row>
    <row r="176" spans="1:18">
      <c r="A176" s="4" t="s">
        <v>274</v>
      </c>
      <c r="B176" s="4">
        <f t="shared" si="2"/>
        <v>4</v>
      </c>
      <c r="C176" s="4"/>
      <c r="D176" s="1" t="str">
        <f>IFERROR(VLOOKUP(A176,[1]biopep_DB!$F$2:$J$1654,5,0),)</f>
        <v>Antihypertensive peptides: production, bioavailability and incorporation into foods.</v>
      </c>
      <c r="E176" s="1" t="str">
        <f>IFERROR(VLOOKUP(A176,[1]biopep_DB!$F$2:$L$1654,6,0),0)</f>
        <v>10.1016/j.cis.2010.11.001</v>
      </c>
      <c r="F176" s="1" t="str">
        <f>IFERROR(VLOOKUP(A176,[1]biopep_DB!$F$2:$L$1654,7,0),0)</f>
        <v>21185549</v>
      </c>
      <c r="G176" s="5">
        <v>473.48</v>
      </c>
      <c r="H176" s="5">
        <v>4.05</v>
      </c>
      <c r="I176" s="5">
        <v>-1.24</v>
      </c>
      <c r="J176" s="6">
        <v>-1.6</v>
      </c>
      <c r="K176" s="5">
        <v>-18.42</v>
      </c>
      <c r="L176" s="6">
        <v>0.5</v>
      </c>
      <c r="M176" s="6">
        <v>-0.3975</v>
      </c>
      <c r="N176" s="6">
        <v>0</v>
      </c>
      <c r="O176" s="6">
        <v>0.75</v>
      </c>
      <c r="P176" s="6">
        <v>0.25</v>
      </c>
      <c r="Q176" s="7"/>
      <c r="R176" s="7"/>
    </row>
    <row r="177" spans="1:18">
      <c r="A177" s="4" t="s">
        <v>275</v>
      </c>
      <c r="B177" s="4">
        <f t="shared" si="2"/>
        <v>2</v>
      </c>
      <c r="C177" s="4" t="s">
        <v>36</v>
      </c>
      <c r="D177" s="1" t="str">
        <f>IFERROR(VLOOKUP(A177,[1]biopep_DB!$F$2:$J$1654,5,0),)</f>
        <v>Structural requirements of Angiotensin I-converting enzyme inhibitory peptides: quantitative structure-activity relationship study of di- and tripeptides.; Antihypertensive peptides from food proteins: a review.</v>
      </c>
      <c r="E177" s="1" t="str">
        <f>IFERROR(VLOOKUP(A177,[1]biopep_DB!$F$2:$L$1654,6,0),0)</f>
        <v>10.1021/jf051263l; 10.1039/c2fo10192k</v>
      </c>
      <c r="F177" s="1" t="str">
        <f>IFERROR(VLOOKUP(A177,[1]biopep_DB!$F$2:$L$1654,7,0),0)</f>
        <v>16448176 22249830</v>
      </c>
      <c r="G177" s="5">
        <v>296.28</v>
      </c>
      <c r="H177" s="5">
        <v>4.05</v>
      </c>
      <c r="I177" s="5">
        <v>-1.24</v>
      </c>
      <c r="J177" s="6">
        <v>-2.4</v>
      </c>
      <c r="K177" s="5">
        <v>5</v>
      </c>
      <c r="L177" s="6">
        <v>0</v>
      </c>
      <c r="M177" s="6">
        <v>0.91</v>
      </c>
      <c r="N177" s="6">
        <v>0</v>
      </c>
      <c r="O177" s="6">
        <v>0.5</v>
      </c>
      <c r="P177" s="6">
        <v>0.5</v>
      </c>
      <c r="Q177" s="7"/>
      <c r="R177" s="7"/>
    </row>
    <row r="178" spans="1:18">
      <c r="A178" s="4" t="s">
        <v>276</v>
      </c>
      <c r="B178" s="4">
        <f t="shared" si="2"/>
        <v>3</v>
      </c>
      <c r="C178" s="4" t="s">
        <v>36</v>
      </c>
      <c r="D178" s="1" t="str">
        <f>IFERROR(VLOOKUP(A178,[1]biopep_DB!$F$2:$J$1654,5,0),)</f>
        <v>Structural requirements of Angiotensin I-converting enzyme inhibitory peptides: quantitative structure-activity relationship study of di- and tripeptides.</v>
      </c>
      <c r="E178" s="1" t="str">
        <f>IFERROR(VLOOKUP(A178,[1]biopep_DB!$F$2:$L$1654,6,0),0)</f>
        <v>10.1021/jf051263l</v>
      </c>
      <c r="F178" s="1" t="str">
        <f>IFERROR(VLOOKUP(A178,[1]biopep_DB!$F$2:$L$1654,7,0),0)</f>
        <v>16448176</v>
      </c>
      <c r="G178" s="5">
        <v>353.33</v>
      </c>
      <c r="H178" s="5">
        <v>4.05</v>
      </c>
      <c r="I178" s="5">
        <v>-1.24</v>
      </c>
      <c r="J178" s="6">
        <v>-1.7333</v>
      </c>
      <c r="K178" s="5">
        <v>-21.63</v>
      </c>
      <c r="L178" s="6">
        <v>0</v>
      </c>
      <c r="M178" s="6">
        <v>0.2933</v>
      </c>
      <c r="N178" s="6">
        <v>0</v>
      </c>
      <c r="O178" s="6">
        <v>0.6667</v>
      </c>
      <c r="P178" s="6">
        <v>0.3333</v>
      </c>
      <c r="Q178" s="7"/>
      <c r="R178" s="7"/>
    </row>
    <row r="179" spans="1:18">
      <c r="A179" s="4" t="s">
        <v>277</v>
      </c>
      <c r="B179" s="4">
        <f t="shared" si="2"/>
        <v>6</v>
      </c>
      <c r="C179" s="4" t="s">
        <v>278</v>
      </c>
      <c r="D179" s="1" t="str">
        <f>IFERROR(VLOOKUP(A179,[1]biopep_DB!$F$2:$J$1654,5,0),)</f>
        <v>Peptide inhibitors for angiotensin I-converting enzyme from thermolysin digest of dried bonito.; Review on the angiotensin-I-converting enzyme (ACE) inhibitor peptides from marine proteins.</v>
      </c>
      <c r="E179" s="1" t="str">
        <f>IFERROR(VLOOKUP(A179,[1]biopep_DB!$F$2:$L$1654,6,0),0)</f>
        <v>10.1271/bbb.56.1541; 10.1007/s12010-012-0024-y</v>
      </c>
      <c r="F179" s="1" t="str">
        <f>IFERROR(VLOOKUP(A179,[1]biopep_DB!$F$2:$L$1654,7,0),0)</f>
        <v>1369054 23271625</v>
      </c>
      <c r="G179" s="5">
        <v>726.77</v>
      </c>
      <c r="H179" s="5">
        <v>4.05</v>
      </c>
      <c r="I179" s="5">
        <v>-1.24</v>
      </c>
      <c r="J179" s="6">
        <v>-0.7167</v>
      </c>
      <c r="K179" s="5">
        <v>14.75</v>
      </c>
      <c r="L179" s="6">
        <v>0.3333</v>
      </c>
      <c r="M179" s="6">
        <v>-0.65</v>
      </c>
      <c r="N179" s="6">
        <v>0.1667</v>
      </c>
      <c r="O179" s="6">
        <v>0.5</v>
      </c>
      <c r="P179" s="6">
        <v>0.5</v>
      </c>
      <c r="Q179" s="7"/>
      <c r="R179" s="7"/>
    </row>
    <row r="180" spans="1:18">
      <c r="A180" s="4" t="s">
        <v>279</v>
      </c>
      <c r="B180" s="4">
        <f t="shared" si="2"/>
        <v>6</v>
      </c>
      <c r="C180" s="4"/>
      <c r="D180" s="1" t="str">
        <f>IFERROR(VLOOKUP(A180,[1]biopep_DB!$F$2:$J$1654,5,0),)</f>
        <v/>
      </c>
      <c r="E180" s="1" t="str">
        <f>IFERROR(VLOOKUP(A180,[1]biopep_DB!$F$2:$L$1654,6,0),0)</f>
        <v/>
      </c>
      <c r="F180" s="1" t="str">
        <f>IFERROR(VLOOKUP(A180,[1]biopep_DB!$F$2:$L$1654,7,0),0)</f>
        <v/>
      </c>
      <c r="G180" s="5">
        <v>755.84</v>
      </c>
      <c r="H180" s="5">
        <v>5.83</v>
      </c>
      <c r="I180" s="5">
        <v>-0.25</v>
      </c>
      <c r="J180" s="6">
        <v>-0.6333</v>
      </c>
      <c r="K180" s="5">
        <v>168</v>
      </c>
      <c r="L180" s="6">
        <v>0.1667</v>
      </c>
      <c r="M180" s="6">
        <v>-0.1367</v>
      </c>
      <c r="N180" s="6">
        <v>0.1667</v>
      </c>
      <c r="O180" s="6">
        <v>0.3333</v>
      </c>
      <c r="P180" s="6">
        <v>0.3333</v>
      </c>
      <c r="Q180" s="7"/>
      <c r="R180" s="7"/>
    </row>
    <row r="181" spans="1:18">
      <c r="A181" s="4" t="s">
        <v>280</v>
      </c>
      <c r="B181" s="4">
        <f t="shared" si="2"/>
        <v>5</v>
      </c>
      <c r="C181" s="4" t="s">
        <v>281</v>
      </c>
      <c r="D181" s="1" t="str">
        <f>IFERROR(VLOOKUP(A181,[1]biopep_DB!$F$2:$J$1654,5,0),)</f>
        <v>Inhibition strength of short peptides derived from an ACE inhibitory peptide.; A new QSAR model, for angiotensin I-converting enzyme inhibitory oligopeptides.</v>
      </c>
      <c r="E181" s="1" t="str">
        <f>IFERROR(VLOOKUP(A181,[1]biopep_DB!$F$2:$L$1654,6,0),0)</f>
        <v>10.1021/jf202902r; 10.1016/j.foodchem.2012.09.092</v>
      </c>
      <c r="F181" s="1" t="str">
        <f>IFERROR(VLOOKUP(A181,[1]biopep_DB!$F$2:$L$1654,7,0),0)</f>
        <v>21923188 23194537</v>
      </c>
      <c r="G181" s="5">
        <v>566.56</v>
      </c>
      <c r="H181" s="5">
        <v>4.05</v>
      </c>
      <c r="I181" s="5">
        <v>-1.24</v>
      </c>
      <c r="J181" s="6">
        <v>-0.9</v>
      </c>
      <c r="K181" s="5">
        <v>-25.96</v>
      </c>
      <c r="L181" s="6">
        <v>0.2</v>
      </c>
      <c r="M181" s="6">
        <v>-0.308</v>
      </c>
      <c r="N181" s="6">
        <v>0</v>
      </c>
      <c r="O181" s="6">
        <v>0.6</v>
      </c>
      <c r="P181" s="6">
        <v>0.4</v>
      </c>
      <c r="Q181" s="7"/>
      <c r="R181" s="7"/>
    </row>
    <row r="182" spans="1:18">
      <c r="A182" s="4" t="s">
        <v>282</v>
      </c>
      <c r="B182" s="4">
        <f t="shared" si="2"/>
        <v>2</v>
      </c>
      <c r="C182" s="4" t="s">
        <v>283</v>
      </c>
      <c r="D182" s="1" t="str">
        <f>IFERROR(VLOOKUP(A182,[1]biopep_DB!$F$2:$J$1654,5,0),)</f>
        <v>Binding of peptide substrates and inhibitors of angiotensin-converting enzyme. Importance of the COOH-terminal dipeptide sequence.;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182" s="1" t="str">
        <f>IFERROR(VLOOKUP(A182,[1]biopep_DB!$F$2:$L$1654,6,0),0)</f>
        <v>10.1002/psc.892; 10.1007/s00894-010-0862-x; 10.1016/j.jprot.2013.06.023; 10.1016/j.foodchem.2013.05.140</v>
      </c>
      <c r="F182" s="1" t="str">
        <f>IFERROR(VLOOKUP(A182,[1]biopep_DB!$F$2:$L$1654,7,0),0)</f>
        <v>6243277 17654623 20941517 23806758 23871047</v>
      </c>
      <c r="G182" s="5">
        <v>218.21</v>
      </c>
      <c r="H182" s="5">
        <v>4.05</v>
      </c>
      <c r="I182" s="5">
        <v>-1.16</v>
      </c>
      <c r="J182" s="6">
        <v>-0.85</v>
      </c>
      <c r="K182" s="5">
        <v>5</v>
      </c>
      <c r="L182" s="6">
        <v>0.5</v>
      </c>
      <c r="M182" s="6">
        <v>-0.085</v>
      </c>
      <c r="N182" s="6">
        <v>1</v>
      </c>
      <c r="O182" s="6">
        <v>0</v>
      </c>
      <c r="P182" s="6">
        <v>0</v>
      </c>
      <c r="Q182" s="7"/>
      <c r="R182" s="7"/>
    </row>
    <row r="183" spans="1:18">
      <c r="A183" s="4" t="s">
        <v>284</v>
      </c>
      <c r="B183" s="4">
        <f t="shared" si="2"/>
        <v>3</v>
      </c>
      <c r="C183" s="4" t="s">
        <v>36</v>
      </c>
      <c r="D183" s="1" t="str">
        <f>IFERROR(VLOOKUP(A183,[1]biopep_DB!$F$2:$J$1654,5,0),)</f>
        <v>Structural requirements of Angiotensin I-converting enzyme inhibitory peptides: quantitative structure-activity relationship study of di- and tripeptides.</v>
      </c>
      <c r="E183" s="1" t="str">
        <f>IFERROR(VLOOKUP(A183,[1]biopep_DB!$F$2:$L$1654,6,0),0)</f>
        <v>10.1021/jf051263l</v>
      </c>
      <c r="F183" s="1" t="str">
        <f>IFERROR(VLOOKUP(A183,[1]biopep_DB!$F$2:$L$1654,7,0),0)</f>
        <v>16448176</v>
      </c>
      <c r="G183" s="5">
        <v>315.32</v>
      </c>
      <c r="H183" s="5">
        <v>4.05</v>
      </c>
      <c r="I183" s="5">
        <v>-1.16</v>
      </c>
      <c r="J183" s="6">
        <v>-1.1</v>
      </c>
      <c r="K183" s="5">
        <v>70.87</v>
      </c>
      <c r="L183" s="6">
        <v>0.6667</v>
      </c>
      <c r="M183" s="6">
        <v>-0.0567</v>
      </c>
      <c r="N183" s="6">
        <v>0.6667</v>
      </c>
      <c r="O183" s="6">
        <v>0.3333</v>
      </c>
      <c r="P183" s="6">
        <v>0</v>
      </c>
      <c r="Q183" s="7"/>
      <c r="R183" s="7"/>
    </row>
    <row r="184" spans="1:18">
      <c r="A184" s="4" t="s">
        <v>285</v>
      </c>
      <c r="B184" s="4">
        <f t="shared" si="2"/>
        <v>10</v>
      </c>
      <c r="C184" s="4" t="s">
        <v>286</v>
      </c>
      <c r="D184" s="1" t="str">
        <f>IFERROR(VLOOKUP(A184,[1]biopep_DB!$F$2:$J$1654,5,0),)</f>
        <v/>
      </c>
      <c r="E184" s="1" t="str">
        <f>IFERROR(VLOOKUP(A184,[1]biopep_DB!$F$2:$L$1654,6,0),0)</f>
        <v/>
      </c>
      <c r="F184" s="1" t="str">
        <f>IFERROR(VLOOKUP(A184,[1]biopep_DB!$F$2:$L$1654,7,0),0)</f>
        <v/>
      </c>
      <c r="G184" s="5">
        <v>1296.34</v>
      </c>
      <c r="H184" s="5">
        <v>4.14</v>
      </c>
      <c r="I184" s="5">
        <v>-2.16</v>
      </c>
      <c r="J184" s="6">
        <v>-1.83</v>
      </c>
      <c r="K184" s="5">
        <v>96.5</v>
      </c>
      <c r="L184" s="6">
        <v>0.3</v>
      </c>
      <c r="M184" s="6">
        <v>0.316</v>
      </c>
      <c r="N184" s="6">
        <v>0.3</v>
      </c>
      <c r="O184" s="6">
        <v>0.4</v>
      </c>
      <c r="P184" s="6">
        <v>0.3</v>
      </c>
      <c r="Q184" s="7"/>
      <c r="R184" s="7"/>
    </row>
    <row r="185" spans="1:18">
      <c r="A185" s="4" t="s">
        <v>287</v>
      </c>
      <c r="B185" s="4">
        <f t="shared" si="2"/>
        <v>5</v>
      </c>
      <c r="C185" s="4" t="s">
        <v>31</v>
      </c>
      <c r="D185" s="1" t="str">
        <f>IFERROR(VLOOKUP(A185,[1]biopep_DB!$F$2:$J$1654,5,0),)</f>
        <v/>
      </c>
      <c r="E185" s="1" t="str">
        <f>IFERROR(VLOOKUP(A185,[1]biopep_DB!$F$2:$L$1654,6,0),0)</f>
        <v/>
      </c>
      <c r="F185" s="1" t="str">
        <f>IFERROR(VLOOKUP(A185,[1]biopep_DB!$F$2:$L$1654,7,0),0)</f>
        <v/>
      </c>
      <c r="G185" s="5">
        <v>461.42</v>
      </c>
      <c r="H185" s="5">
        <v>4.05</v>
      </c>
      <c r="I185" s="5">
        <v>-2.16</v>
      </c>
      <c r="J185" s="6">
        <v>-1.2</v>
      </c>
      <c r="K185" s="5">
        <v>97.88</v>
      </c>
      <c r="L185" s="6">
        <v>0.2</v>
      </c>
      <c r="M185" s="6">
        <v>-0.082</v>
      </c>
      <c r="N185" s="6">
        <v>0.6</v>
      </c>
      <c r="O185" s="6">
        <v>0.4</v>
      </c>
      <c r="P185" s="6">
        <v>0</v>
      </c>
      <c r="Q185" s="7"/>
      <c r="R185" s="7"/>
    </row>
    <row r="186" spans="1:18">
      <c r="A186" s="4" t="s">
        <v>288</v>
      </c>
      <c r="B186" s="4">
        <f t="shared" si="2"/>
        <v>2</v>
      </c>
      <c r="C186" s="4" t="s">
        <v>36</v>
      </c>
      <c r="D186" s="1" t="str">
        <f>IFERROR(VLOOKUP(A186,[1]biopep_DB!$F$2:$J$1654,5,0),)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186" s="1" t="str">
        <f>IFERROR(VLOOKUP(A186,[1]biopep_DB!$F$2:$L$1654,6,0),0)</f>
        <v>10.1021/jf051263l; 10.1002/psc.892; 10.1007/s00894-010-0862-x; 10.1016/j.jprot.2013.06.023; 10.1016/j.foodchem.2013.05.140</v>
      </c>
      <c r="F186" s="1" t="str">
        <f>IFERROR(VLOOKUP(A186,[1]biopep_DB!$F$2:$L$1654,7,0),0)</f>
        <v>6243277 16448176 17654623 20941517 23806758 23871047</v>
      </c>
      <c r="G186" s="5">
        <v>204.18</v>
      </c>
      <c r="H186" s="5">
        <v>4.05</v>
      </c>
      <c r="I186" s="5">
        <v>-1.16</v>
      </c>
      <c r="J186" s="6">
        <v>-1.95</v>
      </c>
      <c r="K186" s="5">
        <v>5</v>
      </c>
      <c r="L186" s="6">
        <v>0</v>
      </c>
      <c r="M186" s="6">
        <v>0.35</v>
      </c>
      <c r="N186" s="6">
        <v>0.5</v>
      </c>
      <c r="O186" s="6">
        <v>0.5</v>
      </c>
      <c r="P186" s="6">
        <v>0</v>
      </c>
      <c r="Q186" s="7"/>
      <c r="R186" s="7"/>
    </row>
    <row r="187" spans="1:18">
      <c r="A187" s="4" t="s">
        <v>289</v>
      </c>
      <c r="B187" s="4">
        <f t="shared" si="2"/>
        <v>5</v>
      </c>
      <c r="C187" s="4" t="s">
        <v>290</v>
      </c>
      <c r="D187" s="1" t="str">
        <f>IFERROR(VLOOKUP(A187,[1]biopep_DB!$F$2:$J$1654,5,0),)</f>
        <v>Novel angiotensin I-converting enzyme inhibitory peptides derived from edible mushroom Agaricus bisporus (J.E. Lange) Imbach identified by LC-MS/MS.</v>
      </c>
      <c r="E187" s="1" t="str">
        <f>IFERROR(VLOOKUP(A187,[1]biopep_DB!$F$2:$L$1654,6,0),0)</f>
        <v>10.1016/j.foodchem.2013.10.053</v>
      </c>
      <c r="F187" s="1" t="str">
        <f>IFERROR(VLOOKUP(A187,[1]biopep_DB!$F$2:$L$1654,7,0),0)</f>
        <v>24262574</v>
      </c>
      <c r="G187" s="5">
        <v>586.6</v>
      </c>
      <c r="H187" s="5">
        <v>4.53</v>
      </c>
      <c r="I187" s="5">
        <v>-1.16</v>
      </c>
      <c r="J187" s="6">
        <v>-2.7</v>
      </c>
      <c r="K187" s="5">
        <v>16.36</v>
      </c>
      <c r="L187" s="6">
        <v>0.2</v>
      </c>
      <c r="M187" s="6">
        <v>1.012</v>
      </c>
      <c r="N187" s="6">
        <v>0.4</v>
      </c>
      <c r="O187" s="6">
        <v>0.4</v>
      </c>
      <c r="P187" s="6">
        <v>0</v>
      </c>
      <c r="Q187" s="7"/>
      <c r="R187" s="7"/>
    </row>
    <row r="188" spans="1:18">
      <c r="A188" s="4" t="s">
        <v>291</v>
      </c>
      <c r="B188" s="4">
        <f t="shared" si="2"/>
        <v>6</v>
      </c>
      <c r="C188" s="4"/>
      <c r="D188" s="1" t="str">
        <f>IFERROR(VLOOKUP(A188,[1]biopep_DB!$F$2:$J$1654,5,0),)</f>
        <v>Isolation and characterization of peptides with antihypertensive activity in foodstuffs.</v>
      </c>
      <c r="E188" s="1" t="str">
        <f>IFERROR(VLOOKUP(A188,[1]biopep_DB!$F$2:$L$1654,6,0),0)</f>
        <v>10.1080/10408398.2012.664829</v>
      </c>
      <c r="F188" s="1" t="str">
        <f>IFERROR(VLOOKUP(A188,[1]biopep_DB!$F$2:$L$1654,7,0),0)</f>
        <v>24915368</v>
      </c>
      <c r="G188" s="5">
        <v>583.63</v>
      </c>
      <c r="H188" s="5">
        <v>6.1</v>
      </c>
      <c r="I188" s="5">
        <v>-0.16</v>
      </c>
      <c r="J188" s="6">
        <v>-1.9</v>
      </c>
      <c r="K188" s="5">
        <v>16.33</v>
      </c>
      <c r="L188" s="6">
        <v>0.3333</v>
      </c>
      <c r="M188" s="6">
        <v>0.2233</v>
      </c>
      <c r="N188" s="6">
        <v>0.3333</v>
      </c>
      <c r="O188" s="6">
        <v>0.6667</v>
      </c>
      <c r="P188" s="6">
        <v>0</v>
      </c>
      <c r="Q188" s="7"/>
      <c r="R188" s="7"/>
    </row>
    <row r="189" spans="1:18">
      <c r="A189" s="4" t="s">
        <v>292</v>
      </c>
      <c r="B189" s="4">
        <f t="shared" si="2"/>
        <v>8</v>
      </c>
      <c r="C189" s="4" t="s">
        <v>293</v>
      </c>
      <c r="D189" s="1" t="str">
        <f>IFERROR(VLOOKUP(A189,[1]biopep_DB!$F$2:$J$1654,5,0),)</f>
        <v/>
      </c>
      <c r="E189" s="1" t="str">
        <f>IFERROR(VLOOKUP(A189,[1]biopep_DB!$F$2:$L$1654,6,0),0)</f>
        <v/>
      </c>
      <c r="F189" s="1" t="str">
        <f>IFERROR(VLOOKUP(A189,[1]biopep_DB!$F$2:$L$1654,7,0),0)</f>
        <v/>
      </c>
      <c r="G189" s="5">
        <v>799.91</v>
      </c>
      <c r="H189" s="5">
        <v>6.1</v>
      </c>
      <c r="I189" s="5">
        <v>-0.16</v>
      </c>
      <c r="J189" s="6">
        <v>-0.05</v>
      </c>
      <c r="K189" s="5">
        <v>-1.86</v>
      </c>
      <c r="L189" s="6">
        <v>0.5</v>
      </c>
      <c r="M189" s="6">
        <v>-0.9563</v>
      </c>
      <c r="N189" s="6">
        <v>0.5</v>
      </c>
      <c r="O189" s="6">
        <v>0.375</v>
      </c>
      <c r="P189" s="6">
        <v>0.25</v>
      </c>
      <c r="Q189" s="7"/>
      <c r="R189" s="7"/>
    </row>
    <row r="190" spans="1:18">
      <c r="A190" s="4" t="s">
        <v>294</v>
      </c>
      <c r="B190" s="4">
        <f t="shared" si="2"/>
        <v>2</v>
      </c>
      <c r="C190" s="4" t="s">
        <v>62</v>
      </c>
      <c r="D190" s="1" t="str">
        <f>IFERROR(VLOOKUP(A190,[1]biopep_DB!$F$2:$J$1654,5,0),)</f>
        <v/>
      </c>
      <c r="E190" s="1" t="str">
        <f>IFERROR(VLOOKUP(A190,[1]biopep_DB!$F$2:$L$1654,6,0),0)</f>
        <v/>
      </c>
      <c r="F190" s="1" t="str">
        <f>IFERROR(VLOOKUP(A190,[1]biopep_DB!$F$2:$L$1654,7,0),0)</f>
        <v/>
      </c>
      <c r="G190" s="5">
        <v>260.29</v>
      </c>
      <c r="H190" s="5">
        <v>4.05</v>
      </c>
      <c r="I190" s="5">
        <v>-1.16</v>
      </c>
      <c r="J190" s="6">
        <v>0.5</v>
      </c>
      <c r="K190" s="5">
        <v>101.3</v>
      </c>
      <c r="L190" s="6">
        <v>0.5</v>
      </c>
      <c r="M190" s="6">
        <v>-1.64</v>
      </c>
      <c r="N190" s="6">
        <v>0.5</v>
      </c>
      <c r="O190" s="6">
        <v>0</v>
      </c>
      <c r="P190" s="6">
        <v>0.5</v>
      </c>
      <c r="Q190" s="7"/>
      <c r="R190" s="7"/>
    </row>
    <row r="191" spans="1:18">
      <c r="A191" s="4" t="s">
        <v>295</v>
      </c>
      <c r="B191" s="4">
        <f t="shared" si="2"/>
        <v>6</v>
      </c>
      <c r="C191" s="4"/>
      <c r="D191" s="1" t="str">
        <f>IFERROR(VLOOKUP(A191,[1]biopep_DB!$F$2:$J$1654,5,0),)</f>
        <v>Isolation and characterization of peptides with antihypertensive activity in foodstuffs.</v>
      </c>
      <c r="E191" s="1" t="str">
        <f>IFERROR(VLOOKUP(A191,[1]biopep_DB!$F$2:$L$1654,6,0),0)</f>
        <v>10.1080/10408398.2012.664829</v>
      </c>
      <c r="F191" s="1" t="str">
        <f>IFERROR(VLOOKUP(A191,[1]biopep_DB!$F$2:$L$1654,7,0),0)</f>
        <v>24915368</v>
      </c>
      <c r="G191" s="5">
        <v>703.89</v>
      </c>
      <c r="H191" s="5">
        <v>6.1</v>
      </c>
      <c r="I191" s="5">
        <v>-0.16</v>
      </c>
      <c r="J191" s="6">
        <v>0.7667</v>
      </c>
      <c r="K191" s="5">
        <v>26.28</v>
      </c>
      <c r="L191" s="6">
        <v>0.6667</v>
      </c>
      <c r="M191" s="6">
        <v>-1.7967</v>
      </c>
      <c r="N191" s="6">
        <v>0.8333</v>
      </c>
      <c r="O191" s="6">
        <v>0</v>
      </c>
      <c r="P191" s="6">
        <v>0.3333</v>
      </c>
      <c r="Q191" s="7"/>
      <c r="R191" s="7"/>
    </row>
    <row r="192" spans="1:18">
      <c r="A192" s="4" t="s">
        <v>296</v>
      </c>
      <c r="B192" s="4">
        <f t="shared" si="2"/>
        <v>12</v>
      </c>
      <c r="C192" s="4"/>
      <c r="G192" s="5">
        <v>1393.5</v>
      </c>
      <c r="H192" s="5">
        <v>4.75</v>
      </c>
      <c r="I192" s="5">
        <v>-2.07</v>
      </c>
      <c r="J192" s="6">
        <v>-0.8167</v>
      </c>
      <c r="K192" s="5">
        <v>61.36</v>
      </c>
      <c r="L192" s="6">
        <v>0.4167</v>
      </c>
      <c r="M192" s="6">
        <v>-0.3833</v>
      </c>
      <c r="N192" s="6">
        <v>0.4167</v>
      </c>
      <c r="O192" s="6">
        <v>0.25</v>
      </c>
      <c r="P192" s="6">
        <v>0.25</v>
      </c>
      <c r="Q192" s="7"/>
      <c r="R192" s="7"/>
    </row>
    <row r="193" spans="1:18">
      <c r="A193" s="4" t="s">
        <v>297</v>
      </c>
      <c r="B193" s="4">
        <f t="shared" si="2"/>
        <v>2</v>
      </c>
      <c r="C193" s="4" t="s">
        <v>62</v>
      </c>
      <c r="D193" s="1" t="str">
        <f>IFERROR(VLOOKUP(A193,[1]biopep_DB!$F$2:$J$1654,5,0),)</f>
        <v>Application of at-line two-dimensional liquid chromatography-mass spectrometry for identification of small hydrophilic angiotensin I-inhibiting peptides in milk hydrolysates.</v>
      </c>
      <c r="E193" s="1" t="str">
        <f>IFERROR(VLOOKUP(A193,[1]biopep_DB!$F$2:$L$1654,6,0),0)</f>
        <v>10.1007/s00216-008-1990-3</v>
      </c>
      <c r="F193" s="1" t="str">
        <f>IFERROR(VLOOKUP(A193,[1]biopep_DB!$F$2:$L$1654,7,0),0)</f>
        <v>18392815</v>
      </c>
      <c r="G193" s="5">
        <v>275.3</v>
      </c>
      <c r="H193" s="5">
        <v>6.1</v>
      </c>
      <c r="I193" s="5">
        <v>-0.16</v>
      </c>
      <c r="J193" s="6">
        <v>-3.7</v>
      </c>
      <c r="K193" s="5">
        <v>5</v>
      </c>
      <c r="L193" s="6">
        <v>0</v>
      </c>
      <c r="M193" s="6">
        <v>1.61</v>
      </c>
      <c r="N193" s="6">
        <v>1</v>
      </c>
      <c r="O193" s="6">
        <v>0</v>
      </c>
      <c r="P193" s="6">
        <v>0</v>
      </c>
      <c r="Q193" s="7"/>
      <c r="R193" s="7"/>
    </row>
    <row r="194" spans="1:18">
      <c r="A194" s="4" t="s">
        <v>298</v>
      </c>
      <c r="B194" s="4">
        <f t="shared" si="2"/>
        <v>6</v>
      </c>
      <c r="C194" s="4" t="s">
        <v>299</v>
      </c>
      <c r="D194" s="1" t="str">
        <f>IFERROR(VLOOKUP(A194,[1]biopep_DB!$F$2:$J$1654,5,0),)</f>
        <v>Identification of novel angiotensin-converting enzyme-inhibitory peptides from ovine milk proteins by CE-MS and chromatographic techniques.; Isolation and characterization of peptides with antihypertensive activity in foodstuffs.</v>
      </c>
      <c r="E194" s="1" t="str">
        <f>IFERROR(VLOOKUP(A194,[1]biopep_DB!$F$2:$L$1654,6,0),0)</f>
        <v>10.1002/elps.200700324; 10.1080/10408398.2012.664829</v>
      </c>
      <c r="F194" s="1" t="str">
        <f>IFERROR(VLOOKUP(A194,[1]biopep_DB!$F$2:$L$1654,7,0),0)</f>
        <v>17948260 24915368</v>
      </c>
      <c r="G194" s="5">
        <v>822.86</v>
      </c>
      <c r="H194" s="5">
        <v>4.68</v>
      </c>
      <c r="I194" s="5">
        <v>-1.16</v>
      </c>
      <c r="J194" s="6">
        <v>-2.6833</v>
      </c>
      <c r="K194" s="5">
        <v>8.33</v>
      </c>
      <c r="L194" s="6">
        <v>0.1667</v>
      </c>
      <c r="M194" s="6">
        <v>1.0467</v>
      </c>
      <c r="N194" s="6">
        <v>0.5</v>
      </c>
      <c r="O194" s="6">
        <v>0.1667</v>
      </c>
      <c r="P194" s="6">
        <v>0.1667</v>
      </c>
      <c r="Q194" s="7"/>
      <c r="R194" s="7"/>
    </row>
    <row r="195" spans="1:18">
      <c r="A195" s="4" t="s">
        <v>300</v>
      </c>
      <c r="B195" s="4">
        <f t="shared" si="2"/>
        <v>7</v>
      </c>
      <c r="C195" s="4" t="s">
        <v>301</v>
      </c>
      <c r="D195" s="1" t="str">
        <f>IFERROR(VLOOKUP(A195,[1]biopep_DB!$F$2:$J$1654,5,0),)</f>
        <v>Porcine skeletal muscle troponin is a good source of peptides with Angiotensin-I converting enzyme inhibitory activity and antihypertensive effects in spontaneously hypertensive rats.; Isolation and characterization of peptides with antihypertensive activity in foodstuffs.</v>
      </c>
      <c r="E195" s="1" t="str">
        <f>IFERROR(VLOOKUP(A195,[1]biopep_DB!$F$2:$L$1654,6,0),0)</f>
        <v>10.1021/jf071408j; 10.1080/10408398.2012.664829</v>
      </c>
      <c r="F195" s="1" t="str">
        <f>IFERROR(VLOOKUP(A195,[1]biopep_DB!$F$2:$L$1654,7,0),0)</f>
        <v>18163567 24915368</v>
      </c>
      <c r="G195" s="5">
        <v>974.03</v>
      </c>
      <c r="H195" s="5">
        <v>6.33</v>
      </c>
      <c r="I195" s="5">
        <v>-0.16</v>
      </c>
      <c r="J195" s="6">
        <v>-3.8429</v>
      </c>
      <c r="K195" s="5">
        <v>36.09</v>
      </c>
      <c r="L195" s="6">
        <v>0</v>
      </c>
      <c r="M195" s="6">
        <v>1.9</v>
      </c>
      <c r="N195" s="6">
        <v>0.5714</v>
      </c>
      <c r="O195" s="6">
        <v>0</v>
      </c>
      <c r="P195" s="6">
        <v>0</v>
      </c>
      <c r="Q195" s="7"/>
      <c r="R195" s="7"/>
    </row>
    <row r="196" spans="1:18">
      <c r="A196" s="4" t="s">
        <v>302</v>
      </c>
      <c r="B196" s="4">
        <f t="shared" si="2"/>
        <v>3</v>
      </c>
      <c r="C196" s="4"/>
      <c r="D196" s="1" t="str">
        <f>IFERROR(VLOOKUP(A196,[1]biopep_DB!$F$2:$J$1654,5,0),)</f>
        <v>Hot topic: Changes in angiotensin-converting enzyme inhibition and concentrations of the tripeptides Val-Pro-Pro and Ile-Pro-Pro during ripening of different Swiss cheese varieties.</v>
      </c>
      <c r="E196" s="1" t="str">
        <f>IFERROR(VLOOKUP(A196,[1]biopep_DB!$F$2:$L$1654,6,0),0)</f>
        <v>10.3168/jds.2008-1531</v>
      </c>
      <c r="F196" s="1" t="str">
        <f>IFERROR(VLOOKUP(A196,[1]biopep_DB!$F$2:$L$1654,7,0),0)</f>
        <v>19233775</v>
      </c>
      <c r="G196" s="5">
        <v>374.43</v>
      </c>
      <c r="H196" s="5">
        <v>6.1</v>
      </c>
      <c r="I196" s="5">
        <v>-0.16</v>
      </c>
      <c r="J196" s="6">
        <v>-1.0667</v>
      </c>
      <c r="K196" s="5">
        <v>-21.63</v>
      </c>
      <c r="L196" s="6">
        <v>0.3333</v>
      </c>
      <c r="M196" s="6">
        <v>-0.2733</v>
      </c>
      <c r="N196" s="6">
        <v>0.6667</v>
      </c>
      <c r="O196" s="6">
        <v>0</v>
      </c>
      <c r="P196" s="6">
        <v>0.3333</v>
      </c>
      <c r="Q196" s="7"/>
      <c r="R196" s="7"/>
    </row>
    <row r="197" spans="1:18">
      <c r="A197" s="4" t="s">
        <v>303</v>
      </c>
      <c r="B197" s="4">
        <f t="shared" si="2"/>
        <v>8</v>
      </c>
      <c r="C197" s="4"/>
      <c r="G197" s="5">
        <v>946.06</v>
      </c>
      <c r="H197" s="5">
        <v>6.24</v>
      </c>
      <c r="I197" s="5">
        <v>-0.16</v>
      </c>
      <c r="J197" s="6">
        <v>-1.3875</v>
      </c>
      <c r="K197" s="5">
        <v>-1.86</v>
      </c>
      <c r="L197" s="6">
        <v>0.25</v>
      </c>
      <c r="M197" s="6">
        <v>-0.0075</v>
      </c>
      <c r="N197" s="6">
        <v>0.625</v>
      </c>
      <c r="O197" s="6">
        <v>0.25</v>
      </c>
      <c r="P197" s="6">
        <v>0.25</v>
      </c>
      <c r="Q197" s="7"/>
      <c r="R197" s="7"/>
    </row>
    <row r="198" spans="1:18">
      <c r="A198" s="4" t="s">
        <v>304</v>
      </c>
      <c r="B198" s="4">
        <f t="shared" ref="B198:B261" si="3">LEN(A198)</f>
        <v>10</v>
      </c>
      <c r="C198" s="4"/>
      <c r="D198" s="1" t="str">
        <f>IFERROR(VLOOKUP(A198,[1]biopep_DB!$F$2:$J$1654,5,0),)</f>
        <v>Casein fermentate of Lactobacillus animalis DPC6134 contains a range of novel propeptide angiotensin-converting enzyme inhibitors.</v>
      </c>
      <c r="E198" s="1" t="str">
        <f>IFERROR(VLOOKUP(A198,[1]biopep_DB!$F$2:$L$1654,6,0),0)</f>
        <v>10.1128/AEM.00096-07</v>
      </c>
      <c r="F198" s="1" t="str">
        <f>IFERROR(VLOOKUP(A198,[1]biopep_DB!$F$2:$L$1654,7,0),0)</f>
        <v>17483275</v>
      </c>
      <c r="G198" s="5">
        <v>1128.19</v>
      </c>
      <c r="H198" s="5">
        <v>4.05</v>
      </c>
      <c r="I198" s="5">
        <v>-4.15</v>
      </c>
      <c r="J198" s="6">
        <v>-0.77</v>
      </c>
      <c r="K198" s="5">
        <v>53.32</v>
      </c>
      <c r="L198" s="6">
        <v>0.4</v>
      </c>
      <c r="M198" s="6">
        <v>-0.664</v>
      </c>
      <c r="N198" s="6">
        <v>0.6</v>
      </c>
      <c r="O198" s="6">
        <v>0.3</v>
      </c>
      <c r="P198" s="6">
        <v>0.3</v>
      </c>
      <c r="Q198" s="7"/>
      <c r="R198" s="7"/>
    </row>
    <row r="199" spans="1:18">
      <c r="A199" s="4" t="s">
        <v>305</v>
      </c>
      <c r="B199" s="4">
        <f t="shared" si="3"/>
        <v>6</v>
      </c>
      <c r="C199" s="4" t="s">
        <v>306</v>
      </c>
      <c r="D199" s="1" t="str">
        <f>IFERROR(VLOOKUP(A199,[1]biopep_DB!$F$2:$J$1654,5,0),)</f>
        <v>Evaluation of the allergenicity of goat milk, cow milk, and their lactosera in a guinea pig model.; A new QSAR model, for angiotensin I-converting enzyme inhibitory oligopeptides.</v>
      </c>
      <c r="E199" s="1" t="str">
        <f>IFERROR(VLOOKUP(A199,[1]biopep_DB!$F$2:$L$1654,6,0),0)</f>
        <v>10.3168/jds.2008-1125; 10.1016/j.foodchem.2012.09.092</v>
      </c>
      <c r="F199" s="1" t="str">
        <f>IFERROR(VLOOKUP(A199,[1]biopep_DB!$F$2:$L$1654,7,0),0)</f>
        <v>19233776 23194537</v>
      </c>
      <c r="G199" s="5">
        <v>747.9</v>
      </c>
      <c r="H199" s="5">
        <v>6.1</v>
      </c>
      <c r="I199" s="5">
        <v>-0.16</v>
      </c>
      <c r="J199" s="6">
        <v>-0.9833</v>
      </c>
      <c r="K199" s="5">
        <v>145.77</v>
      </c>
      <c r="L199" s="6">
        <v>0.6667</v>
      </c>
      <c r="M199" s="6">
        <v>-0.3517</v>
      </c>
      <c r="N199" s="6">
        <v>0.5</v>
      </c>
      <c r="O199" s="6">
        <v>0.3333</v>
      </c>
      <c r="P199" s="6">
        <v>0.1667</v>
      </c>
      <c r="Q199" s="7"/>
      <c r="R199" s="7"/>
    </row>
    <row r="200" spans="1:18">
      <c r="A200" s="4" t="s">
        <v>307</v>
      </c>
      <c r="B200" s="4">
        <f t="shared" si="3"/>
        <v>11</v>
      </c>
      <c r="C200" s="4"/>
      <c r="D200" s="1" t="str">
        <f>IFERROR(VLOOKUP(A200,[1]biopep_DB!$F$2:$J$1654,5,0),)</f>
        <v>Casein fermentate of Lactobacillus animalis DPC6134 contains a range of novel propeptide angiotensin-converting enzyme inhibitors.</v>
      </c>
      <c r="E200" s="1" t="str">
        <f>IFERROR(VLOOKUP(A200,[1]biopep_DB!$F$2:$L$1654,6,0),0)</f>
        <v>10.1128/AEM.00096-07</v>
      </c>
      <c r="F200" s="1" t="str">
        <f>IFERROR(VLOOKUP(A200,[1]biopep_DB!$F$2:$L$1654,7,0),0)</f>
        <v>17483275</v>
      </c>
      <c r="G200" s="5">
        <v>1333.55</v>
      </c>
      <c r="H200" s="5">
        <v>4.53</v>
      </c>
      <c r="I200" s="5">
        <v>-1.16</v>
      </c>
      <c r="J200" s="6">
        <v>-0.8818</v>
      </c>
      <c r="K200" s="5">
        <v>130.29</v>
      </c>
      <c r="L200" s="6">
        <v>0.6364</v>
      </c>
      <c r="M200" s="6">
        <v>-0.3973</v>
      </c>
      <c r="N200" s="6">
        <v>0.3636</v>
      </c>
      <c r="O200" s="6">
        <v>0.3636</v>
      </c>
      <c r="P200" s="6">
        <v>0.2727</v>
      </c>
      <c r="Q200" s="7"/>
      <c r="R200" s="7"/>
    </row>
    <row r="201" spans="1:18">
      <c r="A201" s="4" t="s">
        <v>308</v>
      </c>
      <c r="B201" s="4">
        <f t="shared" si="3"/>
        <v>15</v>
      </c>
      <c r="C201" s="4"/>
      <c r="G201" s="5">
        <v>1780.98</v>
      </c>
      <c r="H201" s="5">
        <v>6.85</v>
      </c>
      <c r="I201" s="5">
        <v>-0.07</v>
      </c>
      <c r="J201" s="6">
        <v>-0.66</v>
      </c>
      <c r="K201" s="5">
        <v>92.47</v>
      </c>
      <c r="L201" s="6">
        <v>0.4</v>
      </c>
      <c r="M201" s="6">
        <v>-0.61</v>
      </c>
      <c r="N201" s="6">
        <v>0.2</v>
      </c>
      <c r="O201" s="6">
        <v>0.3333</v>
      </c>
      <c r="P201" s="6">
        <v>0.3333</v>
      </c>
      <c r="Q201" s="7"/>
      <c r="R201" s="7"/>
    </row>
    <row r="202" spans="1:18">
      <c r="A202" s="4" t="s">
        <v>309</v>
      </c>
      <c r="B202" s="4">
        <f t="shared" si="3"/>
        <v>16</v>
      </c>
      <c r="C202" s="4"/>
      <c r="G202" s="5">
        <v>1878.1</v>
      </c>
      <c r="H202" s="5">
        <v>6.85</v>
      </c>
      <c r="I202" s="5">
        <v>-0.07</v>
      </c>
      <c r="J202" s="6">
        <v>-0.7188</v>
      </c>
      <c r="K202" s="5">
        <v>99.36</v>
      </c>
      <c r="L202" s="6">
        <v>0.4375</v>
      </c>
      <c r="M202" s="6">
        <v>-0.5719</v>
      </c>
      <c r="N202" s="6">
        <v>0.1875</v>
      </c>
      <c r="O202" s="6">
        <v>0.375</v>
      </c>
      <c r="P202" s="6">
        <v>0.3125</v>
      </c>
      <c r="Q202" s="7"/>
      <c r="R202" s="7"/>
    </row>
    <row r="203" spans="1:18">
      <c r="A203" s="4" t="s">
        <v>310</v>
      </c>
      <c r="B203" s="4">
        <f t="shared" si="3"/>
        <v>6</v>
      </c>
      <c r="C203" s="4" t="s">
        <v>311</v>
      </c>
      <c r="D203" s="1" t="str">
        <f>IFERROR(VLOOKUP(A203,[1]biopep_DB!$F$2:$J$1654,5,0),)</f>
        <v>Inhibition of angiotensin-converting enzyme by synthetic peptide fragments of various beta-caseins.</v>
      </c>
      <c r="E203" s="1" t="str">
        <f>IFERROR(VLOOKUP(A203,[1]biopep_DB!$F$2:$L$1654,6,0),0)</f>
        <v/>
      </c>
      <c r="F203" s="1" t="str">
        <f>IFERROR(VLOOKUP(A203,[1]biopep_DB!$F$2:$L$1654,7,0),0)</f>
        <v>1368548</v>
      </c>
      <c r="G203" s="5">
        <v>721.8</v>
      </c>
      <c r="H203" s="5">
        <v>5.24</v>
      </c>
      <c r="I203" s="5">
        <v>-1.08</v>
      </c>
      <c r="J203" s="6">
        <v>-0.7</v>
      </c>
      <c r="K203" s="5">
        <v>40.43</v>
      </c>
      <c r="L203" s="6">
        <v>0.5</v>
      </c>
      <c r="M203" s="6">
        <v>-0.9317</v>
      </c>
      <c r="N203" s="6">
        <v>0.5</v>
      </c>
      <c r="O203" s="6">
        <v>0.3333</v>
      </c>
      <c r="P203" s="6">
        <v>0.3333</v>
      </c>
      <c r="Q203" s="7"/>
      <c r="R203" s="7"/>
    </row>
    <row r="204" spans="1:18">
      <c r="A204" s="4" t="s">
        <v>312</v>
      </c>
      <c r="B204" s="4">
        <f t="shared" si="3"/>
        <v>8</v>
      </c>
      <c r="C204" s="4" t="s">
        <v>313</v>
      </c>
      <c r="D204" s="1" t="str">
        <f>IFERROR(VLOOKUP(A204,[1]biopep_DB!$F$2:$J$1654,5,0),)</f>
        <v/>
      </c>
      <c r="E204" s="1" t="str">
        <f>IFERROR(VLOOKUP(A204,[1]biopep_DB!$F$2:$L$1654,6,0),0)</f>
        <v/>
      </c>
      <c r="F204" s="1" t="str">
        <f>IFERROR(VLOOKUP(A204,[1]biopep_DB!$F$2:$L$1654,7,0),0)</f>
        <v/>
      </c>
      <c r="G204" s="5">
        <v>932.07</v>
      </c>
      <c r="H204" s="5">
        <v>5.24</v>
      </c>
      <c r="I204" s="5">
        <v>-1.08</v>
      </c>
      <c r="J204" s="6">
        <v>-0.25</v>
      </c>
      <c r="K204" s="5">
        <v>56.9</v>
      </c>
      <c r="L204" s="6">
        <v>0.625</v>
      </c>
      <c r="M204" s="6">
        <v>-1.3137</v>
      </c>
      <c r="N204" s="6">
        <v>0.5</v>
      </c>
      <c r="O204" s="6">
        <v>0.375</v>
      </c>
      <c r="P204" s="6">
        <v>0.375</v>
      </c>
      <c r="Q204" s="7"/>
      <c r="R204" s="7"/>
    </row>
    <row r="205" spans="1:18">
      <c r="A205" s="4" t="s">
        <v>314</v>
      </c>
      <c r="B205" s="4">
        <f t="shared" si="3"/>
        <v>10</v>
      </c>
      <c r="C205" s="4" t="s">
        <v>315</v>
      </c>
      <c r="D205" s="1" t="str">
        <f>IFERROR(VLOOKUP(A205,[1]biopep_DB!$F$2:$J$1654,5,0),)</f>
        <v>Identification of angiotensin-I-converting enzyme inhibitory peptides derived from sodium caseinate hydrolysates produced by Lactobacillus helveticus NCC 2765.</v>
      </c>
      <c r="E205" s="1" t="str">
        <f>IFERROR(VLOOKUP(A205,[1]biopep_DB!$F$2:$L$1654,6,0),0)</f>
        <v>10.1021/jf049510t</v>
      </c>
      <c r="F205" s="1" t="str">
        <f>IFERROR(VLOOKUP(A205,[1]biopep_DB!$F$2:$L$1654,7,0),0)</f>
        <v>15537298</v>
      </c>
      <c r="G205" s="5">
        <v>1158.39</v>
      </c>
      <c r="H205" s="5">
        <v>5.24</v>
      </c>
      <c r="I205" s="5">
        <v>-1.08</v>
      </c>
      <c r="J205" s="6">
        <v>0.56</v>
      </c>
      <c r="K205" s="5">
        <v>47.52</v>
      </c>
      <c r="L205" s="6">
        <v>0.7</v>
      </c>
      <c r="M205" s="6">
        <v>-2.035</v>
      </c>
      <c r="N205" s="6">
        <v>0.6</v>
      </c>
      <c r="O205" s="6">
        <v>0.3</v>
      </c>
      <c r="P205" s="6">
        <v>0.5</v>
      </c>
      <c r="Q205" s="7"/>
      <c r="R205" s="7"/>
    </row>
    <row r="206" spans="1:18">
      <c r="A206" s="4" t="s">
        <v>316</v>
      </c>
      <c r="B206" s="4">
        <f t="shared" si="3"/>
        <v>6</v>
      </c>
      <c r="C206" s="4" t="s">
        <v>317</v>
      </c>
      <c r="D206" s="1" t="str">
        <f>IFERROR(VLOOKUP(A206,[1]biopep_DB!$F$2:$J$1654,5,0),)</f>
        <v>Angiotensin-converting enzyme inhibitory activity of peptides derived from caprine kefir.</v>
      </c>
      <c r="E206" s="1" t="str">
        <f>IFERROR(VLOOKUP(A206,[1]biopep_DB!$F$2:$L$1654,6,0),0)</f>
        <v>10.3168/jds.S0022-0302(05)73032-0</v>
      </c>
      <c r="F206" s="1" t="str">
        <f>IFERROR(VLOOKUP(A206,[1]biopep_DB!$F$2:$L$1654,7,0),0)</f>
        <v>16162521</v>
      </c>
      <c r="G206" s="5">
        <v>790.91</v>
      </c>
      <c r="H206" s="5">
        <v>6.1</v>
      </c>
      <c r="I206" s="5">
        <v>-0.16</v>
      </c>
      <c r="J206" s="6">
        <v>-0.1833</v>
      </c>
      <c r="K206" s="5">
        <v>40.43</v>
      </c>
      <c r="L206" s="6">
        <v>0.5</v>
      </c>
      <c r="M206" s="6">
        <v>-1.14</v>
      </c>
      <c r="N206" s="6">
        <v>0.5</v>
      </c>
      <c r="O206" s="6">
        <v>0.1667</v>
      </c>
      <c r="P206" s="6">
        <v>0.5</v>
      </c>
      <c r="Q206" s="7"/>
      <c r="R206" s="7"/>
    </row>
    <row r="207" spans="1:18">
      <c r="A207" s="4" t="s">
        <v>318</v>
      </c>
      <c r="B207" s="4">
        <f t="shared" si="3"/>
        <v>16</v>
      </c>
      <c r="C207" s="4" t="s">
        <v>315</v>
      </c>
      <c r="D207" s="1" t="str">
        <f>IFERROR(VLOOKUP(A207,[1]biopep_DB!$F$2:$J$1654,5,0),)</f>
        <v>Identification of angiotensin-I-converting enzyme inhibitory peptides derived from sodium caseinate hydrolysates produced by Lactobacillus helveticus NCC 2765.</v>
      </c>
      <c r="E207" s="1" t="str">
        <f>IFERROR(VLOOKUP(A207,[1]biopep_DB!$F$2:$L$1654,6,0),0)</f>
        <v>10.1021/jf049510t</v>
      </c>
      <c r="F207" s="1" t="str">
        <f>IFERROR(VLOOKUP(A207,[1]biopep_DB!$F$2:$L$1654,7,0),0)</f>
        <v>15537298</v>
      </c>
      <c r="G207" s="5">
        <v>1882.16</v>
      </c>
      <c r="H207" s="5">
        <v>4.53</v>
      </c>
      <c r="I207" s="5">
        <v>-1.16</v>
      </c>
      <c r="J207" s="6">
        <v>0.65</v>
      </c>
      <c r="K207" s="5">
        <v>68.39</v>
      </c>
      <c r="L207" s="6">
        <v>0.6875</v>
      </c>
      <c r="M207" s="6">
        <v>-1.5606</v>
      </c>
      <c r="N207" s="6">
        <v>0.3125</v>
      </c>
      <c r="O207" s="6">
        <v>0.25</v>
      </c>
      <c r="P207" s="6">
        <v>0.5</v>
      </c>
      <c r="Q207" s="7"/>
      <c r="R207" s="7"/>
    </row>
    <row r="208" spans="1:18">
      <c r="A208" s="4" t="s">
        <v>319</v>
      </c>
      <c r="B208" s="4">
        <f t="shared" si="3"/>
        <v>2</v>
      </c>
      <c r="C208" s="4" t="s">
        <v>320</v>
      </c>
      <c r="D208" s="1" t="str">
        <f>IFERROR(VLOOKUP(A208,[1]biopep_DB!$F$2:$J$1654,5,0),)</f>
        <v>Angiotensin I-converting enzyme inhibitory activity and insulin secretion stimulative activity of fermented fish sauce.; ACE inhibitory tetrapeptides from Amaranthus hypochondriacus 11S globulin.; What are the ideal properties for functional food peptides with antihypertensive effect? A computational peptidology approach.</v>
      </c>
      <c r="E208" s="1" t="str">
        <f>IFERROR(VLOOKUP(A208,[1]biopep_DB!$F$2:$L$1654,6,0),0)</f>
        <v>10.1016/S1389-1723(03)70138-8; 10.1016/j.phytochem.2009.04.006; 10.1016/j.foodchem.2013.05.140</v>
      </c>
      <c r="F208" s="1" t="str">
        <f>IFERROR(VLOOKUP(A208,[1]biopep_DB!$F$2:$L$1654,7,0),0)</f>
        <v>16233562 19443002 23871047</v>
      </c>
      <c r="G208" s="5">
        <v>244.24</v>
      </c>
      <c r="H208" s="5">
        <v>4.05</v>
      </c>
      <c r="I208" s="5">
        <v>-1.16</v>
      </c>
      <c r="J208" s="6">
        <v>-2.55</v>
      </c>
      <c r="K208" s="5">
        <v>101.3</v>
      </c>
      <c r="L208" s="6">
        <v>0.5</v>
      </c>
      <c r="M208" s="6">
        <v>0.82</v>
      </c>
      <c r="N208" s="6">
        <v>0.5</v>
      </c>
      <c r="O208" s="6">
        <v>0.5</v>
      </c>
      <c r="P208" s="6">
        <v>0</v>
      </c>
      <c r="Q208" s="7"/>
      <c r="R208" s="7"/>
    </row>
    <row r="209" spans="1:18">
      <c r="A209" s="4" t="s">
        <v>321</v>
      </c>
      <c r="B209" s="4">
        <f t="shared" si="3"/>
        <v>9</v>
      </c>
      <c r="C209" s="4" t="s">
        <v>322</v>
      </c>
      <c r="D209" s="1" t="str">
        <f>IFERROR(VLOOKUP(A209,[1]biopep_DB!$F$2:$J$1654,5,0),)</f>
        <v>Inhibition of angiotensin-converting enzyme by synthetic peptide fragments of various beta-caseins.</v>
      </c>
      <c r="E209" s="1" t="str">
        <f>IFERROR(VLOOKUP(A209,[1]biopep_DB!$F$2:$L$1654,6,0),0)</f>
        <v/>
      </c>
      <c r="F209" s="1" t="str">
        <f>IFERROR(VLOOKUP(A209,[1]biopep_DB!$F$2:$L$1654,7,0),0)</f>
        <v>1368548</v>
      </c>
      <c r="G209" s="5">
        <v>1032.19</v>
      </c>
      <c r="H209" s="5">
        <v>4.05</v>
      </c>
      <c r="I209" s="5">
        <v>-1.16</v>
      </c>
      <c r="J209" s="6">
        <v>0.1222</v>
      </c>
      <c r="K209" s="5">
        <v>39.06</v>
      </c>
      <c r="L209" s="6">
        <v>0.6667</v>
      </c>
      <c r="M209" s="6">
        <v>-1.3311</v>
      </c>
      <c r="N209" s="6">
        <v>0.2222</v>
      </c>
      <c r="O209" s="6">
        <v>0.4444</v>
      </c>
      <c r="P209" s="6">
        <v>0.4444</v>
      </c>
      <c r="Q209" s="7"/>
      <c r="R209" s="7"/>
    </row>
    <row r="210" spans="1:18">
      <c r="A210" s="4" t="s">
        <v>323</v>
      </c>
      <c r="B210" s="4">
        <f t="shared" si="3"/>
        <v>3</v>
      </c>
      <c r="C210" s="4" t="s">
        <v>51</v>
      </c>
      <c r="D210" s="1" t="str">
        <f>IFERROR(VLOOKUP(A210,[1]biopep_DB!$F$2:$J$1654,5,0),)</f>
        <v>Angiotensin I-converting enzyme inhibitory peptides generated from in vitro gastrointestinal digestion of pork meat.; Isolation and characterization of peptides with antihypertensive activity in foodstuffs.</v>
      </c>
      <c r="E210" s="1" t="str">
        <f>IFERROR(VLOOKUP(A210,[1]biopep_DB!$F$2:$L$1654,6,0),0)</f>
        <v>10.1021/jf904204n; 10.1080/10408398.2012.664829</v>
      </c>
      <c r="F210" s="1" t="str">
        <f>IFERROR(VLOOKUP(A210,[1]biopep_DB!$F$2:$L$1654,7,0),0)</f>
        <v>20151679 24915368</v>
      </c>
      <c r="G210" s="5">
        <v>400.43</v>
      </c>
      <c r="H210" s="5">
        <v>6.1</v>
      </c>
      <c r="I210" s="5">
        <v>-0.16</v>
      </c>
      <c r="J210" s="6">
        <v>-3.2</v>
      </c>
      <c r="K210" s="5">
        <v>45.73</v>
      </c>
      <c r="L210" s="6">
        <v>0.3333</v>
      </c>
      <c r="M210" s="6">
        <v>1.4533</v>
      </c>
      <c r="N210" s="6">
        <v>0.3333</v>
      </c>
      <c r="O210" s="6">
        <v>0.3333</v>
      </c>
      <c r="P210" s="6">
        <v>0</v>
      </c>
      <c r="Q210" s="7"/>
      <c r="R210" s="7"/>
    </row>
    <row r="211" spans="1:18">
      <c r="A211" s="4" t="s">
        <v>324</v>
      </c>
      <c r="B211" s="4">
        <f t="shared" si="3"/>
        <v>12</v>
      </c>
      <c r="C211" s="4" t="s">
        <v>325</v>
      </c>
      <c r="D211" s="1" t="str">
        <f>IFERROR(VLOOKUP(A211,[1]biopep_DB!$F$2:$J$1654,5,0),)</f>
        <v>Casein fermentate of Lactobacillus animalis DPC6134 contains a range of novel propeptide angiotensin-converting enzyme inhibitors.</v>
      </c>
      <c r="E211" s="1" t="str">
        <f>IFERROR(VLOOKUP(A211,[1]biopep_DB!$F$2:$L$1654,6,0),0)</f>
        <v>10.1128/AEM.00096-07</v>
      </c>
      <c r="F211" s="1" t="str">
        <f>IFERROR(VLOOKUP(A211,[1]biopep_DB!$F$2:$L$1654,7,0),0)</f>
        <v>17483275</v>
      </c>
      <c r="G211" s="5">
        <v>1264.47</v>
      </c>
      <c r="H211" s="5">
        <v>6.1</v>
      </c>
      <c r="I211" s="5">
        <v>-0.16</v>
      </c>
      <c r="J211" s="6">
        <v>-0.0167</v>
      </c>
      <c r="K211" s="5">
        <v>82.34</v>
      </c>
      <c r="L211" s="6">
        <v>0.6667</v>
      </c>
      <c r="M211" s="6">
        <v>-1.125</v>
      </c>
      <c r="N211" s="6">
        <v>0.1667</v>
      </c>
      <c r="O211" s="6">
        <v>0.5</v>
      </c>
      <c r="P211" s="6">
        <v>0.3333</v>
      </c>
      <c r="Q211" s="7"/>
      <c r="R211" s="7"/>
    </row>
    <row r="212" spans="1:18">
      <c r="A212" s="4" t="s">
        <v>326</v>
      </c>
      <c r="B212" s="4">
        <f t="shared" si="3"/>
        <v>13</v>
      </c>
      <c r="C212" s="4"/>
      <c r="G212" s="5">
        <v>1402.47</v>
      </c>
      <c r="H212" s="5">
        <v>4.25</v>
      </c>
      <c r="I212" s="5">
        <v>-2.16</v>
      </c>
      <c r="J212" s="6">
        <v>-1.3154</v>
      </c>
      <c r="K212" s="5">
        <v>92.12</v>
      </c>
      <c r="L212" s="6">
        <v>0.3077</v>
      </c>
      <c r="M212" s="6">
        <v>-0.0677</v>
      </c>
      <c r="N212" s="6">
        <v>0.3077</v>
      </c>
      <c r="O212" s="6">
        <v>0.4615</v>
      </c>
      <c r="P212" s="6">
        <v>0.1538</v>
      </c>
      <c r="Q212" s="7"/>
      <c r="R212" s="7"/>
    </row>
    <row r="213" spans="1:18">
      <c r="A213" s="4" t="s">
        <v>327</v>
      </c>
      <c r="B213" s="4">
        <f t="shared" si="3"/>
        <v>2</v>
      </c>
      <c r="C213" s="4" t="s">
        <v>328</v>
      </c>
      <c r="D213" s="1" t="str">
        <f>IFERROR(VLOOKUP(A213,[1]biopep_DB!$F$2:$J$1654,5,0),)</f>
        <v>Angiotensin I-converting enzyme inhibitory peptides generated from in vitro gastrointestinal digestion of pork meat.; What are the ideal properties for functional food peptides with antihypertensive effect? A computational peptidology approach.; Isolation and characterization of peptides with antihypertensive activity in foodstuffs.</v>
      </c>
      <c r="E213" s="1" t="str">
        <f>IFERROR(VLOOKUP(A213,[1]biopep_DB!$F$2:$L$1654,6,0),0)</f>
        <v>10.1021/jf904204n; 10.1016/j.foodchem.2013.05.140; 10.1080/10408398.2012.664829</v>
      </c>
      <c r="F213" s="1" t="str">
        <f>IFERROR(VLOOKUP(A213,[1]biopep_DB!$F$2:$L$1654,7,0),0)</f>
        <v>20151679 23871047 24915368</v>
      </c>
      <c r="G213" s="5">
        <v>303.31</v>
      </c>
      <c r="H213" s="5">
        <v>6.1</v>
      </c>
      <c r="I213" s="5">
        <v>-0.16</v>
      </c>
      <c r="J213" s="6">
        <v>-4</v>
      </c>
      <c r="K213" s="5">
        <v>5</v>
      </c>
      <c r="L213" s="6">
        <v>0</v>
      </c>
      <c r="M213" s="6">
        <v>2.18</v>
      </c>
      <c r="N213" s="6">
        <v>0.5</v>
      </c>
      <c r="O213" s="6">
        <v>0</v>
      </c>
      <c r="P213" s="6">
        <v>0</v>
      </c>
      <c r="Q213" s="7"/>
      <c r="R213" s="7"/>
    </row>
    <row r="214" spans="1:18">
      <c r="A214" s="4" t="s">
        <v>329</v>
      </c>
      <c r="B214" s="4">
        <f t="shared" si="3"/>
        <v>3</v>
      </c>
      <c r="C214" s="4"/>
      <c r="D214" s="1" t="str">
        <f>IFERROR(VLOOKUP(A214,[1]biopep_DB!$F$2:$J$1654,5,0),)</f>
        <v/>
      </c>
      <c r="E214" s="1" t="str">
        <f>IFERROR(VLOOKUP(A214,[1]biopep_DB!$F$2:$L$1654,6,0),0)</f>
        <v/>
      </c>
      <c r="F214" s="1" t="str">
        <f>IFERROR(VLOOKUP(A214,[1]biopep_DB!$F$2:$L$1654,7,0),0)</f>
        <v/>
      </c>
      <c r="G214" s="5">
        <v>450.49</v>
      </c>
      <c r="H214" s="5">
        <v>6.1</v>
      </c>
      <c r="I214" s="5">
        <v>-0.16</v>
      </c>
      <c r="J214" s="6">
        <v>-1.7333</v>
      </c>
      <c r="K214" s="5">
        <v>6.67</v>
      </c>
      <c r="L214" s="6">
        <v>0.3333</v>
      </c>
      <c r="M214" s="6">
        <v>0.46</v>
      </c>
      <c r="N214" s="6">
        <v>0.3333</v>
      </c>
      <c r="O214" s="6">
        <v>0</v>
      </c>
      <c r="P214" s="6">
        <v>0.3333</v>
      </c>
      <c r="Q214" s="7"/>
      <c r="R214" s="7"/>
    </row>
    <row r="215" spans="1:18">
      <c r="A215" s="4" t="s">
        <v>330</v>
      </c>
      <c r="B215" s="4">
        <f t="shared" si="3"/>
        <v>5</v>
      </c>
      <c r="C215" s="4" t="s">
        <v>31</v>
      </c>
      <c r="D215" s="1" t="str">
        <f>IFERROR(VLOOKUP(A215,[1]biopep_DB!$F$2:$J$1654,5,0),)</f>
        <v/>
      </c>
      <c r="E215" s="1" t="str">
        <f>IFERROR(VLOOKUP(A215,[1]biopep_DB!$F$2:$L$1654,6,0),0)</f>
        <v/>
      </c>
      <c r="F215" s="1" t="str">
        <f>IFERROR(VLOOKUP(A215,[1]biopep_DB!$F$2:$L$1654,7,0),0)</f>
        <v/>
      </c>
      <c r="G215" s="5">
        <v>576.56</v>
      </c>
      <c r="H215" s="5">
        <v>4.37</v>
      </c>
      <c r="I215" s="5">
        <v>-1.16</v>
      </c>
      <c r="J215" s="6">
        <v>-2.52</v>
      </c>
      <c r="K215" s="5">
        <v>-39.04</v>
      </c>
      <c r="L215" s="6">
        <v>0</v>
      </c>
      <c r="M215" s="6">
        <v>1.072</v>
      </c>
      <c r="N215" s="6">
        <v>0.2</v>
      </c>
      <c r="O215" s="6">
        <v>0.4</v>
      </c>
      <c r="P215" s="6">
        <v>0.2</v>
      </c>
      <c r="Q215" s="7"/>
      <c r="R215" s="7"/>
    </row>
    <row r="216" spans="1:18">
      <c r="A216" s="4" t="s">
        <v>331</v>
      </c>
      <c r="B216" s="4">
        <f t="shared" si="3"/>
        <v>8</v>
      </c>
      <c r="C216" s="4" t="s">
        <v>332</v>
      </c>
      <c r="D216" s="1" t="str">
        <f>IFERROR(VLOOKUP(A216,[1]biopep_DB!$F$2:$J$1654,5,0),)</f>
        <v>Angiotensin I converting enzyme inhibitory peptides from simulated in vitro gastrointestinal digestion of cooked eggs.; A new QSAR model, for angiotensin I-converting enzyme inhibitory oligopeptides.; Isolation and characterization of peptides with antihypertensive activity in foodstuffs.</v>
      </c>
      <c r="E216" s="1" t="str">
        <f>IFERROR(VLOOKUP(A216,[1]biopep_DB!$F$2:$L$1654,6,0),0)</f>
        <v>10.1021/jf8028557; 10.1016/j.foodchem.2012.09.092; 10.1080/10408398.2012.664829</v>
      </c>
      <c r="F216" s="1" t="str">
        <f>IFERROR(VLOOKUP(A216,[1]biopep_DB!$F$2:$L$1654,7,0),0)</f>
        <v>19154160 23194537 24915368</v>
      </c>
      <c r="G216" s="5">
        <v>1048.28</v>
      </c>
      <c r="H216" s="5">
        <v>9.7</v>
      </c>
      <c r="I216" s="5">
        <v>1.83</v>
      </c>
      <c r="J216" s="6">
        <v>-0.575</v>
      </c>
      <c r="K216" s="5">
        <v>-32.51</v>
      </c>
      <c r="L216" s="6">
        <v>0.375</v>
      </c>
      <c r="M216" s="6">
        <v>-0.7775</v>
      </c>
      <c r="N216" s="6">
        <v>0.5</v>
      </c>
      <c r="O216" s="6">
        <v>0</v>
      </c>
      <c r="P216" s="6">
        <v>0.5</v>
      </c>
      <c r="Q216" s="7"/>
      <c r="R216" s="7"/>
    </row>
    <row r="217" spans="1:18">
      <c r="A217" s="4" t="s">
        <v>333</v>
      </c>
      <c r="B217" s="4">
        <f t="shared" si="3"/>
        <v>4</v>
      </c>
      <c r="C217" s="4" t="s">
        <v>334</v>
      </c>
      <c r="D217" s="1" t="str">
        <f>IFERROR(VLOOKUP(A217,[1]biopep_DB!$F$2:$J$1654,5,0),)</f>
        <v/>
      </c>
      <c r="E217" s="1" t="str">
        <f>IFERROR(VLOOKUP(A217,[1]biopep_DB!$F$2:$L$1654,6,0),0)</f>
        <v/>
      </c>
      <c r="F217" s="1" t="str">
        <f>IFERROR(VLOOKUP(A217,[1]biopep_DB!$F$2:$L$1654,7,0),0)</f>
        <v/>
      </c>
      <c r="G217" s="5">
        <v>515.6</v>
      </c>
      <c r="H217" s="5">
        <v>6.1</v>
      </c>
      <c r="I217" s="5">
        <v>-0.16</v>
      </c>
      <c r="J217" s="6">
        <v>0</v>
      </c>
      <c r="K217" s="5">
        <v>7.5</v>
      </c>
      <c r="L217" s="6">
        <v>0.5</v>
      </c>
      <c r="M217" s="6">
        <v>-1.15</v>
      </c>
      <c r="N217" s="6">
        <v>0.5</v>
      </c>
      <c r="O217" s="6">
        <v>0</v>
      </c>
      <c r="P217" s="6">
        <v>0.5</v>
      </c>
      <c r="Q217" s="7"/>
      <c r="R217" s="7"/>
    </row>
    <row r="218" spans="1:18">
      <c r="A218" s="4" t="s">
        <v>335</v>
      </c>
      <c r="B218" s="4">
        <f t="shared" si="3"/>
        <v>3</v>
      </c>
      <c r="C218" s="4"/>
      <c r="D218" s="1" t="str">
        <f>IFERROR(VLOOKUP(A218,[1]biopep_DB!$F$2:$J$1654,5,0),)</f>
        <v/>
      </c>
      <c r="E218" s="1" t="str">
        <f>IFERROR(VLOOKUP(A218,[1]biopep_DB!$F$2:$L$1654,6,0),0)</f>
        <v/>
      </c>
      <c r="F218" s="1" t="str">
        <f>IFERROR(VLOOKUP(A218,[1]biopep_DB!$F$2:$L$1654,7,0),0)</f>
        <v/>
      </c>
      <c r="G218" s="5">
        <v>466.49</v>
      </c>
      <c r="H218" s="5">
        <v>6.1</v>
      </c>
      <c r="I218" s="5">
        <v>-0.16</v>
      </c>
      <c r="J218" s="6">
        <v>-3.1</v>
      </c>
      <c r="K218" s="5">
        <v>-18.47</v>
      </c>
      <c r="L218" s="6">
        <v>0</v>
      </c>
      <c r="M218" s="6">
        <v>1.5</v>
      </c>
      <c r="N218" s="6">
        <v>0.3333</v>
      </c>
      <c r="O218" s="6">
        <v>0</v>
      </c>
      <c r="P218" s="6">
        <v>0.3333</v>
      </c>
      <c r="Q218" s="7"/>
      <c r="R218" s="7"/>
    </row>
    <row r="219" spans="1:18">
      <c r="A219" s="4" t="s">
        <v>336</v>
      </c>
      <c r="B219" s="4">
        <f t="shared" si="3"/>
        <v>5</v>
      </c>
      <c r="C219" s="4" t="s">
        <v>337</v>
      </c>
      <c r="D219" s="1" t="str">
        <f>IFERROR(VLOOKUP(A219,[1]biopep_DB!$F$2:$J$1654,5,0),)</f>
        <v>Isolation and characterization of peptides with antihypertensive activity in foodstuffs.</v>
      </c>
      <c r="E219" s="1" t="str">
        <f>IFERROR(VLOOKUP(A219,[1]biopep_DB!$F$2:$L$1654,6,0),0)</f>
        <v>10.1080/10408398.2012.664829</v>
      </c>
      <c r="F219" s="1" t="str">
        <f>IFERROR(VLOOKUP(A219,[1]biopep_DB!$F$2:$L$1654,7,0),0)</f>
        <v>24915368</v>
      </c>
      <c r="G219" s="5">
        <v>676.76</v>
      </c>
      <c r="H219" s="5">
        <v>6.1</v>
      </c>
      <c r="I219" s="5">
        <v>-0.16</v>
      </c>
      <c r="J219" s="6">
        <v>-1.28</v>
      </c>
      <c r="K219" s="5">
        <v>17.6</v>
      </c>
      <c r="L219" s="6">
        <v>0.4</v>
      </c>
      <c r="M219" s="6">
        <v>-0.084</v>
      </c>
      <c r="N219" s="6">
        <v>0.2</v>
      </c>
      <c r="O219" s="6">
        <v>0.2</v>
      </c>
      <c r="P219" s="6">
        <v>0.4</v>
      </c>
      <c r="Q219" s="7"/>
      <c r="R219" s="7"/>
    </row>
    <row r="220" spans="1:18">
      <c r="A220" s="4" t="s">
        <v>338</v>
      </c>
      <c r="B220" s="4">
        <f t="shared" si="3"/>
        <v>6</v>
      </c>
      <c r="C220" s="4"/>
      <c r="D220" s="1" t="str">
        <f>IFERROR(VLOOKUP(A220,[1]biopep_DB!$F$2:$J$1654,5,0),)</f>
        <v/>
      </c>
      <c r="E220" s="1" t="str">
        <f>IFERROR(VLOOKUP(A220,[1]biopep_DB!$F$2:$L$1654,6,0),0)</f>
        <v/>
      </c>
      <c r="F220" s="1" t="str">
        <f>IFERROR(VLOOKUP(A220,[1]biopep_DB!$F$2:$L$1654,7,0),0)</f>
        <v/>
      </c>
      <c r="G220" s="5">
        <v>678.77</v>
      </c>
      <c r="H220" s="5">
        <v>4.05</v>
      </c>
      <c r="I220" s="5">
        <v>-1.16</v>
      </c>
      <c r="J220" s="6">
        <v>1.55</v>
      </c>
      <c r="K220" s="5">
        <v>40.43</v>
      </c>
      <c r="L220" s="6">
        <v>0.6667</v>
      </c>
      <c r="M220" s="6">
        <v>-2.025</v>
      </c>
      <c r="N220" s="6">
        <v>0.3333</v>
      </c>
      <c r="O220" s="6">
        <v>0.1667</v>
      </c>
      <c r="P220" s="6">
        <v>0.5</v>
      </c>
      <c r="Q220" s="7"/>
      <c r="R220" s="7"/>
    </row>
    <row r="221" spans="1:18">
      <c r="A221" s="4" t="s">
        <v>339</v>
      </c>
      <c r="B221" s="4">
        <f t="shared" si="3"/>
        <v>6</v>
      </c>
      <c r="C221" s="4"/>
      <c r="D221" s="1" t="str">
        <f>IFERROR(VLOOKUP(A221,[1]biopep_DB!$F$2:$J$1654,5,0),)</f>
        <v>Antihypertensive peptides from food proteins: a review.</v>
      </c>
      <c r="E221" s="1" t="str">
        <f>IFERROR(VLOOKUP(A221,[1]biopep_DB!$F$2:$L$1654,6,0),0)</f>
        <v>10.1039/c2fo10192k</v>
      </c>
      <c r="F221" s="1" t="str">
        <f>IFERROR(VLOOKUP(A221,[1]biopep_DB!$F$2:$L$1654,7,0),0)</f>
        <v>22249830</v>
      </c>
      <c r="G221" s="5">
        <v>721.8</v>
      </c>
      <c r="H221" s="5">
        <v>4.05</v>
      </c>
      <c r="I221" s="5">
        <v>-1.16</v>
      </c>
      <c r="J221" s="6">
        <v>0.6667</v>
      </c>
      <c r="K221" s="5">
        <v>15.38</v>
      </c>
      <c r="L221" s="6">
        <v>0.5</v>
      </c>
      <c r="M221" s="6">
        <v>-1.4533</v>
      </c>
      <c r="N221" s="6">
        <v>0.1667</v>
      </c>
      <c r="O221" s="6">
        <v>0.3333</v>
      </c>
      <c r="P221" s="6">
        <v>0.5</v>
      </c>
      <c r="Q221" s="7"/>
      <c r="R221" s="7"/>
    </row>
    <row r="222" spans="1:18">
      <c r="A222" s="4" t="s">
        <v>340</v>
      </c>
      <c r="B222" s="4">
        <f t="shared" si="3"/>
        <v>5</v>
      </c>
      <c r="C222" s="4" t="s">
        <v>31</v>
      </c>
      <c r="D222" s="1" t="str">
        <f>IFERROR(VLOOKUP(A222,[1]biopep_DB!$F$2:$J$1654,5,0),)</f>
        <v/>
      </c>
      <c r="E222" s="1" t="str">
        <f>IFERROR(VLOOKUP(A222,[1]biopep_DB!$F$2:$L$1654,6,0),0)</f>
        <v/>
      </c>
      <c r="F222" s="1" t="str">
        <f>IFERROR(VLOOKUP(A222,[1]biopep_DB!$F$2:$L$1654,7,0),0)</f>
        <v/>
      </c>
      <c r="G222" s="5">
        <v>547.52</v>
      </c>
      <c r="H222" s="5">
        <v>4.05</v>
      </c>
      <c r="I222" s="5">
        <v>-1.16</v>
      </c>
      <c r="J222" s="6">
        <v>-2.32</v>
      </c>
      <c r="K222" s="5">
        <v>-52.12</v>
      </c>
      <c r="L222" s="6">
        <v>0</v>
      </c>
      <c r="M222" s="6">
        <v>0.788</v>
      </c>
      <c r="N222" s="6">
        <v>0.2</v>
      </c>
      <c r="O222" s="6">
        <v>0.4</v>
      </c>
      <c r="P222" s="6">
        <v>0.2</v>
      </c>
      <c r="Q222" s="7"/>
      <c r="R222" s="7"/>
    </row>
    <row r="223" spans="1:18">
      <c r="A223" s="4" t="s">
        <v>341</v>
      </c>
      <c r="B223" s="4">
        <f t="shared" si="3"/>
        <v>10</v>
      </c>
      <c r="C223" s="4"/>
      <c r="G223" s="5">
        <v>1092.22</v>
      </c>
      <c r="H223" s="5">
        <v>4.53</v>
      </c>
      <c r="I223" s="5">
        <v>-1.16</v>
      </c>
      <c r="J223" s="6">
        <v>-0.94</v>
      </c>
      <c r="K223" s="5">
        <v>20.72</v>
      </c>
      <c r="L223" s="6">
        <v>0.3</v>
      </c>
      <c r="M223" s="6">
        <v>-0.199</v>
      </c>
      <c r="N223" s="6">
        <v>0.5</v>
      </c>
      <c r="O223" s="6">
        <v>0.3</v>
      </c>
      <c r="P223" s="6">
        <v>0.3</v>
      </c>
      <c r="Q223" s="7"/>
      <c r="R223" s="7"/>
    </row>
    <row r="224" spans="1:18">
      <c r="A224" s="4" t="s">
        <v>342</v>
      </c>
      <c r="B224" s="4">
        <f t="shared" si="3"/>
        <v>2</v>
      </c>
      <c r="C224" s="4" t="s">
        <v>62</v>
      </c>
      <c r="D224" s="1" t="str">
        <f>IFERROR(VLOOKUP(A224,[1]biopep_DB!$F$2:$J$1654,5,0),)</f>
        <v>Quantitative structure-activity relationship study of bitter di- and tri-peptides including relationship with angiotensin I-converting enzyme inhibitory activity.; 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
      <c r="E224" s="1" t="str">
        <f>IFERROR(VLOOKUP(A224,[1]biopep_DB!$F$2:$L$1654,6,0),0)</f>
        <v>10.1002/psc.800; 10.1007/s00216-008-1990-3; 10.1016/j.jprot.2013.06.023</v>
      </c>
      <c r="F224" s="1" t="str">
        <f>IFERROR(VLOOKUP(A224,[1]biopep_DB!$F$2:$L$1654,7,0),0)</f>
        <v>17117396 18392815 23806758</v>
      </c>
      <c r="G224" s="5">
        <v>246.26</v>
      </c>
      <c r="H224" s="5">
        <v>4.05</v>
      </c>
      <c r="I224" s="5">
        <v>-1.16</v>
      </c>
      <c r="J224" s="6">
        <v>0.35</v>
      </c>
      <c r="K224" s="5">
        <v>5</v>
      </c>
      <c r="L224" s="6">
        <v>0.5</v>
      </c>
      <c r="M224" s="6">
        <v>-1.2</v>
      </c>
      <c r="N224" s="6">
        <v>0.5</v>
      </c>
      <c r="O224" s="6">
        <v>0</v>
      </c>
      <c r="P224" s="6">
        <v>0.5</v>
      </c>
      <c r="Q224" s="7"/>
      <c r="R224" s="7"/>
    </row>
    <row r="225" spans="1:18">
      <c r="A225" s="4" t="s">
        <v>343</v>
      </c>
      <c r="B225" s="4">
        <f t="shared" si="3"/>
        <v>10</v>
      </c>
      <c r="C225" s="4"/>
      <c r="D225" s="1" t="str">
        <f>IFERROR(VLOOKUP(A225,[1]biopep_DB!$F$2:$J$1654,5,0),)</f>
        <v/>
      </c>
      <c r="E225" s="1" t="str">
        <f>IFERROR(VLOOKUP(A225,[1]biopep_DB!$F$2:$L$1654,6,0),0)</f>
        <v/>
      </c>
      <c r="F225" s="1" t="str">
        <f>IFERROR(VLOOKUP(A225,[1]biopep_DB!$F$2:$L$1654,7,0),0)</f>
        <v/>
      </c>
      <c r="G225" s="5">
        <v>1246.41</v>
      </c>
      <c r="H225" s="5">
        <v>4.53</v>
      </c>
      <c r="I225" s="5">
        <v>-1.16</v>
      </c>
      <c r="J225" s="6">
        <v>-0.01</v>
      </c>
      <c r="K225" s="5">
        <v>28.26</v>
      </c>
      <c r="L225" s="6">
        <v>0.5</v>
      </c>
      <c r="M225" s="6">
        <v>-1.254</v>
      </c>
      <c r="N225" s="6">
        <v>0.5</v>
      </c>
      <c r="O225" s="6">
        <v>0.2</v>
      </c>
      <c r="P225" s="6">
        <v>0.5</v>
      </c>
      <c r="Q225" s="7"/>
      <c r="R225" s="7"/>
    </row>
    <row r="226" spans="1:18">
      <c r="A226" s="4" t="s">
        <v>344</v>
      </c>
      <c r="B226" s="4">
        <f t="shared" si="3"/>
        <v>4</v>
      </c>
      <c r="C226" s="4" t="s">
        <v>311</v>
      </c>
      <c r="D226" s="1" t="str">
        <f>IFERROR(VLOOKUP(A226,[1]biopep_DB!$F$2:$J$1654,5,0),)</f>
        <v>Inhibition of angiotensin-converting enzyme by synthetic peptide fragments of various beta-caseins.</v>
      </c>
      <c r="E226" s="1" t="str">
        <f>IFERROR(VLOOKUP(A226,[1]biopep_DB!$F$2:$L$1654,6,0),0)</f>
        <v/>
      </c>
      <c r="F226" s="1" t="str">
        <f>IFERROR(VLOOKUP(A226,[1]biopep_DB!$F$2:$L$1654,7,0),0)</f>
        <v>1368548</v>
      </c>
      <c r="G226" s="5">
        <v>456.53</v>
      </c>
      <c r="H226" s="5">
        <v>4.05</v>
      </c>
      <c r="I226" s="5">
        <v>-1.16</v>
      </c>
      <c r="J226" s="6">
        <v>0.725</v>
      </c>
      <c r="K226" s="5">
        <v>55.65</v>
      </c>
      <c r="L226" s="6">
        <v>0.75</v>
      </c>
      <c r="M226" s="6">
        <v>-1.83</v>
      </c>
      <c r="N226" s="6">
        <v>0.5</v>
      </c>
      <c r="O226" s="6">
        <v>0.25</v>
      </c>
      <c r="P226" s="6">
        <v>0.5</v>
      </c>
      <c r="Q226" s="7"/>
      <c r="R226" s="7"/>
    </row>
    <row r="227" spans="1:18">
      <c r="A227" s="4" t="s">
        <v>345</v>
      </c>
      <c r="B227" s="4">
        <f t="shared" si="3"/>
        <v>10</v>
      </c>
      <c r="C227" s="4" t="s">
        <v>346</v>
      </c>
      <c r="D227" s="1" t="str">
        <f>IFERROR(VLOOKUP(A227,[1]biopep_DB!$F$2:$J$1654,5,0),)</f>
        <v>Angiotensin I converting enzyme (ACE) inhibitory peptide derived from the sauce of fermented blue mussel, Mytilus edulis.; Review on the angiotensin-I-converting enzyme (ACE) inhibitor peptides from marine proteins.; Isolation and characterization of peptides with antihypertensive activity in foodstuffs.</v>
      </c>
      <c r="E227" s="1" t="str">
        <f>IFERROR(VLOOKUP(A227,[1]biopep_DB!$F$2:$L$1654,6,0),0)</f>
        <v>10.1016/j.biortech.2005.01.001; 10.1007/s12010-012-0024-y; 10.1080/10408398.2012.664829</v>
      </c>
      <c r="F227" s="1" t="str">
        <f>IFERROR(VLOOKUP(A227,[1]biopep_DB!$F$2:$L$1654,7,0),0)</f>
        <v>15978996 23271625 24915368</v>
      </c>
      <c r="G227" s="5">
        <v>1050.19</v>
      </c>
      <c r="H227" s="5">
        <v>4.05</v>
      </c>
      <c r="I227" s="5">
        <v>-1.16</v>
      </c>
      <c r="J227" s="6">
        <v>0.1</v>
      </c>
      <c r="K227" s="5">
        <v>25.19</v>
      </c>
      <c r="L227" s="6">
        <v>0.5</v>
      </c>
      <c r="M227" s="6">
        <v>-1.16</v>
      </c>
      <c r="N227" s="6">
        <v>0.4</v>
      </c>
      <c r="O227" s="6">
        <v>0.4</v>
      </c>
      <c r="P227" s="6">
        <v>0.3</v>
      </c>
      <c r="Q227" s="7"/>
      <c r="R227" s="7"/>
    </row>
    <row r="228" spans="1:18">
      <c r="A228" s="4" t="s">
        <v>347</v>
      </c>
      <c r="B228" s="4">
        <f t="shared" si="3"/>
        <v>10</v>
      </c>
      <c r="C228" s="4" t="s">
        <v>348</v>
      </c>
      <c r="D228" s="1" t="str">
        <f>IFERROR(VLOOKUP(A228,[1]biopep_DB!$F$2:$J$1654,5,0),)</f>
        <v>Angiotensin converting enzyme inhibitory peptides derived from food proteins: biochemistry, bioactivity and production.; A new QSAR model, for angiotensin I-converting enzyme inhibitory oligopeptides.</v>
      </c>
      <c r="E228" s="1" t="str">
        <f>IFERROR(VLOOKUP(A228,[1]biopep_DB!$F$2:$L$1654,6,0),0)</f>
        <v>10.2174/138161207780363068; 10.1016/j.foodchem.2012.09.092</v>
      </c>
      <c r="F228" s="1" t="str">
        <f>IFERROR(VLOOKUP(A228,[1]biopep_DB!$F$2:$L$1654,7,0),0)</f>
        <v>17430180 23194537</v>
      </c>
      <c r="G228" s="5">
        <v>1050.19</v>
      </c>
      <c r="H228" s="5">
        <v>4.05</v>
      </c>
      <c r="I228" s="5">
        <v>-1.16</v>
      </c>
      <c r="J228" s="6">
        <v>0.1</v>
      </c>
      <c r="K228" s="5">
        <v>32.11</v>
      </c>
      <c r="L228" s="6">
        <v>0.5</v>
      </c>
      <c r="M228" s="6">
        <v>-1.16</v>
      </c>
      <c r="N228" s="6">
        <v>0.4</v>
      </c>
      <c r="O228" s="6">
        <v>0.4</v>
      </c>
      <c r="P228" s="6">
        <v>0.3</v>
      </c>
      <c r="Q228" s="7"/>
      <c r="R228" s="7"/>
    </row>
    <row r="229" spans="1:18">
      <c r="A229" s="4" t="s">
        <v>349</v>
      </c>
      <c r="B229" s="4">
        <f t="shared" si="3"/>
        <v>4</v>
      </c>
      <c r="C229" s="4" t="s">
        <v>350</v>
      </c>
      <c r="D229" s="1" t="str">
        <f>IFERROR(VLOOKUP(A229,[1]biopep_DB!$F$2:$J$1654,5,0),)</f>
        <v/>
      </c>
      <c r="E229" s="1" t="str">
        <f>IFERROR(VLOOKUP(A229,[1]biopep_DB!$F$2:$L$1654,6,0),0)</f>
        <v/>
      </c>
      <c r="F229" s="1" t="str">
        <f>IFERROR(VLOOKUP(A229,[1]biopep_DB!$F$2:$L$1654,7,0),0)</f>
        <v/>
      </c>
      <c r="G229" s="5">
        <v>471.55</v>
      </c>
      <c r="H229" s="5">
        <v>6.1</v>
      </c>
      <c r="I229" s="5">
        <v>-0.16</v>
      </c>
      <c r="J229" s="6">
        <v>-1.2</v>
      </c>
      <c r="K229" s="5">
        <v>55.65</v>
      </c>
      <c r="L229" s="6">
        <v>0.5</v>
      </c>
      <c r="M229" s="6">
        <v>-0.205</v>
      </c>
      <c r="N229" s="6">
        <v>0.5</v>
      </c>
      <c r="O229" s="6">
        <v>0.25</v>
      </c>
      <c r="P229" s="6">
        <v>0.25</v>
      </c>
      <c r="Q229" s="7"/>
      <c r="R229" s="7"/>
    </row>
    <row r="230" spans="1:18">
      <c r="A230" s="4" t="s">
        <v>351</v>
      </c>
      <c r="B230" s="4">
        <f t="shared" si="3"/>
        <v>2</v>
      </c>
      <c r="C230" s="4" t="s">
        <v>62</v>
      </c>
      <c r="D230" s="1" t="str">
        <f>IFERROR(VLOOKUP(A230,[1]biopep_DB!$F$2:$J$1654,5,0),)</f>
        <v>Application of at-line two-dimensional liquid chromatography-mass spectrometry for identification of small hydrophilic angiotensin I-inhibiting peptides in milk hydrolysates.</v>
      </c>
      <c r="E230" s="1" t="str">
        <f>IFERROR(VLOOKUP(A230,[1]biopep_DB!$F$2:$L$1654,6,0),0)</f>
        <v>10.1007/s00216-008-1990-3</v>
      </c>
      <c r="F230" s="1" t="str">
        <f>IFERROR(VLOOKUP(A230,[1]biopep_DB!$F$2:$L$1654,7,0),0)</f>
        <v>18392815</v>
      </c>
      <c r="G230" s="5">
        <v>333.34</v>
      </c>
      <c r="H230" s="5">
        <v>4.05</v>
      </c>
      <c r="I230" s="5">
        <v>-1.16</v>
      </c>
      <c r="J230" s="6">
        <v>-2.2</v>
      </c>
      <c r="K230" s="5">
        <v>-70.15</v>
      </c>
      <c r="L230" s="6">
        <v>0.5</v>
      </c>
      <c r="M230" s="6">
        <v>-0.345</v>
      </c>
      <c r="N230" s="6">
        <v>0.5</v>
      </c>
      <c r="O230" s="6">
        <v>0</v>
      </c>
      <c r="P230" s="6">
        <v>0.5</v>
      </c>
      <c r="Q230" s="7"/>
      <c r="R230" s="7"/>
    </row>
    <row r="231" spans="1:18">
      <c r="A231" s="4" t="s">
        <v>352</v>
      </c>
      <c r="B231" s="4">
        <f t="shared" si="3"/>
        <v>9</v>
      </c>
      <c r="C231" s="4"/>
      <c r="D231" s="1" t="str">
        <f>IFERROR(VLOOKUP(A231,[1]biopep_DB!$F$2:$J$1654,5,0),)</f>
        <v>QSAR study on angiotensin-converting enzyme inhibitor oligopeptides based on a novel set of sequence information descriptors.</v>
      </c>
      <c r="E231" s="1" t="str">
        <f>IFERROR(VLOOKUP(A231,[1]biopep_DB!$F$2:$L$1654,6,0),0)</f>
        <v>10.1007/s00894-010-0862-x</v>
      </c>
      <c r="F231" s="1" t="str">
        <f>IFERROR(VLOOKUP(A231,[1]biopep_DB!$F$2:$L$1654,7,0),0)</f>
        <v>20941517</v>
      </c>
      <c r="G231" s="5">
        <v>1119.27</v>
      </c>
      <c r="H231" s="5">
        <v>6.1</v>
      </c>
      <c r="I231" s="5">
        <v>-0.16</v>
      </c>
      <c r="J231" s="6">
        <v>-1.5889</v>
      </c>
      <c r="K231" s="5">
        <v>44.81</v>
      </c>
      <c r="L231" s="6">
        <v>0.6667</v>
      </c>
      <c r="M231" s="6">
        <v>-0.17</v>
      </c>
      <c r="N231" s="6">
        <v>0.1111</v>
      </c>
      <c r="O231" s="6">
        <v>0.4444</v>
      </c>
      <c r="P231" s="6">
        <v>0.2222</v>
      </c>
      <c r="Q231" s="7"/>
      <c r="R231" s="7"/>
    </row>
    <row r="232" spans="1:18">
      <c r="A232" s="4" t="s">
        <v>353</v>
      </c>
      <c r="B232" s="4">
        <f t="shared" si="3"/>
        <v>2</v>
      </c>
      <c r="C232" s="4" t="s">
        <v>206</v>
      </c>
      <c r="D232" s="1" t="str">
        <f>IFERROR(VLOOKUP(A232,[1]biopep_DB!$F$2:$J$1654,5,0),)</f>
        <v>Review on the angiotensin-I-converting enzyme (ACE) inhibitor peptides from marine proteins.; What are the ideal properties for functional food peptides with antihypertensive effect? A computational peptidology approach.</v>
      </c>
      <c r="E232" s="1" t="str">
        <f>IFERROR(VLOOKUP(A232,[1]biopep_DB!$F$2:$L$1654,6,0),0)</f>
        <v>10.1007/s12010-012-0024-y; 10.1016/j.foodchem.2013.05.140</v>
      </c>
      <c r="F232" s="1" t="str">
        <f>IFERROR(VLOOKUP(A232,[1]biopep_DB!$F$2:$L$1654,7,0),0)</f>
        <v>23271625 23871047</v>
      </c>
      <c r="G232" s="5">
        <v>310.3</v>
      </c>
      <c r="H232" s="5">
        <v>4.05</v>
      </c>
      <c r="I232" s="5">
        <v>-1.16</v>
      </c>
      <c r="J232" s="6">
        <v>-2.4</v>
      </c>
      <c r="K232" s="5">
        <v>5</v>
      </c>
      <c r="L232" s="6">
        <v>0</v>
      </c>
      <c r="M232" s="6">
        <v>0.89</v>
      </c>
      <c r="N232" s="6">
        <v>0.5</v>
      </c>
      <c r="O232" s="6">
        <v>0</v>
      </c>
      <c r="P232" s="6">
        <v>0.5</v>
      </c>
      <c r="Q232" s="7"/>
      <c r="R232" s="7"/>
    </row>
    <row r="233" spans="1:18">
      <c r="A233" s="4" t="s">
        <v>354</v>
      </c>
      <c r="B233" s="4">
        <f t="shared" si="3"/>
        <v>9</v>
      </c>
      <c r="C233" s="4"/>
      <c r="G233" s="5">
        <v>1004.06</v>
      </c>
      <c r="H233" s="5">
        <v>5.96</v>
      </c>
      <c r="I233" s="5">
        <v>-0.24</v>
      </c>
      <c r="J233" s="6">
        <v>-1.2889</v>
      </c>
      <c r="K233" s="5">
        <v>85.56</v>
      </c>
      <c r="L233" s="6">
        <v>0.4444</v>
      </c>
      <c r="M233" s="6">
        <v>0.14</v>
      </c>
      <c r="N233" s="6">
        <v>0.2222</v>
      </c>
      <c r="O233" s="6">
        <v>0.4444</v>
      </c>
      <c r="P233" s="6">
        <v>0.1111</v>
      </c>
      <c r="Q233" s="7"/>
      <c r="R233" s="7"/>
    </row>
    <row r="234" spans="1:18">
      <c r="A234" s="4" t="s">
        <v>355</v>
      </c>
      <c r="B234" s="4">
        <f t="shared" si="3"/>
        <v>3</v>
      </c>
      <c r="C234" s="4" t="s">
        <v>36</v>
      </c>
      <c r="D234" s="1" t="str">
        <f>IFERROR(VLOOKUP(A234,[1]biopep_DB!$F$2:$J$1654,5,0),)</f>
        <v>Structural requirements of Angiotensin I-converting enzyme inhibitory peptides: quantitative structure-activity relationship study of di- and tripeptides.; Angiotensin converting enzyme inhibitory peptides derived from food proteins: biochemistry, bioactivity and production.; Review on the angiotensin-I-converting enzyme (ACE) inhibitor peptides from marine proteins.; Vegetable foods: a cheap source of proteins and peptides with antihypertensive, antioxidant, and other less occurrence bioactivities.</v>
      </c>
      <c r="E234" s="1" t="str">
        <f>IFERROR(VLOOKUP(A234,[1]biopep_DB!$F$2:$L$1654,6,0),0)</f>
        <v>10.1021/jf051263l; 10.2174/138161207780363068; 10.1007/s12010-012-0024-y; 10.1016/j.talanta.2012.12.041</v>
      </c>
      <c r="F234" s="1" t="str">
        <f>IFERROR(VLOOKUP(A234,[1]biopep_DB!$F$2:$L$1654,7,0),0)</f>
        <v>16448176 17430180 23271625 23598136</v>
      </c>
      <c r="G234" s="5">
        <v>349.42</v>
      </c>
      <c r="H234" s="5">
        <v>5.53</v>
      </c>
      <c r="I234" s="5">
        <v>-0.24</v>
      </c>
      <c r="J234" s="6">
        <v>2.8</v>
      </c>
      <c r="K234" s="5">
        <v>6.67</v>
      </c>
      <c r="L234" s="6">
        <v>1</v>
      </c>
      <c r="M234" s="6">
        <v>-3.2367</v>
      </c>
      <c r="N234" s="6">
        <v>0.6667</v>
      </c>
      <c r="O234" s="6">
        <v>0</v>
      </c>
      <c r="P234" s="6">
        <v>0.6667</v>
      </c>
      <c r="Q234" s="7"/>
      <c r="R234" s="7"/>
    </row>
    <row r="235" spans="1:18">
      <c r="A235" s="4" t="s">
        <v>356</v>
      </c>
      <c r="B235" s="4">
        <f t="shared" si="3"/>
        <v>5</v>
      </c>
      <c r="C235" s="4" t="s">
        <v>357</v>
      </c>
      <c r="D235" s="1" t="str">
        <f>IFERROR(VLOOKUP(A235,[1]biopep_DB!$F$2:$J$1654,5,0),)</f>
        <v>Novel angiotensin I-converting enzyme inhibitory peptides derived from edible mushroom Agaricus bisporus (J.E. Lange) Imbach identified by LC-MS/MS.</v>
      </c>
      <c r="E235" s="1" t="str">
        <f>IFERROR(VLOOKUP(A235,[1]biopep_DB!$F$2:$L$1654,6,0),0)</f>
        <v>10.1016/j.foodchem.2013.10.053</v>
      </c>
      <c r="F235" s="1" t="str">
        <f>IFERROR(VLOOKUP(A235,[1]biopep_DB!$F$2:$L$1654,7,0),0)</f>
        <v>24262574</v>
      </c>
      <c r="G235" s="5">
        <v>549.68</v>
      </c>
      <c r="H235" s="5">
        <v>5.52</v>
      </c>
      <c r="I235" s="5">
        <v>-0.25</v>
      </c>
      <c r="J235" s="6">
        <v>1.86</v>
      </c>
      <c r="K235" s="5">
        <v>31.44</v>
      </c>
      <c r="L235" s="6">
        <v>0.8</v>
      </c>
      <c r="M235" s="6">
        <v>-2.198</v>
      </c>
      <c r="N235" s="6">
        <v>0.4</v>
      </c>
      <c r="O235" s="6">
        <v>0.2</v>
      </c>
      <c r="P235" s="6">
        <v>0.4</v>
      </c>
      <c r="Q235" s="7"/>
      <c r="R235" s="7"/>
    </row>
    <row r="236" spans="1:18">
      <c r="A236" s="4" t="s">
        <v>358</v>
      </c>
      <c r="B236" s="4">
        <f t="shared" si="3"/>
        <v>6</v>
      </c>
      <c r="C236" s="4" t="s">
        <v>359</v>
      </c>
      <c r="D236" s="1" t="str">
        <f>IFERROR(VLOOKUP(A236,[1]biopep_DB!$F$2:$J$1654,5,0),)</f>
        <v>Randomized controlled trial of sour milk on blood pressure in borderline hypertensive men.; A new QSAR model, for angiotensin I-converting enzyme inhibitory oligopeptides.</v>
      </c>
      <c r="E236" s="1" t="str">
        <f>IFERROR(VLOOKUP(A236,[1]biopep_DB!$F$2:$L$1654,6,0),0)</f>
        <v>10.1016/j.amjhyper.2004.03.674; 10.1016/j.foodchem.2012.09.092</v>
      </c>
      <c r="F236" s="1" t="str">
        <f>IFERROR(VLOOKUP(A236,[1]biopep_DB!$F$2:$L$1654,7,0),0)</f>
        <v>15288885 23194537</v>
      </c>
      <c r="G236" s="5">
        <v>737.84</v>
      </c>
      <c r="H236" s="5">
        <v>5.52</v>
      </c>
      <c r="I236" s="5">
        <v>-0.24</v>
      </c>
      <c r="J236" s="6">
        <v>0.3333</v>
      </c>
      <c r="K236" s="5">
        <v>59.97</v>
      </c>
      <c r="L236" s="6">
        <v>0.6667</v>
      </c>
      <c r="M236" s="6">
        <v>-1.3683</v>
      </c>
      <c r="N236" s="6">
        <v>0.3333</v>
      </c>
      <c r="O236" s="6">
        <v>0.1667</v>
      </c>
      <c r="P236" s="6">
        <v>0.5</v>
      </c>
      <c r="Q236" s="7"/>
      <c r="R236" s="7"/>
    </row>
    <row r="237" spans="1:18">
      <c r="A237" s="4" t="s">
        <v>360</v>
      </c>
      <c r="B237" s="4">
        <f t="shared" si="3"/>
        <v>8</v>
      </c>
      <c r="C237" s="4" t="s">
        <v>359</v>
      </c>
      <c r="D237" s="1" t="str">
        <f>IFERROR(VLOOKUP(A237,[1]biopep_DB!$F$2:$J$1654,5,0),)</f>
        <v>A new QSAR model, for angiotensin I-converting enzyme inhibitory oligopeptides.</v>
      </c>
      <c r="E237" s="1" t="str">
        <f>IFERROR(VLOOKUP(A237,[1]biopep_DB!$F$2:$L$1654,6,0),0)</f>
        <v>10.1016/j.foodchem.2012.09.092</v>
      </c>
      <c r="F237" s="1" t="str">
        <f>IFERROR(VLOOKUP(A237,[1]biopep_DB!$F$2:$L$1654,7,0),0)</f>
        <v>23194537</v>
      </c>
      <c r="G237" s="5">
        <v>979.17</v>
      </c>
      <c r="H237" s="5">
        <v>8.59</v>
      </c>
      <c r="I237" s="5">
        <v>0.76</v>
      </c>
      <c r="J237" s="6">
        <v>0.2375</v>
      </c>
      <c r="K237" s="5">
        <v>36.86</v>
      </c>
      <c r="L237" s="6">
        <v>0.625</v>
      </c>
      <c r="M237" s="6">
        <v>-1.4438</v>
      </c>
      <c r="N237" s="6">
        <v>0.5</v>
      </c>
      <c r="O237" s="6">
        <v>0.125</v>
      </c>
      <c r="P237" s="6">
        <v>0.5</v>
      </c>
      <c r="Q237" s="7"/>
      <c r="R237" s="7"/>
    </row>
    <row r="238" spans="1:18">
      <c r="A238" s="4" t="s">
        <v>361</v>
      </c>
      <c r="B238" s="4">
        <f t="shared" si="3"/>
        <v>3</v>
      </c>
      <c r="C238" s="4" t="s">
        <v>36</v>
      </c>
      <c r="D238" s="1" t="str">
        <f>IFERROR(VLOOKUP(A238,[1]biopep_DB!$F$2:$J$1654,5,0),)</f>
        <v>Structural requirements of Angiotensin I-converting enzyme inhibitory peptides: quantitative structure-activity relationship study of di- and tripeptides.; What are the ideal properties for functional food peptides with antihypertensive effect? A computational peptidology approach.</v>
      </c>
      <c r="E238" s="1" t="str">
        <f>IFERROR(VLOOKUP(A238,[1]biopep_DB!$F$2:$L$1654,6,0),0)</f>
        <v>10.1021/jf051263l; 10.1016/j.foodchem.2013.05.140</v>
      </c>
      <c r="F238" s="1" t="str">
        <f>IFERROR(VLOOKUP(A238,[1]biopep_DB!$F$2:$L$1654,7,0),0)</f>
        <v>16448176 23871047</v>
      </c>
      <c r="G238" s="5">
        <v>333.38</v>
      </c>
      <c r="H238" s="5">
        <v>5.53</v>
      </c>
      <c r="I238" s="5">
        <v>-0.24</v>
      </c>
      <c r="J238" s="6">
        <v>1</v>
      </c>
      <c r="K238" s="5">
        <v>70.87</v>
      </c>
      <c r="L238" s="6">
        <v>1</v>
      </c>
      <c r="M238" s="6">
        <v>-1.5967</v>
      </c>
      <c r="N238" s="6">
        <v>0.3333</v>
      </c>
      <c r="O238" s="6">
        <v>0.3333</v>
      </c>
      <c r="P238" s="6">
        <v>0.3333</v>
      </c>
      <c r="Q238" s="7"/>
      <c r="R238" s="7"/>
    </row>
    <row r="239" spans="1:18">
      <c r="A239" s="4" t="s">
        <v>362</v>
      </c>
      <c r="B239" s="4">
        <f t="shared" si="3"/>
        <v>6</v>
      </c>
      <c r="C239" s="4"/>
      <c r="D239" s="1" t="str">
        <f>IFERROR(VLOOKUP(A239,[1]biopep_DB!$F$2:$J$1654,5,0),)</f>
        <v>Enterococcus faecalis strains from food, environmental, and clinical origin produce ACE-inhibitory peptides and other bioactive peptides during growth in bovine skim milk.</v>
      </c>
      <c r="E239" s="1" t="str">
        <f>IFERROR(VLOOKUP(A239,[1]biopep_DB!$F$2:$L$1654,6,0),0)</f>
        <v>10.1016/j.ijfoodmicro.2013.06.019</v>
      </c>
      <c r="F239" s="1" t="str">
        <f>IFERROR(VLOOKUP(A239,[1]biopep_DB!$F$2:$L$1654,7,0),0)</f>
        <v>23845432</v>
      </c>
      <c r="G239" s="5">
        <v>680.71</v>
      </c>
      <c r="H239" s="5">
        <v>5.53</v>
      </c>
      <c r="I239" s="5">
        <v>-0.24</v>
      </c>
      <c r="J239" s="6">
        <v>-0.65</v>
      </c>
      <c r="K239" s="5">
        <v>69</v>
      </c>
      <c r="L239" s="6">
        <v>0.3333</v>
      </c>
      <c r="M239" s="6">
        <v>-0.1617</v>
      </c>
      <c r="N239" s="6">
        <v>0.1667</v>
      </c>
      <c r="O239" s="6">
        <v>0.1667</v>
      </c>
      <c r="P239" s="6">
        <v>0.3333</v>
      </c>
      <c r="Q239" s="7"/>
      <c r="R239" s="7"/>
    </row>
    <row r="240" spans="1:18">
      <c r="A240" s="4" t="s">
        <v>363</v>
      </c>
      <c r="B240" s="4">
        <f t="shared" si="3"/>
        <v>10</v>
      </c>
      <c r="C240" s="4" t="s">
        <v>121</v>
      </c>
      <c r="D240" s="1" t="str">
        <f>IFERROR(VLOOKUP(A240,[1]biopep_DB!$F$2:$J$1654,5,0),)</f>
        <v>Inhibition of angiotensin-converting enzyme by synthetic peptide fragments of various beta-caseins.; Evaluation of the allergenicity of goat milk, cow milk, and their lactosera in a guinea pig model.</v>
      </c>
      <c r="E240" s="1" t="str">
        <f>IFERROR(VLOOKUP(A240,[1]biopep_DB!$F$2:$L$1654,6,0),0)</f>
        <v>10.3168/jds.2008-1125</v>
      </c>
      <c r="F240" s="1" t="str">
        <f>IFERROR(VLOOKUP(A240,[1]biopep_DB!$F$2:$L$1654,7,0),0)</f>
        <v>1368548 19233776</v>
      </c>
      <c r="G240" s="5">
        <v>1153.28</v>
      </c>
      <c r="H240" s="5">
        <v>5.52</v>
      </c>
      <c r="I240" s="5">
        <v>-0.24</v>
      </c>
      <c r="J240" s="6">
        <v>0.12</v>
      </c>
      <c r="K240" s="5">
        <v>50.2</v>
      </c>
      <c r="L240" s="6">
        <v>0.5</v>
      </c>
      <c r="M240" s="6">
        <v>-0.979</v>
      </c>
      <c r="N240" s="6">
        <v>0.2</v>
      </c>
      <c r="O240" s="6">
        <v>0.2</v>
      </c>
      <c r="P240" s="6">
        <v>0.5</v>
      </c>
      <c r="Q240" s="7"/>
      <c r="R240" s="7"/>
    </row>
    <row r="241" spans="1:18">
      <c r="A241" s="4" t="s">
        <v>364</v>
      </c>
      <c r="B241" s="4">
        <f t="shared" si="3"/>
        <v>4</v>
      </c>
      <c r="C241" s="4"/>
      <c r="D241" s="1" t="str">
        <f>IFERROR(VLOOKUP(A241,[1]biopep_DB!$F$2:$J$1654,5,0),)</f>
        <v>What are the ideal properties for functional food peptides with antihypertensive effect? A computational peptidology approach.</v>
      </c>
      <c r="E241" s="1" t="str">
        <f>IFERROR(VLOOKUP(A241,[1]biopep_DB!$F$2:$L$1654,6,0),0)</f>
        <v>10.1016/j.foodchem.2013.05.140</v>
      </c>
      <c r="F241" s="1" t="str">
        <f>IFERROR(VLOOKUP(A241,[1]biopep_DB!$F$2:$L$1654,7,0),0)</f>
        <v>23871047</v>
      </c>
      <c r="G241" s="5">
        <v>432.51</v>
      </c>
      <c r="H241" s="5">
        <v>5.53</v>
      </c>
      <c r="I241" s="5">
        <v>-0.24</v>
      </c>
      <c r="J241" s="6">
        <v>1.8</v>
      </c>
      <c r="K241" s="5">
        <v>55.65</v>
      </c>
      <c r="L241" s="6">
        <v>1</v>
      </c>
      <c r="M241" s="6">
        <v>-2.2075</v>
      </c>
      <c r="N241" s="6">
        <v>0.25</v>
      </c>
      <c r="O241" s="6">
        <v>0.25</v>
      </c>
      <c r="P241" s="6">
        <v>0.5</v>
      </c>
      <c r="Q241" s="7"/>
      <c r="R241" s="7"/>
    </row>
    <row r="242" spans="1:18">
      <c r="A242" s="4" t="s">
        <v>365</v>
      </c>
      <c r="B242" s="4">
        <f t="shared" si="3"/>
        <v>3</v>
      </c>
      <c r="C242" s="4" t="s">
        <v>366</v>
      </c>
      <c r="D242" s="1" t="str">
        <f>IFERROR(VLOOKUP(A242,[1]biopep_DB!$F$2:$J$1654,5,0),)</f>
        <v>Angiotensin I converting enzyme inhibitory peptides from simulated in vitro gastrointestinal digestion of cooked eggs.; Isolation and characterization of peptides with antihypertensive activity in foodstuffs.</v>
      </c>
      <c r="E242" s="1" t="str">
        <f>IFERROR(VLOOKUP(A242,[1]biopep_DB!$F$2:$L$1654,6,0),0)</f>
        <v>10.1021/jf8028557; 10.1080/10408398.2012.664829</v>
      </c>
      <c r="F242" s="1" t="str">
        <f>IFERROR(VLOOKUP(A242,[1]biopep_DB!$F$2:$L$1654,7,0),0)</f>
        <v>19154160 24915368</v>
      </c>
      <c r="G242" s="5">
        <v>415.51</v>
      </c>
      <c r="H242" s="5">
        <v>5.52</v>
      </c>
      <c r="I242" s="5">
        <v>-0.25</v>
      </c>
      <c r="J242" s="6">
        <v>2.7</v>
      </c>
      <c r="K242" s="5">
        <v>6.67</v>
      </c>
      <c r="L242" s="6">
        <v>0.6667</v>
      </c>
      <c r="M242" s="6">
        <v>-2.4133</v>
      </c>
      <c r="N242" s="6">
        <v>0</v>
      </c>
      <c r="O242" s="6">
        <v>0</v>
      </c>
      <c r="P242" s="6">
        <v>0.6667</v>
      </c>
      <c r="Q242" s="7"/>
      <c r="R242" s="7"/>
    </row>
    <row r="243" spans="1:18">
      <c r="A243" s="4" t="s">
        <v>367</v>
      </c>
      <c r="B243" s="4">
        <f t="shared" si="3"/>
        <v>8</v>
      </c>
      <c r="C243" s="4"/>
      <c r="G243" s="5">
        <v>1014.2</v>
      </c>
      <c r="H243" s="5">
        <v>5.99</v>
      </c>
      <c r="I243" s="5">
        <v>-0.25</v>
      </c>
      <c r="J243" s="6">
        <v>0.675</v>
      </c>
      <c r="K243" s="5">
        <v>23.4</v>
      </c>
      <c r="L243" s="6">
        <v>0.5</v>
      </c>
      <c r="M243" s="6">
        <v>-1.4263</v>
      </c>
      <c r="N243" s="6">
        <v>0.5</v>
      </c>
      <c r="O243" s="6">
        <v>0</v>
      </c>
      <c r="P243" s="6">
        <v>0.5</v>
      </c>
      <c r="Q243" s="7"/>
      <c r="R243" s="7"/>
    </row>
    <row r="244" spans="1:18">
      <c r="A244" s="4" t="s">
        <v>368</v>
      </c>
      <c r="B244" s="4">
        <f t="shared" si="3"/>
        <v>6</v>
      </c>
      <c r="C244" s="4" t="s">
        <v>369</v>
      </c>
      <c r="D244" s="1" t="str">
        <f>IFERROR(VLOOKUP(A244,[1]biopep_DB!$F$2:$J$1654,5,0),)</f>
        <v>Analysis of novel angiotensin-I-converting enzyme inhibitory peptides from protease-hydrolyzed marine shrimp Acetes chinensis.; Review on the angiotensin-I-converting enzyme (ACE) inhibitor peptides from marine proteins.</v>
      </c>
      <c r="E244" s="1" t="str">
        <f>IFERROR(VLOOKUP(A244,[1]biopep_DB!$F$2:$L$1654,6,0),0)</f>
        <v>10.1002/psc.789; 10.1007/s12010-012-0024-y</v>
      </c>
      <c r="F244" s="1" t="str">
        <f>IFERROR(VLOOKUP(A244,[1]biopep_DB!$F$2:$L$1654,7,0),0)</f>
        <v>16981241 23271625</v>
      </c>
      <c r="G244" s="5">
        <v>733.92</v>
      </c>
      <c r="H244" s="5">
        <v>8.25</v>
      </c>
      <c r="I244" s="5">
        <v>0.75</v>
      </c>
      <c r="J244" s="6">
        <v>1.2</v>
      </c>
      <c r="K244" s="5">
        <v>59.97</v>
      </c>
      <c r="L244" s="6">
        <v>0.6667</v>
      </c>
      <c r="M244" s="6">
        <v>-1.75</v>
      </c>
      <c r="N244" s="6">
        <v>0.1667</v>
      </c>
      <c r="O244" s="6">
        <v>0.1667</v>
      </c>
      <c r="P244" s="6">
        <v>0.5</v>
      </c>
      <c r="Q244" s="7"/>
      <c r="R244" s="7"/>
    </row>
    <row r="245" spans="1:18">
      <c r="A245" s="4" t="s">
        <v>370</v>
      </c>
      <c r="B245" s="4">
        <f t="shared" si="3"/>
        <v>3</v>
      </c>
      <c r="C245" s="4" t="s">
        <v>36</v>
      </c>
      <c r="D245" s="1" t="str">
        <f>IFERROR(VLOOKUP(A245,[1]biopep_DB!$F$2:$J$1654,5,0),)</f>
        <v>Structural requirements of Angiotensin I-converting enzyme inhibitory peptides: quantitative structure-activity relationship study of di- and tripeptides.</v>
      </c>
      <c r="E245" s="1" t="str">
        <f>IFERROR(VLOOKUP(A245,[1]biopep_DB!$F$2:$L$1654,6,0),0)</f>
        <v>10.1021/jf051263l</v>
      </c>
      <c r="F245" s="1" t="str">
        <f>IFERROR(VLOOKUP(A245,[1]biopep_DB!$F$2:$L$1654,7,0),0)</f>
        <v>16448176</v>
      </c>
      <c r="G245" s="5">
        <v>408.45</v>
      </c>
      <c r="H245" s="5">
        <v>5.84</v>
      </c>
      <c r="I245" s="5">
        <v>-0.24</v>
      </c>
      <c r="J245" s="6">
        <v>-1.5333</v>
      </c>
      <c r="K245" s="5">
        <v>19.5</v>
      </c>
      <c r="L245" s="6">
        <v>0.3333</v>
      </c>
      <c r="M245" s="6">
        <v>0.0933</v>
      </c>
      <c r="N245" s="6">
        <v>0.3333</v>
      </c>
      <c r="O245" s="6">
        <v>0.3333</v>
      </c>
      <c r="P245" s="6">
        <v>0.3333</v>
      </c>
      <c r="Q245" s="7"/>
      <c r="R245" s="7"/>
    </row>
    <row r="246" spans="1:18">
      <c r="A246" s="4" t="s">
        <v>371</v>
      </c>
      <c r="B246" s="4">
        <f t="shared" si="3"/>
        <v>4</v>
      </c>
      <c r="C246" s="4"/>
      <c r="D246" s="1" t="str">
        <f>IFERROR(VLOOKUP(A246,[1]biopep_DB!$F$2:$J$1654,5,0),)</f>
        <v/>
      </c>
      <c r="E246" s="1" t="str">
        <f>IFERROR(VLOOKUP(A246,[1]biopep_DB!$F$2:$L$1654,6,0),0)</f>
        <v/>
      </c>
      <c r="F246" s="1" t="str">
        <f>IFERROR(VLOOKUP(A246,[1]biopep_DB!$F$2:$L$1654,7,0),0)</f>
        <v/>
      </c>
      <c r="G246" s="5">
        <v>479.53</v>
      </c>
      <c r="H246" s="5">
        <v>5.84</v>
      </c>
      <c r="I246" s="5">
        <v>-0.24</v>
      </c>
      <c r="J246" s="6">
        <v>-0.7</v>
      </c>
      <c r="K246" s="5">
        <v>17.12</v>
      </c>
      <c r="L246" s="6">
        <v>0.5</v>
      </c>
      <c r="M246" s="6">
        <v>-0.3825</v>
      </c>
      <c r="N246" s="6">
        <v>0.5</v>
      </c>
      <c r="O246" s="6">
        <v>0.25</v>
      </c>
      <c r="P246" s="6">
        <v>0.25</v>
      </c>
      <c r="Q246" s="7"/>
      <c r="R246" s="7"/>
    </row>
    <row r="247" spans="1:18">
      <c r="A247" s="4" t="s">
        <v>372</v>
      </c>
      <c r="B247" s="4">
        <f t="shared" si="3"/>
        <v>9</v>
      </c>
      <c r="C247" s="4"/>
      <c r="G247" s="5">
        <v>995.09</v>
      </c>
      <c r="H247" s="5">
        <v>4.54</v>
      </c>
      <c r="I247" s="5">
        <v>-1.24</v>
      </c>
      <c r="J247" s="6">
        <v>-0.4333</v>
      </c>
      <c r="K247" s="5">
        <v>25.13</v>
      </c>
      <c r="L247" s="6">
        <v>0.4444</v>
      </c>
      <c r="M247" s="6">
        <v>-0.8689</v>
      </c>
      <c r="N247" s="6">
        <v>0.2222</v>
      </c>
      <c r="O247" s="6">
        <v>0.5556</v>
      </c>
      <c r="P247" s="6">
        <v>0.3333</v>
      </c>
      <c r="Q247" s="7"/>
      <c r="R247" s="7"/>
    </row>
    <row r="248" spans="1:18">
      <c r="A248" s="4" t="s">
        <v>373</v>
      </c>
      <c r="B248" s="4">
        <f t="shared" si="3"/>
        <v>8</v>
      </c>
      <c r="C248" s="4"/>
      <c r="D248" s="1" t="str">
        <f>IFERROR(VLOOKUP(A248,[1]biopep_DB!$F$2:$J$1654,5,0),)</f>
        <v>Angiotensin I-converting enzyme inhibitory peptides generated from in vitro gastrointestinal digestion of pork meat.</v>
      </c>
      <c r="E248" s="1" t="str">
        <f>IFERROR(VLOOKUP(A248,[1]biopep_DB!$F$2:$L$1654,6,0),0)</f>
        <v>10.1021/jf904204n</v>
      </c>
      <c r="F248" s="1" t="str">
        <f>IFERROR(VLOOKUP(A248,[1]biopep_DB!$F$2:$L$1654,7,0),0)</f>
        <v>20151679</v>
      </c>
      <c r="G248" s="5">
        <v>902.05</v>
      </c>
      <c r="H248" s="5">
        <v>5.84</v>
      </c>
      <c r="I248" s="5">
        <v>-0.24</v>
      </c>
      <c r="J248" s="6">
        <v>-0.075</v>
      </c>
      <c r="K248" s="5">
        <v>83.14</v>
      </c>
      <c r="L248" s="6">
        <v>0.625</v>
      </c>
      <c r="M248" s="6">
        <v>-0.98</v>
      </c>
      <c r="N248" s="6">
        <v>0.25</v>
      </c>
      <c r="O248" s="6">
        <v>0.5</v>
      </c>
      <c r="P248" s="6">
        <v>0.375</v>
      </c>
      <c r="Q248" s="7"/>
      <c r="R248" s="7"/>
    </row>
    <row r="249" spans="1:18">
      <c r="A249" s="4" t="s">
        <v>374</v>
      </c>
      <c r="B249" s="4">
        <f t="shared" si="3"/>
        <v>2</v>
      </c>
      <c r="C249" s="4" t="s">
        <v>206</v>
      </c>
      <c r="D249" s="1" t="str">
        <f>IFERROR(VLOOKUP(A249,[1]biopep_DB!$F$2:$J$1654,5,0),)</f>
        <v>Review on the angiotensin-I-converting enzyme (ACE) inhibitor peptides from marine proteins.; What are the ideal properties for functional food peptides with antihypertensive effect? A computational peptidology approach.</v>
      </c>
      <c r="E249" s="1" t="str">
        <f>IFERROR(VLOOKUP(A249,[1]biopep_DB!$F$2:$L$1654,6,0),0)</f>
        <v>10.1007/s12010-012-0024-y; 10.1016/j.foodchem.2013.05.140</v>
      </c>
      <c r="F249" s="1" t="str">
        <f>IFERROR(VLOOKUP(A249,[1]biopep_DB!$F$2:$L$1654,7,0),0)</f>
        <v>23271625 23871047</v>
      </c>
      <c r="G249" s="5">
        <v>294.3</v>
      </c>
      <c r="H249" s="5">
        <v>4.6</v>
      </c>
      <c r="I249" s="5">
        <v>-1.23</v>
      </c>
      <c r="J249" s="6">
        <v>-0.35</v>
      </c>
      <c r="K249" s="5">
        <v>5</v>
      </c>
      <c r="L249" s="6">
        <v>0.5</v>
      </c>
      <c r="M249" s="6">
        <v>-0.67</v>
      </c>
      <c r="N249" s="6">
        <v>0.5</v>
      </c>
      <c r="O249" s="6">
        <v>0</v>
      </c>
      <c r="P249" s="6">
        <v>0.5</v>
      </c>
      <c r="Q249" s="7"/>
      <c r="R249" s="7"/>
    </row>
    <row r="250" spans="1:18">
      <c r="A250" s="4" t="s">
        <v>375</v>
      </c>
      <c r="B250" s="4">
        <f t="shared" si="3"/>
        <v>10</v>
      </c>
      <c r="C250" s="4" t="s">
        <v>376</v>
      </c>
      <c r="D250" s="1" t="str">
        <f>IFERROR(VLOOKUP(A250,[1]biopep_DB!$F$2:$J$1654,5,0),)</f>
        <v/>
      </c>
      <c r="E250" s="1" t="str">
        <f>IFERROR(VLOOKUP(A250,[1]biopep_DB!$F$2:$L$1654,6,0),0)</f>
        <v/>
      </c>
      <c r="F250" s="1" t="str">
        <f>IFERROR(VLOOKUP(A250,[1]biopep_DB!$F$2:$L$1654,7,0),0)</f>
        <v/>
      </c>
      <c r="G250" s="5">
        <v>1219.36</v>
      </c>
      <c r="H250" s="5">
        <v>4.05</v>
      </c>
      <c r="I250" s="5">
        <v>-2.25</v>
      </c>
      <c r="J250" s="6">
        <v>0.54</v>
      </c>
      <c r="K250" s="5">
        <v>80.12</v>
      </c>
      <c r="L250" s="6">
        <v>0.5</v>
      </c>
      <c r="M250" s="6">
        <v>-1.19</v>
      </c>
      <c r="N250" s="6">
        <v>0.2</v>
      </c>
      <c r="O250" s="6">
        <v>0.3</v>
      </c>
      <c r="P250" s="6">
        <v>0.5</v>
      </c>
      <c r="Q250" s="7"/>
      <c r="R250" s="7"/>
    </row>
    <row r="251" spans="1:18">
      <c r="A251" s="4" t="s">
        <v>377</v>
      </c>
      <c r="B251" s="4">
        <f t="shared" si="3"/>
        <v>9</v>
      </c>
      <c r="C251" s="4"/>
      <c r="G251" s="5">
        <v>999.03</v>
      </c>
      <c r="H251" s="5">
        <v>4.05</v>
      </c>
      <c r="I251" s="5">
        <v>-2.23</v>
      </c>
      <c r="J251" s="6">
        <v>-0.2444</v>
      </c>
      <c r="K251" s="5">
        <v>-17.24</v>
      </c>
      <c r="L251" s="6">
        <v>0.3333</v>
      </c>
      <c r="M251" s="6">
        <v>-0.7467</v>
      </c>
      <c r="N251" s="6">
        <v>0.2222</v>
      </c>
      <c r="O251" s="6">
        <v>0.3333</v>
      </c>
      <c r="P251" s="6">
        <v>0.4444</v>
      </c>
      <c r="Q251" s="7"/>
      <c r="R251" s="7"/>
    </row>
    <row r="252" spans="1:18">
      <c r="A252" s="4" t="s">
        <v>378</v>
      </c>
      <c r="B252" s="4">
        <f t="shared" si="3"/>
        <v>3</v>
      </c>
      <c r="C252" s="4" t="s">
        <v>36</v>
      </c>
      <c r="D252" s="1" t="str">
        <f>IFERROR(VLOOKUP(A252,[1]biopep_DB!$F$2:$J$1654,5,0),)</f>
        <v>Structural requirements of Angiotensin I-converting enzyme inhibitory peptides: quantitative structure-activity relationship study of di- and tripeptides.</v>
      </c>
      <c r="E252" s="1" t="str">
        <f>IFERROR(VLOOKUP(A252,[1]biopep_DB!$F$2:$L$1654,6,0),0)</f>
        <v>10.1021/jf051263l</v>
      </c>
      <c r="F252" s="1" t="str">
        <f>IFERROR(VLOOKUP(A252,[1]biopep_DB!$F$2:$L$1654,7,0),0)</f>
        <v>16448176</v>
      </c>
      <c r="G252" s="5">
        <v>391.42</v>
      </c>
      <c r="H252" s="5">
        <v>4.05</v>
      </c>
      <c r="I252" s="5">
        <v>-1.24</v>
      </c>
      <c r="J252" s="6">
        <v>-0.7667</v>
      </c>
      <c r="K252" s="5">
        <v>70.87</v>
      </c>
      <c r="L252" s="6">
        <v>0.6667</v>
      </c>
      <c r="M252" s="6">
        <v>-0.4467</v>
      </c>
      <c r="N252" s="6">
        <v>0.3333</v>
      </c>
      <c r="O252" s="6">
        <v>0.3333</v>
      </c>
      <c r="P252" s="6">
        <v>0.3333</v>
      </c>
      <c r="Q252" s="7"/>
      <c r="R252" s="7"/>
    </row>
    <row r="253" spans="1:18">
      <c r="A253" s="4" t="s">
        <v>379</v>
      </c>
      <c r="B253" s="4">
        <f t="shared" si="3"/>
        <v>2</v>
      </c>
      <c r="C253" s="4"/>
      <c r="D253" s="1" t="str">
        <f>IFERROR(VLOOKUP(A253,[1]biopep_DB!$F$2:$J$1654,5,0),)</f>
        <v>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v>
      </c>
      <c r="E253" s="1" t="str">
        <f>IFERROR(VLOOKUP(A253,[1]biopep_DB!$F$2:$L$1654,6,0),0)</f>
        <v>10.1002/psc.800; 10.1002/psc.892</v>
      </c>
      <c r="F253" s="1" t="str">
        <f>IFERROR(VLOOKUP(A253,[1]biopep_DB!$F$2:$L$1654,7,0),0)</f>
        <v>17117396 17654623</v>
      </c>
      <c r="G253" s="5">
        <v>312.36</v>
      </c>
      <c r="H253" s="5">
        <v>5.53</v>
      </c>
      <c r="I253" s="5">
        <v>-0.24</v>
      </c>
      <c r="J253" s="6">
        <v>2.8</v>
      </c>
      <c r="K253" s="5">
        <v>5</v>
      </c>
      <c r="L253" s="6">
        <v>1</v>
      </c>
      <c r="M253" s="6">
        <v>-2.98</v>
      </c>
      <c r="N253" s="6">
        <v>0</v>
      </c>
      <c r="O253" s="6">
        <v>0</v>
      </c>
      <c r="P253" s="6">
        <v>1</v>
      </c>
      <c r="Q253" s="7"/>
      <c r="R253" s="7"/>
    </row>
    <row r="254" spans="1:18">
      <c r="A254" s="4" t="s">
        <v>380</v>
      </c>
      <c r="B254" s="4">
        <f t="shared" si="3"/>
        <v>3</v>
      </c>
      <c r="C254" s="4"/>
      <c r="D254" s="1" t="str">
        <f>IFERROR(VLOOKUP(A254,[1]biopep_DB!$F$2:$J$1654,5,0),)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254" s="1" t="str">
        <f>IFERROR(VLOOKUP(A254,[1]biopep_DB!$F$2:$L$1654,6,0),0)</f>
        <v>10.1002/psc.800; 10.1007/s00894-010-0862-x; 10.1016/j.foodchem.2013.05.140</v>
      </c>
      <c r="F254" s="1" t="str">
        <f>IFERROR(VLOOKUP(A254,[1]biopep_DB!$F$2:$L$1654,7,0),0)</f>
        <v>17117396 20941517 23871047</v>
      </c>
      <c r="G254" s="5">
        <v>459.54</v>
      </c>
      <c r="H254" s="5">
        <v>5.53</v>
      </c>
      <c r="I254" s="5">
        <v>-0.24</v>
      </c>
      <c r="J254" s="6">
        <v>2.8</v>
      </c>
      <c r="K254" s="5">
        <v>6.67</v>
      </c>
      <c r="L254" s="6">
        <v>1</v>
      </c>
      <c r="M254" s="6">
        <v>-2.98</v>
      </c>
      <c r="N254" s="6">
        <v>0</v>
      </c>
      <c r="O254" s="6">
        <v>0</v>
      </c>
      <c r="P254" s="6">
        <v>1</v>
      </c>
      <c r="Q254" s="7"/>
      <c r="R254" s="7"/>
    </row>
    <row r="255" spans="1:18">
      <c r="A255" s="4" t="s">
        <v>381</v>
      </c>
      <c r="B255" s="4">
        <f t="shared" si="3"/>
        <v>3</v>
      </c>
      <c r="C255" s="4"/>
      <c r="D255" s="1" t="str">
        <f>IFERROR(VLOOKUP(A255,[1]biopep_DB!$F$2:$J$1654,5,0),)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255" s="1" t="str">
        <f>IFERROR(VLOOKUP(A255,[1]biopep_DB!$F$2:$L$1654,6,0),0)</f>
        <v>10.1002/psc.800; 10.1007/s00894-010-0862-x; 10.1016/j.foodchem.2013.05.140</v>
      </c>
      <c r="F255" s="1" t="str">
        <f>IFERROR(VLOOKUP(A255,[1]biopep_DB!$F$2:$L$1654,7,0),0)</f>
        <v>17117396 20941517 23871047</v>
      </c>
      <c r="G255" s="5">
        <v>369.41</v>
      </c>
      <c r="H255" s="5">
        <v>5.53</v>
      </c>
      <c r="I255" s="5">
        <v>-0.24</v>
      </c>
      <c r="J255" s="6">
        <v>1.7333</v>
      </c>
      <c r="K255" s="5">
        <v>6.67</v>
      </c>
      <c r="L255" s="6">
        <v>0.6667</v>
      </c>
      <c r="M255" s="6">
        <v>-2.3</v>
      </c>
      <c r="N255" s="6">
        <v>0</v>
      </c>
      <c r="O255" s="6">
        <v>0.3333</v>
      </c>
      <c r="P255" s="6">
        <v>0.6667</v>
      </c>
      <c r="Q255" s="7"/>
      <c r="R255" s="7"/>
    </row>
    <row r="256" spans="1:18">
      <c r="A256" s="4" t="s">
        <v>382</v>
      </c>
      <c r="B256" s="4">
        <f t="shared" si="3"/>
        <v>8</v>
      </c>
      <c r="C256" s="4" t="s">
        <v>383</v>
      </c>
      <c r="D256" s="1" t="str">
        <f>IFERROR(VLOOKUP(A256,[1]biopep_DB!$F$2:$J$1654,5,0),)</f>
        <v>A new QSAR model, for angiotensin I-converting enzyme inhibitory oligopeptides.; Isolation and characterization of peptides with antihypertensive activity in foodstuffs.</v>
      </c>
      <c r="E256" s="1" t="str">
        <f>IFERROR(VLOOKUP(A256,[1]biopep_DB!$F$2:$L$1654,6,0),0)</f>
        <v>10.1016/j.foodchem.2012.09.092; 10.1080/10408398.2012.664829</v>
      </c>
      <c r="F256" s="1" t="str">
        <f>IFERROR(VLOOKUP(A256,[1]biopep_DB!$F$2:$L$1654,7,0),0)</f>
        <v>23194537 24915368</v>
      </c>
      <c r="G256" s="5">
        <v>912.07</v>
      </c>
      <c r="H256" s="5">
        <v>8.25</v>
      </c>
      <c r="I256" s="5">
        <v>0.75</v>
      </c>
      <c r="J256" s="6">
        <v>0.625</v>
      </c>
      <c r="K256" s="5">
        <v>54.25</v>
      </c>
      <c r="L256" s="6">
        <v>0.5</v>
      </c>
      <c r="M256" s="6">
        <v>-1.0825</v>
      </c>
      <c r="N256" s="6">
        <v>0</v>
      </c>
      <c r="O256" s="6">
        <v>0.375</v>
      </c>
      <c r="P256" s="6">
        <v>0.375</v>
      </c>
      <c r="Q256" s="7"/>
      <c r="R256" s="7"/>
    </row>
    <row r="257" spans="1:18">
      <c r="A257" s="4" t="s">
        <v>384</v>
      </c>
      <c r="B257" s="4">
        <f t="shared" si="3"/>
        <v>9</v>
      </c>
      <c r="C257" s="4" t="s">
        <v>383</v>
      </c>
      <c r="D257" s="1" t="str">
        <f>IFERROR(VLOOKUP(A257,[1]biopep_DB!$F$2:$J$1654,5,0),)</f>
        <v/>
      </c>
      <c r="E257" s="1" t="str">
        <f>IFERROR(VLOOKUP(A257,[1]biopep_DB!$F$2:$L$1654,6,0),0)</f>
        <v/>
      </c>
      <c r="F257" s="1" t="str">
        <f>IFERROR(VLOOKUP(A257,[1]biopep_DB!$F$2:$L$1654,7,0),0)</f>
        <v/>
      </c>
      <c r="G257" s="5">
        <v>1011.2</v>
      </c>
      <c r="H257" s="5">
        <v>8.25</v>
      </c>
      <c r="I257" s="5">
        <v>0.75</v>
      </c>
      <c r="J257" s="6">
        <v>1.0222</v>
      </c>
      <c r="K257" s="5">
        <v>49.33</v>
      </c>
      <c r="L257" s="6">
        <v>0.5556</v>
      </c>
      <c r="M257" s="6">
        <v>-1.4111</v>
      </c>
      <c r="N257" s="6">
        <v>0</v>
      </c>
      <c r="O257" s="6">
        <v>0.3333</v>
      </c>
      <c r="P257" s="6">
        <v>0.4444</v>
      </c>
      <c r="Q257" s="7"/>
      <c r="R257" s="7"/>
    </row>
    <row r="258" spans="1:18">
      <c r="A258" s="4" t="s">
        <v>385</v>
      </c>
      <c r="B258" s="4">
        <f t="shared" si="3"/>
        <v>3</v>
      </c>
      <c r="C258" s="4" t="s">
        <v>36</v>
      </c>
      <c r="D258" s="1" t="str">
        <f>IFERROR(VLOOKUP(A258,[1]biopep_DB!$F$2:$J$1654,5,0),)</f>
        <v>Structural requirements of Angiotensin I-converting enzyme inhibitory peptides: quantitative structure-activity relationship study of di- and tripeptides.; Vegetable foods: a cheap source of proteins and peptides with antihypertensive, antioxidant, and other less occurrence bioactivities.; Isolation and characterization of peptides with antihypertensive activity in foodstuffs.</v>
      </c>
      <c r="E258" s="1" t="str">
        <f>IFERROR(VLOOKUP(A258,[1]biopep_DB!$F$2:$L$1654,6,0),0)</f>
        <v>10.1021/jf051263l; 10.1016/j.talanta.2012.12.041; 10.1080/10408398.2012.664829</v>
      </c>
      <c r="F258" s="1" t="str">
        <f>IFERROR(VLOOKUP(A258,[1]biopep_DB!$F$2:$L$1654,7,0),0)</f>
        <v>16448176 23598136 24915368</v>
      </c>
      <c r="G258" s="5">
        <v>425.52</v>
      </c>
      <c r="H258" s="5">
        <v>5.53</v>
      </c>
      <c r="I258" s="5">
        <v>-0.24</v>
      </c>
      <c r="J258" s="6">
        <v>3.1333</v>
      </c>
      <c r="K258" s="5">
        <v>6.67</v>
      </c>
      <c r="L258" s="6">
        <v>1</v>
      </c>
      <c r="M258" s="6">
        <v>-3.6267</v>
      </c>
      <c r="N258" s="6">
        <v>0.3333</v>
      </c>
      <c r="O258" s="6">
        <v>0</v>
      </c>
      <c r="P258" s="6">
        <v>1</v>
      </c>
      <c r="Q258" s="7"/>
      <c r="R258" s="7"/>
    </row>
    <row r="259" spans="1:18">
      <c r="A259" s="4" t="s">
        <v>386</v>
      </c>
      <c r="B259" s="4">
        <f t="shared" si="3"/>
        <v>5</v>
      </c>
      <c r="C259" s="4" t="s">
        <v>387</v>
      </c>
      <c r="D259" s="1" t="str">
        <f>IFERROR(VLOOKUP(A259,[1]biopep_DB!$F$2:$J$1654,5,0),)</f>
        <v>Randomized controlled trial of sour milk on blood pressure in borderline hypertensive men.; Bioactive peptides derived from milk proteins and their health beneficial potentials: an update.; The potential role of milk-derived peptides in cardiovascular disease.; A new QSAR model, for angiotensin I-converting enzyme inhibitory oligopeptides.</v>
      </c>
      <c r="E259" s="1" t="str">
        <f>IFERROR(VLOOKUP(A259,[1]biopep_DB!$F$2:$L$1654,6,0),0)</f>
        <v>10.1016/j.amjhyper.2004.03.674; 10.1039/c0fo00016g; 10.1039/c1fo10017c; 10.1016/j.foodchem.2012.09.092</v>
      </c>
      <c r="F259" s="1" t="str">
        <f>IFERROR(VLOOKUP(A259,[1]biopep_DB!$F$2:$L$1654,7,0),0)</f>
        <v>15288885 21773582 21779574 23194537</v>
      </c>
      <c r="G259" s="5">
        <v>579.69</v>
      </c>
      <c r="H259" s="5">
        <v>5.53</v>
      </c>
      <c r="I259" s="5">
        <v>-0.24</v>
      </c>
      <c r="J259" s="6">
        <v>2</v>
      </c>
      <c r="K259" s="5">
        <v>46.52</v>
      </c>
      <c r="L259" s="6">
        <v>1</v>
      </c>
      <c r="M259" s="6">
        <v>-2.362</v>
      </c>
      <c r="N259" s="6">
        <v>0.2</v>
      </c>
      <c r="O259" s="6">
        <v>0.2</v>
      </c>
      <c r="P259" s="6">
        <v>0.6</v>
      </c>
      <c r="Q259" s="7"/>
      <c r="R259" s="7"/>
    </row>
    <row r="260" spans="1:18">
      <c r="A260" s="4" t="s">
        <v>388</v>
      </c>
      <c r="B260" s="4">
        <f t="shared" si="3"/>
        <v>11</v>
      </c>
      <c r="C260" s="4" t="s">
        <v>389</v>
      </c>
      <c r="D260" s="1" t="str">
        <f>IFERROR(VLOOKUP(A260,[1]biopep_DB!$F$2:$J$1654,5,0),)</f>
        <v>The potential role of milk-derived peptides in cardiovascular disease.</v>
      </c>
      <c r="E260" s="1" t="str">
        <f>IFERROR(VLOOKUP(A260,[1]biopep_DB!$F$2:$L$1654,6,0),0)</f>
        <v>10.1039/c1fo10017c</v>
      </c>
      <c r="F260" s="1" t="str">
        <f>IFERROR(VLOOKUP(A260,[1]biopep_DB!$F$2:$L$1654,7,0),0)</f>
        <v>21779574</v>
      </c>
      <c r="G260" s="5">
        <v>1287.5</v>
      </c>
      <c r="H260" s="5">
        <v>6</v>
      </c>
      <c r="I260" s="5">
        <v>-0.24</v>
      </c>
      <c r="J260" s="6">
        <v>1.0909</v>
      </c>
      <c r="K260" s="5">
        <v>36.39</v>
      </c>
      <c r="L260" s="6">
        <v>0.7273</v>
      </c>
      <c r="M260" s="6">
        <v>-1.7755</v>
      </c>
      <c r="N260" s="6">
        <v>0.2727</v>
      </c>
      <c r="O260" s="6">
        <v>0.1818</v>
      </c>
      <c r="P260" s="6">
        <v>0.5455</v>
      </c>
      <c r="Q260" s="7"/>
      <c r="R260" s="7"/>
    </row>
    <row r="261" spans="1:18">
      <c r="A261" s="4" t="s">
        <v>390</v>
      </c>
      <c r="B261" s="4">
        <f t="shared" si="3"/>
        <v>12</v>
      </c>
      <c r="C261" s="4" t="s">
        <v>391</v>
      </c>
      <c r="D261" s="1" t="str">
        <f>IFERROR(VLOOKUP(A261,[1]biopep_DB!$F$2:$J$1654,5,0),)</f>
        <v>Angiotensin-I-converting enzyme inhibitory peptides from tryptic hydrolysate of bovine alphaS2-casein.; The potential role of milk-derived peptides in cardiovascular disease.; The impact of milk proteins and peptides on blood pressure and vascular function: a review of evidence from human intervention studies.</v>
      </c>
      <c r="E261" s="1" t="str">
        <f>IFERROR(VLOOKUP(A261,[1]biopep_DB!$F$2:$L$1654,6,0),0)</f>
        <v>10.1016/s0014-5793(02)03576-7; 10.1039/c1fo10017c; 10.1017/S0954422413000139</v>
      </c>
      <c r="F261" s="1" t="str">
        <f>IFERROR(VLOOKUP(A261,[1]biopep_DB!$F$2:$L$1654,7,0),0)</f>
        <v>12417344 21779574 24135454</v>
      </c>
      <c r="G261" s="5">
        <v>1384.62</v>
      </c>
      <c r="H261" s="5">
        <v>6</v>
      </c>
      <c r="I261" s="5">
        <v>-0.24</v>
      </c>
      <c r="J261" s="6">
        <v>0.8667</v>
      </c>
      <c r="K261" s="5">
        <v>64.73</v>
      </c>
      <c r="L261" s="6">
        <v>0.75</v>
      </c>
      <c r="M261" s="6">
        <v>-1.6275</v>
      </c>
      <c r="N261" s="6">
        <v>0.25</v>
      </c>
      <c r="O261" s="6">
        <v>0.25</v>
      </c>
      <c r="P261" s="6">
        <v>0.5</v>
      </c>
      <c r="Q261" s="7"/>
      <c r="R261" s="7"/>
    </row>
    <row r="262" spans="1:18">
      <c r="A262" s="4" t="s">
        <v>392</v>
      </c>
      <c r="B262" s="4">
        <f t="shared" ref="B262:B325" si="4">LEN(A262)</f>
        <v>13</v>
      </c>
      <c r="C262" s="4" t="s">
        <v>389</v>
      </c>
      <c r="D262" s="1" t="str">
        <f>IFERROR(VLOOKUP(A262,[1]biopep_DB!$F$2:$J$1654,5,0),)</f>
        <v/>
      </c>
      <c r="E262" s="1" t="str">
        <f>IFERROR(VLOOKUP(A262,[1]biopep_DB!$F$2:$L$1654,6,0),0)</f>
        <v/>
      </c>
      <c r="F262" s="1" t="str">
        <f>IFERROR(VLOOKUP(A262,[1]biopep_DB!$F$2:$L$1654,7,0),0)</f>
        <v/>
      </c>
      <c r="G262" s="5">
        <v>1531.79</v>
      </c>
      <c r="H262" s="5">
        <v>6</v>
      </c>
      <c r="I262" s="5">
        <v>-0.24</v>
      </c>
      <c r="J262" s="6">
        <v>1.0154</v>
      </c>
      <c r="K262" s="5">
        <v>61.96</v>
      </c>
      <c r="L262" s="6">
        <v>0.7692</v>
      </c>
      <c r="M262" s="6">
        <v>-1.7315</v>
      </c>
      <c r="N262" s="6">
        <v>0.2308</v>
      </c>
      <c r="O262" s="6">
        <v>0.2308</v>
      </c>
      <c r="P262" s="6">
        <v>0.5385</v>
      </c>
      <c r="Q262" s="7"/>
      <c r="R262" s="7"/>
    </row>
    <row r="263" spans="1:18">
      <c r="A263" s="4" t="s">
        <v>393</v>
      </c>
      <c r="B263" s="4">
        <f t="shared" si="4"/>
        <v>12</v>
      </c>
      <c r="C263" s="4" t="s">
        <v>389</v>
      </c>
      <c r="D263" s="1" t="str">
        <f>IFERROR(VLOOKUP(A263,[1]biopep_DB!$F$2:$J$1654,5,0),)</f>
        <v>Antihypertensive peptides: production, bioavailability and incorporation into foods.; Antihypertensive peptides from food proteins: a review.</v>
      </c>
      <c r="E263" s="1" t="str">
        <f>IFERROR(VLOOKUP(A263,[1]biopep_DB!$F$2:$L$1654,6,0),0)</f>
        <v>10.1016/j.cis.2010.11.001; 10.1039/c2fo10192k</v>
      </c>
      <c r="F263" s="1" t="str">
        <f>IFERROR(VLOOKUP(A263,[1]biopep_DB!$F$2:$L$1654,7,0),0)</f>
        <v>21185549 22249830</v>
      </c>
      <c r="G263" s="5">
        <v>1312.56</v>
      </c>
      <c r="H263" s="5">
        <v>8.75</v>
      </c>
      <c r="I263" s="5">
        <v>0.76</v>
      </c>
      <c r="J263" s="6">
        <v>1.125</v>
      </c>
      <c r="K263" s="5">
        <v>50.24</v>
      </c>
      <c r="L263" s="6">
        <v>0.75</v>
      </c>
      <c r="M263" s="6">
        <v>-1.8425</v>
      </c>
      <c r="N263" s="6">
        <v>0.1667</v>
      </c>
      <c r="O263" s="6">
        <v>0.3333</v>
      </c>
      <c r="P263" s="6">
        <v>0.5</v>
      </c>
      <c r="Q263" s="7"/>
      <c r="R263" s="7"/>
    </row>
    <row r="264" spans="1:18">
      <c r="A264" s="4" t="s">
        <v>394</v>
      </c>
      <c r="B264" s="4">
        <f t="shared" si="4"/>
        <v>12</v>
      </c>
      <c r="C264" s="4"/>
      <c r="D264" s="1" t="str">
        <f>IFERROR(VLOOKUP(A264,[1]biopep_DB!$F$2:$J$1654,5,0),)</f>
        <v/>
      </c>
      <c r="E264" s="1" t="str">
        <f>IFERROR(VLOOKUP(A264,[1]biopep_DB!$F$2:$L$1654,6,0),0)</f>
        <v/>
      </c>
      <c r="F264" s="1" t="str">
        <f>IFERROR(VLOOKUP(A264,[1]biopep_DB!$F$2:$L$1654,7,0),0)</f>
        <v/>
      </c>
      <c r="G264" s="5">
        <v>1402.64</v>
      </c>
      <c r="H264" s="5">
        <v>5.53</v>
      </c>
      <c r="I264" s="5">
        <v>-0.24</v>
      </c>
      <c r="J264" s="6">
        <v>1.425</v>
      </c>
      <c r="K264" s="5">
        <v>67.08</v>
      </c>
      <c r="L264" s="6">
        <v>0.8333</v>
      </c>
      <c r="M264" s="6">
        <v>-2.0308</v>
      </c>
      <c r="N264" s="6">
        <v>0.0833</v>
      </c>
      <c r="O264" s="6">
        <v>0.25</v>
      </c>
      <c r="P264" s="6">
        <v>0.5833</v>
      </c>
      <c r="Q264" s="7"/>
      <c r="R264" s="7"/>
    </row>
    <row r="265" spans="1:18">
      <c r="A265" s="4" t="s">
        <v>395</v>
      </c>
      <c r="B265" s="4">
        <f t="shared" si="4"/>
        <v>4</v>
      </c>
      <c r="C265" s="4"/>
      <c r="D265" s="1" t="str">
        <f>IFERROR(VLOOKUP(A265,[1]biopep_DB!$F$2:$J$1654,5,0),)</f>
        <v>What are the ideal properties for functional food peptides with antihypertensive effect? A computational peptidology approach.</v>
      </c>
      <c r="E265" s="1" t="str">
        <f>IFERROR(VLOOKUP(A265,[1]biopep_DB!$F$2:$L$1654,6,0),0)</f>
        <v>10.1016/j.foodchem.2013.05.140</v>
      </c>
      <c r="F265" s="1" t="str">
        <f>IFERROR(VLOOKUP(A265,[1]biopep_DB!$F$2:$L$1654,7,0),0)</f>
        <v>23871047</v>
      </c>
      <c r="G265" s="5">
        <v>638.71</v>
      </c>
      <c r="H265" s="5">
        <v>5.52</v>
      </c>
      <c r="I265" s="5">
        <v>-0.24</v>
      </c>
      <c r="J265" s="6">
        <v>0.75</v>
      </c>
      <c r="K265" s="5">
        <v>119.85</v>
      </c>
      <c r="L265" s="6">
        <v>0.5</v>
      </c>
      <c r="M265" s="6">
        <v>-1.42</v>
      </c>
      <c r="N265" s="6">
        <v>0</v>
      </c>
      <c r="O265" s="6">
        <v>0</v>
      </c>
      <c r="P265" s="6">
        <v>1</v>
      </c>
      <c r="Q265" s="7"/>
      <c r="R265" s="7"/>
    </row>
    <row r="266" spans="1:18">
      <c r="A266" s="4" t="s">
        <v>396</v>
      </c>
      <c r="B266" s="4">
        <f t="shared" si="4"/>
        <v>2</v>
      </c>
      <c r="C266" s="4" t="s">
        <v>36</v>
      </c>
      <c r="D266" s="1" t="str">
        <f>IFERROR(VLOOKUP(A266,[1]biopep_DB!$F$2:$J$1654,5,0),)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Model of the exofacial substrate-binding site and helical folding of the human Glut1 glucose transporter based on scanning mutagenesis.;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266" s="1" t="str">
        <f>IFERROR(VLOOKUP(A266,[1]biopep_DB!$F$2:$L$1654,6,0),0)</f>
        <v>10.1021/jf051263l; 10.1002/psc.800; 10.1002/psc.892; 10.1021/bi900521n; 10.1007/s00894-010-0862-x; 10.1016/j.jprot.2013.06.023; 10.1016/j.foodchem.2013.05.140</v>
      </c>
      <c r="F266" s="1" t="str">
        <f>IFERROR(VLOOKUP(A266,[1]biopep_DB!$F$2:$L$1654,7,0),0)</f>
        <v>6243277 16448176 17117396 17654623 19449892 20941517 23806758 23871047</v>
      </c>
      <c r="G266" s="5">
        <v>222.24</v>
      </c>
      <c r="H266" s="5">
        <v>5.53</v>
      </c>
      <c r="I266" s="5">
        <v>-0.24</v>
      </c>
      <c r="J266" s="6">
        <v>1.2</v>
      </c>
      <c r="K266" s="5">
        <v>5</v>
      </c>
      <c r="L266" s="6">
        <v>0.5</v>
      </c>
      <c r="M266" s="6">
        <v>-1.96</v>
      </c>
      <c r="N266" s="6">
        <v>0</v>
      </c>
      <c r="O266" s="6">
        <v>0.5</v>
      </c>
      <c r="P266" s="6">
        <v>0.5</v>
      </c>
      <c r="Q266" s="7"/>
      <c r="R266" s="7"/>
    </row>
    <row r="267" spans="1:18">
      <c r="A267" s="4" t="s">
        <v>397</v>
      </c>
      <c r="B267" s="4">
        <f t="shared" si="4"/>
        <v>8</v>
      </c>
      <c r="C267" s="4" t="s">
        <v>398</v>
      </c>
      <c r="D267" s="1" t="str">
        <f>IFERROR(VLOOKUP(A267,[1]biopep_DB!$F$2:$J$1654,5,0),)</f>
        <v>A novel angiotensin I converting enzyme inhibitory peptide from Alaska pollack (Theragra chalcogramma) frame protein hydrolysate.; A new QSAR model, for angiotensin I-converting enzyme inhibitory oligopeptides.</v>
      </c>
      <c r="E267" s="1" t="str">
        <f>IFERROR(VLOOKUP(A267,[1]biopep_DB!$F$2:$L$1654,6,0),0)</f>
        <v>10.1021/jf0494027; 10.1016/j.foodchem.2012.09.092</v>
      </c>
      <c r="F267" s="1" t="str">
        <f>IFERROR(VLOOKUP(A267,[1]biopep_DB!$F$2:$L$1654,7,0),0)</f>
        <v>15612765 23194537</v>
      </c>
      <c r="G267" s="5">
        <v>765.81</v>
      </c>
      <c r="H267" s="5">
        <v>9.75</v>
      </c>
      <c r="I267" s="5">
        <v>0.76</v>
      </c>
      <c r="J267" s="6">
        <v>-0.05</v>
      </c>
      <c r="K267" s="5">
        <v>-23.09</v>
      </c>
      <c r="L267" s="6">
        <v>0.375</v>
      </c>
      <c r="M267" s="6">
        <v>-0.5825</v>
      </c>
      <c r="N267" s="6">
        <v>0.25</v>
      </c>
      <c r="O267" s="6">
        <v>0.375</v>
      </c>
      <c r="P267" s="6">
        <v>0.25</v>
      </c>
      <c r="Q267" s="7"/>
      <c r="R267" s="7"/>
    </row>
    <row r="268" spans="1:18">
      <c r="A268" s="4" t="s">
        <v>399</v>
      </c>
      <c r="B268" s="4">
        <f t="shared" si="4"/>
        <v>3</v>
      </c>
      <c r="C268" s="4"/>
      <c r="D268" s="1" t="str">
        <f>IFERROR(VLOOKUP(A268,[1]biopep_DB!$F$2:$J$1654,5,0),)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268" s="1" t="str">
        <f>IFERROR(VLOOKUP(A268,[1]biopep_DB!$F$2:$L$1654,6,0),0)</f>
        <v>10.1002/psc.800; 10.1007/s00894-010-0862-x; 10.1016/j.foodchem.2013.05.140</v>
      </c>
      <c r="F268" s="1" t="str">
        <f>IFERROR(VLOOKUP(A268,[1]biopep_DB!$F$2:$L$1654,7,0),0)</f>
        <v>17117396 20941517 23871047</v>
      </c>
      <c r="G268" s="5">
        <v>369.41</v>
      </c>
      <c r="H268" s="5">
        <v>5.53</v>
      </c>
      <c r="I268" s="5">
        <v>-0.24</v>
      </c>
      <c r="J268" s="6">
        <v>1.7333</v>
      </c>
      <c r="K268" s="5">
        <v>6.67</v>
      </c>
      <c r="L268" s="6">
        <v>0.6667</v>
      </c>
      <c r="M268" s="6">
        <v>-2.3</v>
      </c>
      <c r="N268" s="6">
        <v>0</v>
      </c>
      <c r="O268" s="6">
        <v>0.3333</v>
      </c>
      <c r="P268" s="6">
        <v>0.6667</v>
      </c>
      <c r="Q268" s="7"/>
      <c r="R268" s="7"/>
    </row>
    <row r="269" spans="1:18">
      <c r="A269" s="4" t="s">
        <v>400</v>
      </c>
      <c r="B269" s="4">
        <f t="shared" si="4"/>
        <v>3</v>
      </c>
      <c r="C269" s="4" t="s">
        <v>401</v>
      </c>
      <c r="D269" s="1" t="str">
        <f>IFERROR(VLOOKUP(A269,[1]biopep_DB!$F$2:$J$1654,5,0),)</f>
        <v>Quantitative structure-activity relationship study of bitter di- and tri-peptides including relationship with angiotensin I-converting enzyme inhibitory activity.; Analysis of novel angiotensin I-converting enzyme inhibitory peptides from enzymatic hydrolysates of cuttlefish (Sepia officinalis) muscle proteins.; QSAR study on angiotensin-converting enzyme inhibitor oligopeptides based on a novel set of sequence information descriptors.; Review on the angiotensin-I-converting enzyme (ACE) inhibitor peptides from marine proteins.; What are the ideal properties for functional food peptides with antihypertensive effect? A computational peptidology approach.</v>
      </c>
      <c r="E269" s="1" t="str">
        <f>IFERROR(VLOOKUP(A269,[1]biopep_DB!$F$2:$L$1654,6,0),0)</f>
        <v>10.1002/psc.800; 10.1021/jf904300q; 10.1007/s00894-010-0862-x; 10.1007/s12010-012-0024-y; 10.1016/j.foodchem.2013.05.140</v>
      </c>
      <c r="F269" s="1" t="str">
        <f>IFERROR(VLOOKUP(A269,[1]biopep_DB!$F$2:$L$1654,7,0),0)</f>
        <v>17117396 20180574 20941517 23271625 23871047</v>
      </c>
      <c r="G269" s="5">
        <v>279.29</v>
      </c>
      <c r="H269" s="5">
        <v>5.53</v>
      </c>
      <c r="I269" s="5">
        <v>-0.24</v>
      </c>
      <c r="J269" s="6">
        <v>0.6667</v>
      </c>
      <c r="K269" s="5">
        <v>47.8</v>
      </c>
      <c r="L269" s="6">
        <v>0.3333</v>
      </c>
      <c r="M269" s="6">
        <v>-1.62</v>
      </c>
      <c r="N269" s="6">
        <v>0</v>
      </c>
      <c r="O269" s="6">
        <v>0.6667</v>
      </c>
      <c r="P269" s="6">
        <v>0.3333</v>
      </c>
      <c r="Q269" s="7"/>
      <c r="R269" s="7"/>
    </row>
    <row r="270" spans="1:18">
      <c r="A270" s="4" t="s">
        <v>402</v>
      </c>
      <c r="B270" s="4">
        <f t="shared" si="4"/>
        <v>14</v>
      </c>
      <c r="C270" s="4" t="s">
        <v>403</v>
      </c>
      <c r="D270" s="1" t="str">
        <f>IFERROR(VLOOKUP(A270,[1]biopep_DB!$F$2:$J$1654,5,0),)</f>
        <v/>
      </c>
      <c r="E270" s="1" t="str">
        <f>IFERROR(VLOOKUP(A270,[1]biopep_DB!$F$2:$L$1654,6,0),0)</f>
        <v/>
      </c>
      <c r="F270" s="1" t="str">
        <f>IFERROR(VLOOKUP(A270,[1]biopep_DB!$F$2:$L$1654,7,0),0)</f>
        <v/>
      </c>
      <c r="G270" s="5">
        <v>1478.52</v>
      </c>
      <c r="H270" s="5">
        <v>4.05</v>
      </c>
      <c r="I270" s="5">
        <v>-3.23</v>
      </c>
      <c r="J270" s="6">
        <v>-0.4786</v>
      </c>
      <c r="K270" s="5">
        <v>38.04</v>
      </c>
      <c r="L270" s="6">
        <v>0.2857</v>
      </c>
      <c r="M270" s="6">
        <v>-0.7386</v>
      </c>
      <c r="N270" s="6">
        <v>0</v>
      </c>
      <c r="O270" s="6">
        <v>0.5714</v>
      </c>
      <c r="P270" s="6">
        <v>0.2857</v>
      </c>
      <c r="Q270" s="7"/>
      <c r="R270" s="7"/>
    </row>
    <row r="271" spans="1:18">
      <c r="A271" s="4" t="s">
        <v>404</v>
      </c>
      <c r="B271" s="4">
        <f t="shared" si="4"/>
        <v>3</v>
      </c>
      <c r="C271" s="4" t="s">
        <v>36</v>
      </c>
      <c r="D271" s="1" t="str">
        <f>IFERROR(VLOOKUP(A271,[1]biopep_DB!$F$2:$J$1654,5,0),)</f>
        <v>What are the ideal properties for functional food peptides with antihypertensive effect? A computational peptidology approach.</v>
      </c>
      <c r="E271" s="1" t="str">
        <f>IFERROR(VLOOKUP(A271,[1]biopep_DB!$F$2:$L$1654,6,0),0)</f>
        <v>10.1016/j.foodchem.2013.05.140</v>
      </c>
      <c r="F271" s="1" t="str">
        <f>IFERROR(VLOOKUP(A271,[1]biopep_DB!$F$2:$L$1654,7,0),0)</f>
        <v>23871047</v>
      </c>
      <c r="G271" s="5">
        <v>350.41</v>
      </c>
      <c r="H271" s="5">
        <v>8.75</v>
      </c>
      <c r="I271" s="5">
        <v>0.76</v>
      </c>
      <c r="J271" s="6">
        <v>-0.5</v>
      </c>
      <c r="K271" s="5">
        <v>-21.63</v>
      </c>
      <c r="L271" s="6">
        <v>0.3333</v>
      </c>
      <c r="M271" s="6">
        <v>-0.78</v>
      </c>
      <c r="N271" s="6">
        <v>0.3333</v>
      </c>
      <c r="O271" s="6">
        <v>0.3333</v>
      </c>
      <c r="P271" s="6">
        <v>0.3333</v>
      </c>
      <c r="Q271" s="7"/>
      <c r="R271" s="7"/>
    </row>
    <row r="272" spans="1:18">
      <c r="A272" s="4" t="s">
        <v>405</v>
      </c>
      <c r="B272" s="4">
        <f t="shared" si="4"/>
        <v>7</v>
      </c>
      <c r="C272" s="4" t="s">
        <v>406</v>
      </c>
      <c r="D272" s="1" t="str">
        <f>IFERROR(VLOOKUP(A272,[1]biopep_DB!$F$2:$J$1654,5,0),)</f>
        <v>Angiotensin I converting enzyme inhibitory peptides from simulated in vitro gastrointestinal digestion of cooked eggs.</v>
      </c>
      <c r="E272" s="1" t="str">
        <f>IFERROR(VLOOKUP(A272,[1]biopep_DB!$F$2:$L$1654,6,0),0)</f>
        <v>10.1021/jf8028557</v>
      </c>
      <c r="F272" s="1">
        <f>IFERROR(VLOOKUP(A272,[1]biopep_DB!$F$2:$L$1654,7,0),0)</f>
        <v>19154160</v>
      </c>
      <c r="G272" s="5">
        <v>764.89</v>
      </c>
      <c r="H272" s="5">
        <v>8.25</v>
      </c>
      <c r="I272" s="5">
        <v>0.75</v>
      </c>
      <c r="J272" s="6">
        <v>0.3143</v>
      </c>
      <c r="K272" s="5">
        <v>60.57</v>
      </c>
      <c r="L272" s="6">
        <v>0.4286</v>
      </c>
      <c r="M272" s="6">
        <v>-0.8114</v>
      </c>
      <c r="N272" s="6">
        <v>0</v>
      </c>
      <c r="O272" s="6">
        <v>0.4286</v>
      </c>
      <c r="P272" s="6">
        <v>0.2857</v>
      </c>
      <c r="Q272" s="7"/>
      <c r="R272" s="7"/>
    </row>
    <row r="273" spans="1:18">
      <c r="A273" s="4" t="s">
        <v>407</v>
      </c>
      <c r="B273" s="4">
        <f t="shared" si="4"/>
        <v>13</v>
      </c>
      <c r="C273" s="4" t="s">
        <v>408</v>
      </c>
      <c r="D273" s="1" t="str">
        <f>IFERROR(VLOOKUP(A273,[1]biopep_DB!$F$2:$J$1654,5,0),)</f>
        <v/>
      </c>
      <c r="E273" s="1" t="str">
        <f>IFERROR(VLOOKUP(A273,[1]biopep_DB!$F$2:$L$1654,6,0),0)</f>
        <v/>
      </c>
      <c r="F273" s="1" t="str">
        <f>IFERROR(VLOOKUP(A273,[1]biopep_DB!$F$2:$L$1654,7,0),0)</f>
        <v/>
      </c>
      <c r="G273" s="5">
        <v>1637.75</v>
      </c>
      <c r="H273" s="5">
        <v>6.02</v>
      </c>
      <c r="I273" s="5">
        <v>-1.06</v>
      </c>
      <c r="J273" s="6">
        <v>-1.6615</v>
      </c>
      <c r="K273" s="5">
        <v>28.52</v>
      </c>
      <c r="L273" s="6">
        <v>0.3077</v>
      </c>
      <c r="M273" s="6">
        <v>0.0285</v>
      </c>
      <c r="N273" s="6">
        <v>0.1538</v>
      </c>
      <c r="O273" s="6">
        <v>0.3077</v>
      </c>
      <c r="P273" s="6">
        <v>0.3077</v>
      </c>
      <c r="Q273" s="7"/>
      <c r="R273" s="7"/>
    </row>
    <row r="274" spans="1:18">
      <c r="A274" s="4" t="s">
        <v>409</v>
      </c>
      <c r="B274" s="4">
        <f t="shared" si="4"/>
        <v>3</v>
      </c>
      <c r="C274" s="4" t="s">
        <v>410</v>
      </c>
      <c r="D274" s="1" t="str">
        <f>IFERROR(VLOOKUP(A274,[1]biopep_DB!$F$2:$J$1654,5,0),)</f>
        <v>Antihypertensive peptides: production, bioavailability and incorporation into foods.</v>
      </c>
      <c r="E274" s="1" t="str">
        <f>IFERROR(VLOOKUP(A274,[1]biopep_DB!$F$2:$L$1654,6,0),0)</f>
        <v>10.1016/j.cis.2010.11.001</v>
      </c>
      <c r="F274" s="1" t="str">
        <f>IFERROR(VLOOKUP(A274,[1]biopep_DB!$F$2:$L$1654,7,0),0)</f>
        <v>21185549</v>
      </c>
      <c r="G274" s="5">
        <v>359.38</v>
      </c>
      <c r="H274" s="5">
        <v>6.74</v>
      </c>
      <c r="I274" s="5">
        <v>-0.15</v>
      </c>
      <c r="J274" s="6">
        <v>-0.2667</v>
      </c>
      <c r="K274" s="5">
        <v>-27.9</v>
      </c>
      <c r="L274" s="6">
        <v>0.3333</v>
      </c>
      <c r="M274" s="6">
        <v>-0.9767</v>
      </c>
      <c r="N274" s="6">
        <v>0</v>
      </c>
      <c r="O274" s="6">
        <v>0.3333</v>
      </c>
      <c r="P274" s="6">
        <v>0.3333</v>
      </c>
      <c r="Q274" s="7"/>
      <c r="R274" s="7"/>
    </row>
    <row r="275" spans="1:18">
      <c r="A275" s="4" t="s">
        <v>411</v>
      </c>
      <c r="B275" s="4">
        <f t="shared" si="4"/>
        <v>13</v>
      </c>
      <c r="C275" s="4"/>
      <c r="G275" s="5">
        <v>1410.57</v>
      </c>
      <c r="H275" s="5">
        <v>6.75</v>
      </c>
      <c r="I275" s="5">
        <v>-0.15</v>
      </c>
      <c r="J275" s="6">
        <v>-0.4385</v>
      </c>
      <c r="K275" s="5">
        <v>63.92</v>
      </c>
      <c r="L275" s="6">
        <v>0.4615</v>
      </c>
      <c r="M275" s="6">
        <v>-0.64</v>
      </c>
      <c r="N275" s="6">
        <v>0.2308</v>
      </c>
      <c r="O275" s="6">
        <v>0.3846</v>
      </c>
      <c r="P275" s="6">
        <v>0.2308</v>
      </c>
      <c r="Q275" s="7"/>
      <c r="R275" s="7"/>
    </row>
    <row r="276" spans="1:18">
      <c r="A276" s="4" t="s">
        <v>412</v>
      </c>
      <c r="B276" s="4">
        <f t="shared" si="4"/>
        <v>2</v>
      </c>
      <c r="C276" s="4"/>
      <c r="D276" s="1" t="str">
        <f>IFERROR(VLOOKUP(A276,[1]biopep_DB!$F$2:$J$1654,5,0),)</f>
        <v>Quantitative structure-activity relationship study of bitter di- and tri-peptides including relationship with angiotensin I-converting enzyme inhibitory activity.; Isolation and characterization of peptides with antihypertensive activity in foodstuffs.</v>
      </c>
      <c r="E276" s="1" t="str">
        <f>IFERROR(VLOOKUP(A276,[1]biopep_DB!$F$2:$L$1654,6,0),0)</f>
        <v>10.1002/psc.800; 10.1080/10408398.2012.664829</v>
      </c>
      <c r="F276" s="1" t="str">
        <f>IFERROR(VLOOKUP(A276,[1]biopep_DB!$F$2:$L$1654,7,0),0)</f>
        <v>17117396 24915368</v>
      </c>
      <c r="G276" s="5">
        <v>278.35</v>
      </c>
      <c r="H276" s="5">
        <v>5.53</v>
      </c>
      <c r="I276" s="5">
        <v>-0.24</v>
      </c>
      <c r="J276" s="6">
        <v>3.65</v>
      </c>
      <c r="K276" s="5">
        <v>5</v>
      </c>
      <c r="L276" s="6">
        <v>1</v>
      </c>
      <c r="M276" s="6">
        <v>-3.95</v>
      </c>
      <c r="N276" s="6">
        <v>0</v>
      </c>
      <c r="O276" s="6">
        <v>0</v>
      </c>
      <c r="P276" s="6">
        <v>1</v>
      </c>
      <c r="Q276" s="7"/>
      <c r="R276" s="7"/>
    </row>
    <row r="277" spans="1:18">
      <c r="A277" s="4" t="s">
        <v>413</v>
      </c>
      <c r="B277" s="4">
        <f t="shared" si="4"/>
        <v>3</v>
      </c>
      <c r="C277" s="4"/>
      <c r="D277" s="1" t="str">
        <f>IFERROR(VLOOKUP(A277,[1]biopep_DB!$F$2:$J$1654,5,0),)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277" s="1" t="str">
        <f>IFERROR(VLOOKUP(A277,[1]biopep_DB!$F$2:$L$1654,6,0),0)</f>
        <v>10.1002/psc.800; 10.1007/s00894-010-0862-x; 10.1016/j.foodchem.2013.05.140</v>
      </c>
      <c r="F277" s="1" t="str">
        <f>IFERROR(VLOOKUP(A277,[1]biopep_DB!$F$2:$L$1654,7,0),0)</f>
        <v>17117396 20941517 23871047</v>
      </c>
      <c r="G277" s="5">
        <v>377.48</v>
      </c>
      <c r="H277" s="5">
        <v>5.53</v>
      </c>
      <c r="I277" s="5">
        <v>-0.24</v>
      </c>
      <c r="J277" s="6">
        <v>3.8333</v>
      </c>
      <c r="K277" s="5">
        <v>-21.63</v>
      </c>
      <c r="L277" s="6">
        <v>1</v>
      </c>
      <c r="M277" s="6">
        <v>-3.98</v>
      </c>
      <c r="N277" s="6">
        <v>0</v>
      </c>
      <c r="O277" s="6">
        <v>0</v>
      </c>
      <c r="P277" s="6">
        <v>1</v>
      </c>
      <c r="Q277" s="7"/>
      <c r="R277" s="7"/>
    </row>
    <row r="278" spans="1:18">
      <c r="A278" s="4" t="s">
        <v>414</v>
      </c>
      <c r="B278" s="4">
        <f t="shared" si="4"/>
        <v>2</v>
      </c>
      <c r="C278" s="4" t="s">
        <v>415</v>
      </c>
      <c r="D278" s="1" t="str">
        <f>IFERROR(VLOOKUP(A278,[1]biopep_DB!$F$2:$J$1654,5,0),)</f>
        <v/>
      </c>
      <c r="E278" s="1" t="str">
        <f>IFERROR(VLOOKUP(A278,[1]biopep_DB!$F$2:$L$1654,6,0),0)</f>
        <v/>
      </c>
      <c r="F278" s="1" t="str">
        <f>IFERROR(VLOOKUP(A278,[1]biopep_DB!$F$2:$L$1654,7,0),0)</f>
        <v/>
      </c>
      <c r="G278" s="5">
        <v>293.36</v>
      </c>
      <c r="H278" s="5">
        <v>8.75</v>
      </c>
      <c r="I278" s="5">
        <v>0.76</v>
      </c>
      <c r="J278" s="6">
        <v>-0.55</v>
      </c>
      <c r="K278" s="5">
        <v>-70.15</v>
      </c>
      <c r="L278" s="6">
        <v>0.5</v>
      </c>
      <c r="M278" s="6">
        <v>-0.7</v>
      </c>
      <c r="N278" s="6">
        <v>0.5</v>
      </c>
      <c r="O278" s="6">
        <v>0</v>
      </c>
      <c r="P278" s="6">
        <v>0.5</v>
      </c>
      <c r="Q278" s="7"/>
      <c r="R278" s="7"/>
    </row>
    <row r="279" spans="1:18">
      <c r="A279" s="4" t="s">
        <v>416</v>
      </c>
      <c r="B279" s="4">
        <f t="shared" si="4"/>
        <v>3</v>
      </c>
      <c r="C279" s="4" t="s">
        <v>31</v>
      </c>
      <c r="D279" s="1" t="str">
        <f>IFERROR(VLOOKUP(A279,[1]biopep_DB!$F$2:$J$1654,5,0),)</f>
        <v/>
      </c>
      <c r="E279" s="1" t="str">
        <f>IFERROR(VLOOKUP(A279,[1]biopep_DB!$F$2:$L$1654,6,0),0)</f>
        <v/>
      </c>
      <c r="F279" s="1" t="str">
        <f>IFERROR(VLOOKUP(A279,[1]biopep_DB!$F$2:$L$1654,7,0),0)</f>
        <v/>
      </c>
      <c r="G279" s="5">
        <v>396.5</v>
      </c>
      <c r="H279" s="5">
        <v>8.22</v>
      </c>
      <c r="I279" s="5">
        <v>0.75</v>
      </c>
      <c r="J279" s="6">
        <v>0.4667</v>
      </c>
      <c r="K279" s="5">
        <v>-43.43</v>
      </c>
      <c r="L279" s="6">
        <v>0.3333</v>
      </c>
      <c r="M279" s="6">
        <v>-0.8933</v>
      </c>
      <c r="N279" s="6">
        <v>0.3333</v>
      </c>
      <c r="O279" s="6">
        <v>0</v>
      </c>
      <c r="P279" s="6">
        <v>0.3333</v>
      </c>
      <c r="Q279" s="7"/>
      <c r="R279" s="7"/>
    </row>
    <row r="280" spans="1:18">
      <c r="A280" s="4" t="s">
        <v>417</v>
      </c>
      <c r="B280" s="4">
        <f t="shared" si="4"/>
        <v>7</v>
      </c>
      <c r="C280" s="4" t="s">
        <v>418</v>
      </c>
      <c r="D280" s="1" t="str">
        <f>IFERROR(VLOOKUP(A280,[1]biopep_DB!$F$2:$J$1654,5,0),)</f>
        <v>Temporal gene expression and probiotic attributes of Lactobacillus acidophilus during growth in milk.; Ala-Val-Phe and Val-Phe: ACE inhibitory peptides derived from insect protein with antihypertensive activity in spontaneously hypertensive rats.; A new QSAR model, for angiotensin I-converting enzyme inhibitory oligopeptides.; Isolation and characterization of peptides with antihypertensive activity in foodstuffs.</v>
      </c>
      <c r="E280" s="1" t="str">
        <f>IFERROR(VLOOKUP(A280,[1]biopep_DB!$F$2:$L$1654,6,0),0)</f>
        <v>10.3168/jds.2008-1457; 10.1016/j.peptides.2009.05.029; 10.1016/j.foodchem.2012.09.092; 10.1080/10408398.2012.664829</v>
      </c>
      <c r="F280" s="1" t="str">
        <f>IFERROR(VLOOKUP(A280,[1]biopep_DB!$F$2:$L$1654,7,0),0)</f>
        <v>19233780 19524628 23194537 24915368</v>
      </c>
      <c r="G280" s="5">
        <v>930.06</v>
      </c>
      <c r="H280" s="5">
        <v>9.7</v>
      </c>
      <c r="I280" s="5">
        <v>1.76</v>
      </c>
      <c r="J280" s="6">
        <v>-1.4571</v>
      </c>
      <c r="K280" s="5">
        <v>-0.54</v>
      </c>
      <c r="L280" s="6">
        <v>0.2857</v>
      </c>
      <c r="M280" s="6">
        <v>0.0943</v>
      </c>
      <c r="N280" s="6">
        <v>0.1429</v>
      </c>
      <c r="O280" s="6">
        <v>0.2857</v>
      </c>
      <c r="P280" s="6">
        <v>0.4286</v>
      </c>
      <c r="Q280" s="7"/>
      <c r="R280" s="7"/>
    </row>
    <row r="281" spans="1:18">
      <c r="A281" s="4" t="s">
        <v>419</v>
      </c>
      <c r="B281" s="4">
        <f t="shared" si="4"/>
        <v>3</v>
      </c>
      <c r="C281" s="4" t="s">
        <v>31</v>
      </c>
      <c r="D281" s="1" t="str">
        <f>IFERROR(VLOOKUP(A281,[1]biopep_DB!$F$2:$J$1654,5,0),)</f>
        <v/>
      </c>
      <c r="E281" s="1" t="str">
        <f>IFERROR(VLOOKUP(A281,[1]biopep_DB!$F$2:$L$1654,6,0),0)</f>
        <v/>
      </c>
      <c r="F281" s="1" t="str">
        <f>IFERROR(VLOOKUP(A281,[1]biopep_DB!$F$2:$L$1654,7,0),0)</f>
        <v/>
      </c>
      <c r="G281" s="5">
        <v>390.48</v>
      </c>
      <c r="H281" s="5">
        <v>8.75</v>
      </c>
      <c r="I281" s="5">
        <v>0.76</v>
      </c>
      <c r="J281" s="6">
        <v>-0.9</v>
      </c>
      <c r="K281" s="5">
        <v>-68.57</v>
      </c>
      <c r="L281" s="6">
        <v>0.6667</v>
      </c>
      <c r="M281" s="6">
        <v>-0.4667</v>
      </c>
      <c r="N281" s="6">
        <v>0.3333</v>
      </c>
      <c r="O281" s="6">
        <v>0.3333</v>
      </c>
      <c r="P281" s="6">
        <v>0.3333</v>
      </c>
      <c r="Q281" s="7"/>
      <c r="R281" s="7"/>
    </row>
    <row r="282" spans="1:18">
      <c r="A282" s="4" t="s">
        <v>420</v>
      </c>
      <c r="B282" s="4">
        <f t="shared" si="4"/>
        <v>2</v>
      </c>
      <c r="C282" s="4" t="s">
        <v>36</v>
      </c>
      <c r="D282" s="1" t="str">
        <f>IFERROR(VLOOKUP(A282,[1]biopep_DB!$F$2:$J$1654,5,0),)</f>
        <v>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v>
      </c>
      <c r="E282" s="1" t="str">
        <f>IFERROR(VLOOKUP(A282,[1]biopep_DB!$F$2:$L$1654,6,0),0)</f>
        <v>10.1021/jf051263l; 10.1002/psc.800; 10.1002/psc.892</v>
      </c>
      <c r="F282" s="1" t="str">
        <f>IFERROR(VLOOKUP(A282,[1]biopep_DB!$F$2:$L$1654,7,0),0)</f>
        <v>16448176 17117396 17654623</v>
      </c>
      <c r="G282" s="5">
        <v>278.35</v>
      </c>
      <c r="H282" s="5">
        <v>5.53</v>
      </c>
      <c r="I282" s="5">
        <v>-0.24</v>
      </c>
      <c r="J282" s="6">
        <v>3.3</v>
      </c>
      <c r="K282" s="5">
        <v>5</v>
      </c>
      <c r="L282" s="6">
        <v>1</v>
      </c>
      <c r="M282" s="6">
        <v>-3.95</v>
      </c>
      <c r="N282" s="6">
        <v>0.5</v>
      </c>
      <c r="O282" s="6">
        <v>0</v>
      </c>
      <c r="P282" s="6">
        <v>1</v>
      </c>
      <c r="Q282" s="7"/>
      <c r="R282" s="7"/>
    </row>
    <row r="283" spans="1:18">
      <c r="A283" s="4" t="s">
        <v>421</v>
      </c>
      <c r="B283" s="4">
        <f t="shared" si="4"/>
        <v>14</v>
      </c>
      <c r="C283" s="4"/>
      <c r="G283" s="5">
        <v>1584.98</v>
      </c>
      <c r="H283" s="5">
        <v>10</v>
      </c>
      <c r="I283" s="5">
        <v>1.76</v>
      </c>
      <c r="J283" s="6">
        <v>0.9786</v>
      </c>
      <c r="K283" s="5">
        <v>-0.54</v>
      </c>
      <c r="L283" s="6">
        <v>0.7857</v>
      </c>
      <c r="M283" s="6">
        <v>-2.1</v>
      </c>
      <c r="N283" s="6">
        <v>0.6429</v>
      </c>
      <c r="O283" s="6">
        <v>0.2143</v>
      </c>
      <c r="P283" s="6">
        <v>0.5</v>
      </c>
      <c r="Q283" s="7"/>
      <c r="R283" s="7"/>
    </row>
    <row r="284" spans="1:18">
      <c r="A284" s="4" t="s">
        <v>422</v>
      </c>
      <c r="B284" s="4">
        <f t="shared" si="4"/>
        <v>3</v>
      </c>
      <c r="C284" s="4"/>
      <c r="D284" s="1" t="str">
        <f>IFERROR(VLOOKUP(A284,[1]biopep_DB!$F$2:$J$1654,5,0),)</f>
        <v>Isolation from alpha-zein of thermolysin peptides with angiotensin I-converting enzyme inhibitory activity.</v>
      </c>
      <c r="E284" s="1" t="str">
        <f>IFERROR(VLOOKUP(A284,[1]biopep_DB!$F$2:$L$1654,6,0),0)</f>
        <v>10.1271/bbb.60.661</v>
      </c>
      <c r="F284" s="1">
        <f>IFERROR(VLOOKUP(A284,[1]biopep_DB!$F$2:$L$1654,7,0),0)</f>
        <v>8829536</v>
      </c>
      <c r="G284" s="5">
        <v>375.46</v>
      </c>
      <c r="H284" s="5">
        <v>5.53</v>
      </c>
      <c r="I284" s="5">
        <v>-0.24</v>
      </c>
      <c r="J284" s="6">
        <v>1.6667</v>
      </c>
      <c r="K284" s="5">
        <v>70.87</v>
      </c>
      <c r="L284" s="6">
        <v>1</v>
      </c>
      <c r="M284" s="6">
        <v>-2.6333</v>
      </c>
      <c r="N284" s="6">
        <v>0.3333</v>
      </c>
      <c r="O284" s="6">
        <v>0.3333</v>
      </c>
      <c r="P284" s="6">
        <v>0.6667</v>
      </c>
      <c r="Q284" s="7"/>
      <c r="R284" s="7"/>
    </row>
    <row r="285" spans="1:18">
      <c r="A285" s="4" t="s">
        <v>423</v>
      </c>
      <c r="B285" s="4">
        <f t="shared" si="4"/>
        <v>4</v>
      </c>
      <c r="C285" s="4"/>
      <c r="D285" s="1" t="str">
        <f>IFERROR(VLOOKUP(A285,[1]biopep_DB!$F$2:$J$1654,5,0),)</f>
        <v>Isolation from alpha-zein of thermolysin peptides with angiotensin I-converting enzyme inhibitory activity.</v>
      </c>
      <c r="E285" s="1" t="str">
        <f>IFERROR(VLOOKUP(A285,[1]biopep_DB!$F$2:$L$1654,6,0),0)</f>
        <v>10.1271/bbb.60.661</v>
      </c>
      <c r="F285" s="1" t="str">
        <f>IFERROR(VLOOKUP(A285,[1]biopep_DB!$F$2:$L$1654,7,0),0)</f>
        <v>8829536</v>
      </c>
      <c r="G285" s="5">
        <v>472.58</v>
      </c>
      <c r="H285" s="5">
        <v>5.53</v>
      </c>
      <c r="I285" s="5">
        <v>-0.24</v>
      </c>
      <c r="J285" s="6">
        <v>0.85</v>
      </c>
      <c r="K285" s="5">
        <v>103.8</v>
      </c>
      <c r="L285" s="6">
        <v>1</v>
      </c>
      <c r="M285" s="6">
        <v>-1.975</v>
      </c>
      <c r="N285" s="6">
        <v>0.25</v>
      </c>
      <c r="O285" s="6">
        <v>0.5</v>
      </c>
      <c r="P285" s="6">
        <v>0.5</v>
      </c>
      <c r="Q285" s="7"/>
      <c r="R285" s="7"/>
    </row>
    <row r="286" spans="1:18">
      <c r="A286" s="4" t="s">
        <v>424</v>
      </c>
      <c r="B286" s="4">
        <f t="shared" si="4"/>
        <v>7</v>
      </c>
      <c r="C286" s="4"/>
      <c r="D286" s="1" t="str">
        <f>IFERROR(VLOOKUP(A286,[1]biopep_DB!$F$2:$J$1654,5,0),)</f>
        <v>Isolation and characterization of peptides with antihypertensive activity in foodstuffs.</v>
      </c>
      <c r="E286" s="1" t="str">
        <f>IFERROR(VLOOKUP(A286,[1]biopep_DB!$F$2:$L$1654,6,0),0)</f>
        <v>10.1080/10408398.2012.664829</v>
      </c>
      <c r="F286" s="1">
        <f>IFERROR(VLOOKUP(A286,[1]biopep_DB!$F$2:$L$1654,7,0),0)</f>
        <v>24915368</v>
      </c>
      <c r="G286" s="5">
        <v>962.1</v>
      </c>
      <c r="H286" s="5">
        <v>5.52</v>
      </c>
      <c r="I286" s="5">
        <v>-0.24</v>
      </c>
      <c r="J286" s="6">
        <v>-0.0714</v>
      </c>
      <c r="K286" s="5">
        <v>71.34</v>
      </c>
      <c r="L286" s="6">
        <v>0.5714</v>
      </c>
      <c r="M286" s="6">
        <v>-1.0686</v>
      </c>
      <c r="N286" s="6">
        <v>0.1429</v>
      </c>
      <c r="O286" s="6">
        <v>0.2857</v>
      </c>
      <c r="P286" s="6">
        <v>0.7143</v>
      </c>
      <c r="Q286" s="7"/>
      <c r="R286" s="7"/>
    </row>
    <row r="287" spans="1:18">
      <c r="A287" s="4" t="s">
        <v>425</v>
      </c>
      <c r="B287" s="4">
        <f t="shared" si="4"/>
        <v>5</v>
      </c>
      <c r="C287" s="4" t="s">
        <v>426</v>
      </c>
      <c r="D287" s="1" t="str">
        <f>IFERROR(VLOOKUP(A287,[1]biopep_DB!$F$2:$J$1654,5,0),)</f>
        <v>A new QSAR model, for angiotensin I-converting enzyme inhibitory oligopeptides.</v>
      </c>
      <c r="E287" s="1" t="str">
        <f>IFERROR(VLOOKUP(A287,[1]biopep_DB!$F$2:$L$1654,6,0),0)</f>
        <v>10.1016/j.foodchem.2012.09.092</v>
      </c>
      <c r="F287" s="1">
        <f>IFERROR(VLOOKUP(A287,[1]biopep_DB!$F$2:$L$1654,7,0),0)</f>
        <v>23194537</v>
      </c>
      <c r="G287" s="5">
        <v>571.71</v>
      </c>
      <c r="H287" s="5">
        <v>5.53</v>
      </c>
      <c r="I287" s="5">
        <v>-0.24</v>
      </c>
      <c r="J287" s="6">
        <v>1.52</v>
      </c>
      <c r="K287" s="5">
        <v>85.04</v>
      </c>
      <c r="L287" s="6">
        <v>1</v>
      </c>
      <c r="M287" s="6">
        <v>-2.388</v>
      </c>
      <c r="N287" s="6">
        <v>0.2</v>
      </c>
      <c r="O287" s="6">
        <v>0.4</v>
      </c>
      <c r="P287" s="6">
        <v>0.6</v>
      </c>
      <c r="Q287" s="7"/>
      <c r="R287" s="7"/>
    </row>
    <row r="288" spans="1:18">
      <c r="A288" s="4" t="s">
        <v>427</v>
      </c>
      <c r="B288" s="4">
        <f t="shared" si="4"/>
        <v>3</v>
      </c>
      <c r="C288" s="4" t="s">
        <v>36</v>
      </c>
      <c r="D288" s="1" t="str">
        <f>IFERROR(VLOOKUP(A288,[1]biopep_DB!$F$2:$J$1654,5,0),)</f>
        <v>Structural requirements of Angiotensin I-converting enzyme inhibitory peptides: quantitative structure-activity relationship study of di- and tripeptides.</v>
      </c>
      <c r="E288" s="1" t="str">
        <f>IFERROR(VLOOKUP(A288,[1]biopep_DB!$F$2:$L$1654,6,0),0)</f>
        <v>10.1021/jf051263l</v>
      </c>
      <c r="F288" s="1" t="str">
        <f>IFERROR(VLOOKUP(A288,[1]biopep_DB!$F$2:$L$1654,7,0),0)</f>
        <v>16448176</v>
      </c>
      <c r="G288" s="5">
        <v>408.41</v>
      </c>
      <c r="H288" s="5">
        <v>4.6</v>
      </c>
      <c r="I288" s="5">
        <v>-1.23</v>
      </c>
      <c r="J288" s="6">
        <v>-1.4</v>
      </c>
      <c r="K288" s="5">
        <v>6.67</v>
      </c>
      <c r="L288" s="6">
        <v>0.3333</v>
      </c>
      <c r="M288" s="6">
        <v>0.0933</v>
      </c>
      <c r="N288" s="6">
        <v>0.3333</v>
      </c>
      <c r="O288" s="6">
        <v>0.3333</v>
      </c>
      <c r="P288" s="6">
        <v>0.3333</v>
      </c>
      <c r="Q288" s="7"/>
      <c r="R288" s="7"/>
    </row>
    <row r="289" spans="1:18">
      <c r="A289" s="4" t="s">
        <v>428</v>
      </c>
      <c r="B289" s="4">
        <f t="shared" si="4"/>
        <v>3</v>
      </c>
      <c r="C289" s="4" t="s">
        <v>36</v>
      </c>
      <c r="D289" s="1" t="str">
        <f>IFERROR(VLOOKUP(A289,[1]biopep_DB!$F$2:$J$1654,5,0),)</f>
        <v>Structural requirements of Angiotensin I-converting enzyme inhibitory peptides: quantitative structure-activity relationship study of di- and tripeptides.; Isolation and characterization of peptides with antihypertensive activity in foodstuffs.</v>
      </c>
      <c r="E289" s="1" t="str">
        <f>IFERROR(VLOOKUP(A289,[1]biopep_DB!$F$2:$L$1654,6,0),0)</f>
        <v>10.1021/jf051263l; 10.1080/10408398.2012.664829</v>
      </c>
      <c r="F289" s="1" t="str">
        <f>IFERROR(VLOOKUP(A289,[1]biopep_DB!$F$2:$L$1654,7,0),0)</f>
        <v>16448176 24915368</v>
      </c>
      <c r="G289" s="5">
        <v>426.47</v>
      </c>
      <c r="H289" s="5">
        <v>5.53</v>
      </c>
      <c r="I289" s="5">
        <v>-0.24</v>
      </c>
      <c r="J289" s="6">
        <v>0.7</v>
      </c>
      <c r="K289" s="5">
        <v>-43.43</v>
      </c>
      <c r="L289" s="6">
        <v>0.6667</v>
      </c>
      <c r="M289" s="6">
        <v>-1.4467</v>
      </c>
      <c r="N289" s="6">
        <v>0</v>
      </c>
      <c r="O289" s="6">
        <v>0.3333</v>
      </c>
      <c r="P289" s="6">
        <v>0.6667</v>
      </c>
      <c r="Q289" s="7"/>
      <c r="R289" s="7"/>
    </row>
    <row r="290" spans="1:18">
      <c r="A290" s="4" t="s">
        <v>429</v>
      </c>
      <c r="B290" s="4">
        <f t="shared" si="4"/>
        <v>3</v>
      </c>
      <c r="C290" s="4" t="s">
        <v>430</v>
      </c>
      <c r="D290" s="1" t="str">
        <f>IFERROR(VLOOKUP(A290,[1]biopep_DB!$F$2:$J$1654,5,0),)</f>
        <v>Isolation from alpha-zein of thermolysin peptides with angiotensin I-converting enzyme inhibitory activity.; Bioactive peptides in amaranth (Amaranthus hypochondriacus) seed.; What are the ideal properties for functional food peptides with antihypertensive effect? A computational peptidology approach.</v>
      </c>
      <c r="E290" s="1" t="str">
        <f>IFERROR(VLOOKUP(A290,[1]biopep_DB!$F$2:$L$1654,6,0),0)</f>
        <v>10.1271/bbb.60.661; 10.1021/jf072911z; 10.1016/j.foodchem.2013.05.140</v>
      </c>
      <c r="F290" s="1" t="str">
        <f>IFERROR(VLOOKUP(A290,[1]biopep_DB!$F$2:$L$1654,7,0),0)</f>
        <v>8829536 18211015 23871047</v>
      </c>
      <c r="G290" s="5">
        <v>407.42</v>
      </c>
      <c r="H290" s="5">
        <v>5.53</v>
      </c>
      <c r="I290" s="5">
        <v>-0.24</v>
      </c>
      <c r="J290" s="6">
        <v>-1.4</v>
      </c>
      <c r="K290" s="5">
        <v>-18.47</v>
      </c>
      <c r="L290" s="6">
        <v>0.3333</v>
      </c>
      <c r="M290" s="6">
        <v>0</v>
      </c>
      <c r="N290" s="6">
        <v>0</v>
      </c>
      <c r="O290" s="6">
        <v>0.3333</v>
      </c>
      <c r="P290" s="6">
        <v>0.3333</v>
      </c>
      <c r="Q290" s="7"/>
      <c r="R290" s="7"/>
    </row>
    <row r="291" spans="1:18">
      <c r="A291" s="4" t="s">
        <v>431</v>
      </c>
      <c r="B291" s="4">
        <f t="shared" si="4"/>
        <v>25</v>
      </c>
      <c r="C291" s="4"/>
      <c r="G291" s="5">
        <v>2778.12</v>
      </c>
      <c r="H291" s="5">
        <v>5.52</v>
      </c>
      <c r="I291" s="5">
        <v>-0.24</v>
      </c>
      <c r="J291" s="6">
        <v>0.196</v>
      </c>
      <c r="K291" s="5">
        <v>65.85</v>
      </c>
      <c r="L291" s="6">
        <v>0.56</v>
      </c>
      <c r="M291" s="6">
        <v>-1.2524</v>
      </c>
      <c r="N291" s="6">
        <v>0.44</v>
      </c>
      <c r="O291" s="6">
        <v>0.2</v>
      </c>
      <c r="P291" s="6">
        <v>0.36</v>
      </c>
      <c r="Q291" s="7"/>
      <c r="R291" s="7"/>
    </row>
    <row r="292" spans="1:18">
      <c r="A292" s="4" t="s">
        <v>432</v>
      </c>
      <c r="B292" s="4">
        <f t="shared" si="4"/>
        <v>7</v>
      </c>
      <c r="C292" s="4" t="s">
        <v>433</v>
      </c>
      <c r="D292" s="1" t="str">
        <f>IFERROR(VLOOKUP(A292,[1]biopep_DB!$F$2:$J$1654,5,0),)</f>
        <v/>
      </c>
      <c r="E292" s="1" t="str">
        <f>IFERROR(VLOOKUP(A292,[1]biopep_DB!$F$2:$L$1654,6,0),0)</f>
        <v/>
      </c>
      <c r="F292" s="1" t="str">
        <f>IFERROR(VLOOKUP(A292,[1]biopep_DB!$F$2:$L$1654,7,0),0)</f>
        <v/>
      </c>
      <c r="G292" s="5">
        <v>880.98</v>
      </c>
      <c r="H292" s="5">
        <v>4.6</v>
      </c>
      <c r="I292" s="5">
        <v>-1.23</v>
      </c>
      <c r="J292" s="6">
        <v>0.1286</v>
      </c>
      <c r="K292" s="5">
        <v>25.31</v>
      </c>
      <c r="L292" s="6">
        <v>0.5714</v>
      </c>
      <c r="M292" s="6">
        <v>-1.22</v>
      </c>
      <c r="N292" s="6">
        <v>0.2857</v>
      </c>
      <c r="O292" s="6">
        <v>0.2857</v>
      </c>
      <c r="P292" s="6">
        <v>0.5714</v>
      </c>
      <c r="Q292" s="7"/>
      <c r="R292" s="7"/>
    </row>
    <row r="293" spans="1:18">
      <c r="A293" s="4" t="s">
        <v>434</v>
      </c>
      <c r="B293" s="4">
        <f t="shared" si="4"/>
        <v>10</v>
      </c>
      <c r="C293" s="4" t="s">
        <v>435</v>
      </c>
      <c r="D293" s="1" t="str">
        <f>IFERROR(VLOOKUP(A293,[1]biopep_DB!$F$2:$J$1654,5,0),)</f>
        <v/>
      </c>
      <c r="E293" s="1" t="str">
        <f>IFERROR(VLOOKUP(A293,[1]biopep_DB!$F$2:$L$1654,6,0),0)</f>
        <v/>
      </c>
      <c r="F293" s="1" t="str">
        <f>IFERROR(VLOOKUP(A293,[1]biopep_DB!$F$2:$L$1654,7,0),0)</f>
        <v/>
      </c>
      <c r="G293" s="5">
        <v>1278.41</v>
      </c>
      <c r="H293" s="5">
        <v>4.05</v>
      </c>
      <c r="I293" s="5">
        <v>-1.24</v>
      </c>
      <c r="J293" s="6">
        <v>0.16</v>
      </c>
      <c r="K293" s="5">
        <v>20.72</v>
      </c>
      <c r="L293" s="6">
        <v>0.5</v>
      </c>
      <c r="M293" s="6">
        <v>-1.054</v>
      </c>
      <c r="N293" s="6">
        <v>0.2</v>
      </c>
      <c r="O293" s="6">
        <v>0.3</v>
      </c>
      <c r="P293" s="6">
        <v>0.6</v>
      </c>
      <c r="Q293" s="7"/>
      <c r="R293" s="7"/>
    </row>
    <row r="294" spans="1:18">
      <c r="A294" s="4" t="s">
        <v>436</v>
      </c>
      <c r="B294" s="4">
        <f t="shared" si="4"/>
        <v>3</v>
      </c>
      <c r="C294" s="4" t="s">
        <v>31</v>
      </c>
      <c r="D294" s="1" t="str">
        <f>IFERROR(VLOOKUP(A294,[1]biopep_DB!$F$2:$J$1654,5,0),)</f>
        <v/>
      </c>
      <c r="E294" s="1" t="str">
        <f>IFERROR(VLOOKUP(A294,[1]biopep_DB!$F$2:$L$1654,6,0),0)</f>
        <v/>
      </c>
      <c r="F294" s="1" t="str">
        <f>IFERROR(VLOOKUP(A294,[1]biopep_DB!$F$2:$L$1654,7,0),0)</f>
        <v/>
      </c>
      <c r="G294" s="5">
        <v>465.5</v>
      </c>
      <c r="H294" s="5">
        <v>5.53</v>
      </c>
      <c r="I294" s="5">
        <v>-0.24</v>
      </c>
      <c r="J294" s="6">
        <v>-0.5333</v>
      </c>
      <c r="K294" s="5">
        <v>-27.9</v>
      </c>
      <c r="L294" s="6">
        <v>0.6667</v>
      </c>
      <c r="M294" s="6">
        <v>-1.23</v>
      </c>
      <c r="N294" s="6">
        <v>0</v>
      </c>
      <c r="O294" s="6">
        <v>0.3333</v>
      </c>
      <c r="P294" s="6">
        <v>0.6667</v>
      </c>
      <c r="Q294" s="7"/>
      <c r="R294" s="7"/>
    </row>
    <row r="295" spans="1:18">
      <c r="A295" s="4" t="s">
        <v>437</v>
      </c>
      <c r="B295" s="4">
        <f t="shared" si="4"/>
        <v>2</v>
      </c>
      <c r="C295" s="4" t="s">
        <v>36</v>
      </c>
      <c r="D295" s="1" t="str">
        <f>IFERROR(VLOOKUP(A295,[1]biopep_DB!$F$2:$J$1654,5,0),)</f>
        <v>Structural analysis of new antihypertensive peptides derived from cheese whey protein by proteinase K digestion.;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Bioactive peptides in amaranth (Amaranthus hypochondriacus) seed.; Antihypertensive peptides from food proteins: a review.; What are the ideal properties for functional food peptides with antihypertensive effect? A computational peptidology approach.; Isolation and characterization of peptides with antihypertensive activity in foodstuffs.</v>
      </c>
      <c r="E295" s="1" t="str">
        <f>IFERROR(VLOOKUP(A295,[1]biopep_DB!$F$2:$L$1654,6,0),0)</f>
        <v>10.3168/jds.S0022-0302(98)75878-3; 10.1021/jf051263l; 10.1002/psc.800; 10.1002/psc.892; 10.1021/jf072911z; 10.1039/c2fo10192k; 10.1016/j.foodchem.2013.05.140; 10.1080/10408398.2012.664829</v>
      </c>
      <c r="F295" s="1" t="str">
        <f>IFERROR(VLOOKUP(A295,[1]biopep_DB!$F$2:$L$1654,7,0),0)</f>
        <v>9891260 16448176 17117396 17654623 18211015 22249830 23871047 24915368</v>
      </c>
      <c r="G295" s="5">
        <v>262.3</v>
      </c>
      <c r="H295" s="5">
        <v>5.53</v>
      </c>
      <c r="I295" s="5">
        <v>-0.24</v>
      </c>
      <c r="J295" s="6">
        <v>0.6</v>
      </c>
      <c r="K295" s="5">
        <v>101.3</v>
      </c>
      <c r="L295" s="6">
        <v>1</v>
      </c>
      <c r="M295" s="6">
        <v>-1.49</v>
      </c>
      <c r="N295" s="6">
        <v>0</v>
      </c>
      <c r="O295" s="6">
        <v>0.5</v>
      </c>
      <c r="P295" s="6">
        <v>0.5</v>
      </c>
      <c r="Q295" s="7"/>
      <c r="R295" s="7"/>
    </row>
    <row r="296" spans="1:18">
      <c r="A296" s="4" t="s">
        <v>438</v>
      </c>
      <c r="B296" s="4">
        <f t="shared" si="4"/>
        <v>3</v>
      </c>
      <c r="C296" s="4"/>
      <c r="D296" s="1" t="str">
        <f>IFERROR(VLOOKUP(A296,[1]biopep_DB!$F$2:$J$1654,5,0),)</f>
        <v/>
      </c>
      <c r="E296" s="1" t="str">
        <f>IFERROR(VLOOKUP(A296,[1]biopep_DB!$F$2:$L$1654,6,0),0)</f>
        <v/>
      </c>
      <c r="F296" s="1" t="str">
        <f>IFERROR(VLOOKUP(A296,[1]biopep_DB!$F$2:$L$1654,7,0),0)</f>
        <v/>
      </c>
      <c r="G296" s="5">
        <v>391.42</v>
      </c>
      <c r="H296" s="5">
        <v>4.6</v>
      </c>
      <c r="I296" s="5">
        <v>-1.23</v>
      </c>
      <c r="J296" s="6">
        <v>-0.7667</v>
      </c>
      <c r="K296" s="5">
        <v>128.8</v>
      </c>
      <c r="L296" s="6">
        <v>0.6667</v>
      </c>
      <c r="M296" s="6">
        <v>-0.4467</v>
      </c>
      <c r="N296" s="6">
        <v>0.3333</v>
      </c>
      <c r="O296" s="6">
        <v>0.3333</v>
      </c>
      <c r="P296" s="6">
        <v>0.3333</v>
      </c>
      <c r="Q296" s="7"/>
      <c r="R296" s="7"/>
    </row>
    <row r="297" spans="1:18">
      <c r="A297" s="4" t="s">
        <v>439</v>
      </c>
      <c r="B297" s="4">
        <f t="shared" si="4"/>
        <v>7</v>
      </c>
      <c r="C297" s="4" t="s">
        <v>440</v>
      </c>
      <c r="D297" s="1" t="str">
        <f>IFERROR(VLOOKUP(A297,[1]biopep_DB!$F$2:$J$1654,5,0),)</f>
        <v>Enterococcus faecalis strains from food, environmental, and clinical origin produce ACE-inhibitory peptides and other bioactive peptides during growth in bovine skim milk.</v>
      </c>
      <c r="E297" s="1" t="str">
        <f>IFERROR(VLOOKUP(A297,[1]biopep_DB!$F$2:$L$1654,6,0),0)</f>
        <v>10.1016/j.ijfoodmicro.2013.06.019</v>
      </c>
      <c r="F297" s="1">
        <f>IFERROR(VLOOKUP(A297,[1]biopep_DB!$F$2:$L$1654,7,0),0)</f>
        <v>23845432</v>
      </c>
      <c r="G297" s="5">
        <v>822.95</v>
      </c>
      <c r="H297" s="5">
        <v>6</v>
      </c>
      <c r="I297" s="5">
        <v>-0.24</v>
      </c>
      <c r="J297" s="6">
        <v>0.0571</v>
      </c>
      <c r="K297" s="5">
        <v>48.79</v>
      </c>
      <c r="L297" s="6">
        <v>0.5714</v>
      </c>
      <c r="M297" s="6">
        <v>-1.1029</v>
      </c>
      <c r="N297" s="6">
        <v>0.2857</v>
      </c>
      <c r="O297" s="6">
        <v>0.2857</v>
      </c>
      <c r="P297" s="6">
        <v>0.4286</v>
      </c>
      <c r="Q297" s="7"/>
      <c r="R297" s="7"/>
    </row>
    <row r="298" spans="1:18">
      <c r="A298" s="4" t="s">
        <v>441</v>
      </c>
      <c r="B298" s="4">
        <f t="shared" si="4"/>
        <v>3</v>
      </c>
      <c r="C298" s="4"/>
      <c r="D298" s="1" t="str">
        <f>IFERROR(VLOOKUP(A298,[1]biopep_DB!$F$2:$J$1654,5,0),)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298" s="1" t="str">
        <f>IFERROR(VLOOKUP(A298,[1]biopep_DB!$F$2:$L$1654,6,0),0)</f>
        <v>10.1002/psc.800; 10.1007/s00894-010-0862-x; 10.1016/j.foodchem.2013.05.140</v>
      </c>
      <c r="F298" s="1" t="str">
        <f>IFERROR(VLOOKUP(A298,[1]biopep_DB!$F$2:$L$1654,7,0),0)</f>
        <v>17117396 20941517 23871047</v>
      </c>
      <c r="G298" s="5">
        <v>409.48</v>
      </c>
      <c r="H298" s="5">
        <v>5.53</v>
      </c>
      <c r="I298" s="5">
        <v>-0.24</v>
      </c>
      <c r="J298" s="6">
        <v>1.3333</v>
      </c>
      <c r="K298" s="5">
        <v>135.07</v>
      </c>
      <c r="L298" s="6">
        <v>1</v>
      </c>
      <c r="M298" s="6">
        <v>-1.9867</v>
      </c>
      <c r="N298" s="6">
        <v>0</v>
      </c>
      <c r="O298" s="6">
        <v>0.3333</v>
      </c>
      <c r="P298" s="6">
        <v>0.6667</v>
      </c>
      <c r="Q298" s="7"/>
      <c r="R298" s="7"/>
    </row>
    <row r="299" spans="1:18">
      <c r="A299" s="4" t="s">
        <v>442</v>
      </c>
      <c r="B299" s="4">
        <f t="shared" si="4"/>
        <v>8</v>
      </c>
      <c r="C299" s="4" t="s">
        <v>25</v>
      </c>
      <c r="G299" s="5">
        <v>970.12</v>
      </c>
      <c r="H299" s="5">
        <v>6</v>
      </c>
      <c r="I299" s="5">
        <v>-0.24</v>
      </c>
      <c r="J299" s="6">
        <v>0.4</v>
      </c>
      <c r="K299" s="5">
        <v>46.29</v>
      </c>
      <c r="L299" s="6">
        <v>0.625</v>
      </c>
      <c r="M299" s="6">
        <v>-1.3375</v>
      </c>
      <c r="N299" s="6">
        <v>0.25</v>
      </c>
      <c r="O299" s="6">
        <v>0.25</v>
      </c>
      <c r="P299" s="6">
        <v>0.5</v>
      </c>
      <c r="Q299" s="7"/>
      <c r="R299" s="7"/>
    </row>
    <row r="300" spans="1:18">
      <c r="A300" s="4" t="s">
        <v>443</v>
      </c>
      <c r="B300" s="4">
        <f t="shared" si="4"/>
        <v>3</v>
      </c>
      <c r="C300" s="4"/>
      <c r="D300" s="1" t="str">
        <f>IFERROR(VLOOKUP(A300,[1]biopep_DB!$F$2:$J$1654,5,0),)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300" s="1" t="str">
        <f>IFERROR(VLOOKUP(A300,[1]biopep_DB!$F$2:$L$1654,6,0),0)</f>
        <v>10.1002/psc.800; 10.1007/s00894-010-0862-x; 10.1016/j.foodchem.2013.05.140</v>
      </c>
      <c r="F300" s="1" t="str">
        <f>IFERROR(VLOOKUP(A300,[1]biopep_DB!$F$2:$L$1654,7,0),0)</f>
        <v>17117396 20941517 23871047</v>
      </c>
      <c r="G300" s="5">
        <v>390.48</v>
      </c>
      <c r="H300" s="5">
        <v>8.75</v>
      </c>
      <c r="I300" s="5">
        <v>0.76</v>
      </c>
      <c r="J300" s="6">
        <v>-0.9</v>
      </c>
      <c r="K300" s="5">
        <v>70.87</v>
      </c>
      <c r="L300" s="6">
        <v>0.6667</v>
      </c>
      <c r="M300" s="6">
        <v>-0.4667</v>
      </c>
      <c r="N300" s="6">
        <v>0.3333</v>
      </c>
      <c r="O300" s="6">
        <v>0.3333</v>
      </c>
      <c r="P300" s="6">
        <v>0.3333</v>
      </c>
      <c r="Q300" s="7"/>
      <c r="R300" s="7"/>
    </row>
    <row r="301" spans="1:18">
      <c r="A301" s="4" t="s">
        <v>444</v>
      </c>
      <c r="B301" s="4">
        <f t="shared" si="4"/>
        <v>5</v>
      </c>
      <c r="C301" s="4"/>
      <c r="D301" s="1" t="str">
        <f>IFERROR(VLOOKUP(A301,[1]biopep_DB!$F$2:$J$1654,5,0),)</f>
        <v/>
      </c>
      <c r="E301" s="1" t="str">
        <f>IFERROR(VLOOKUP(A301,[1]biopep_DB!$F$2:$L$1654,6,0),0)</f>
        <v/>
      </c>
      <c r="G301" s="5">
        <v>604.72</v>
      </c>
      <c r="H301" s="5">
        <v>5.53</v>
      </c>
      <c r="I301" s="5">
        <v>-0.24</v>
      </c>
      <c r="J301" s="6">
        <v>-0.4</v>
      </c>
      <c r="K301" s="5">
        <v>25.68</v>
      </c>
      <c r="L301" s="6">
        <v>0.8</v>
      </c>
      <c r="M301" s="6">
        <v>-0.742</v>
      </c>
      <c r="N301" s="6">
        <v>0.2</v>
      </c>
      <c r="O301" s="6">
        <v>0.6</v>
      </c>
      <c r="P301" s="6">
        <v>0.2</v>
      </c>
      <c r="Q301" s="7"/>
      <c r="R301" s="7"/>
    </row>
    <row r="302" spans="1:18">
      <c r="A302" s="4" t="s">
        <v>445</v>
      </c>
      <c r="B302" s="4">
        <f t="shared" si="4"/>
        <v>7</v>
      </c>
      <c r="C302" s="4"/>
      <c r="D302" s="1" t="str">
        <f>IFERROR(VLOOKUP(A302,[1]biopep_DB!$F$2:$J$1654,5,0),)</f>
        <v/>
      </c>
      <c r="E302" s="1" t="str">
        <f>IFERROR(VLOOKUP(A302,[1]biopep_DB!$F$2:$L$1654,6,0),0)</f>
        <v/>
      </c>
      <c r="G302" s="5">
        <v>830.01</v>
      </c>
      <c r="H302" s="5">
        <v>8.75</v>
      </c>
      <c r="I302" s="5">
        <v>0.76</v>
      </c>
      <c r="J302" s="6">
        <v>-1.0714</v>
      </c>
      <c r="K302" s="5">
        <v>48.71</v>
      </c>
      <c r="L302" s="6">
        <v>0.7143</v>
      </c>
      <c r="M302" s="6">
        <v>-0.3043</v>
      </c>
      <c r="N302" s="6">
        <v>0.2857</v>
      </c>
      <c r="O302" s="6">
        <v>0.5714</v>
      </c>
      <c r="P302" s="6">
        <v>0.1429</v>
      </c>
      <c r="Q302" s="7"/>
      <c r="R302" s="7"/>
    </row>
    <row r="303" spans="1:18">
      <c r="A303" s="4" t="s">
        <v>446</v>
      </c>
      <c r="B303" s="4">
        <f t="shared" si="4"/>
        <v>3</v>
      </c>
      <c r="C303" s="4"/>
      <c r="D303" s="1" t="str">
        <f>IFERROR(VLOOKUP(A303,[1]biopep_DB!$F$2:$J$1654,5,0),)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303" s="1" t="str">
        <f>IFERROR(VLOOKUP(A303,[1]biopep_DB!$F$2:$L$1654,6,0),0)</f>
        <v>10.1002/psc.800; 10.1007/s00894-010-0862-x; 10.1016/j.foodchem.2013.05.140</v>
      </c>
      <c r="F303" s="1" t="str">
        <f>IFERROR(VLOOKUP(A303,[1]biopep_DB!$F$2:$L$1654,7,0),0)</f>
        <v>17117396 20941517 23871047</v>
      </c>
      <c r="G303" s="5">
        <v>359.42</v>
      </c>
      <c r="H303" s="5">
        <v>5.53</v>
      </c>
      <c r="I303" s="5">
        <v>-0.24</v>
      </c>
      <c r="J303" s="6">
        <v>-0.1333</v>
      </c>
      <c r="K303" s="5">
        <v>135.07</v>
      </c>
      <c r="L303" s="6">
        <v>1</v>
      </c>
      <c r="M303" s="6">
        <v>-0.9933</v>
      </c>
      <c r="N303" s="6">
        <v>0</v>
      </c>
      <c r="O303" s="6">
        <v>0.6667</v>
      </c>
      <c r="P303" s="6">
        <v>0.3333</v>
      </c>
      <c r="Q303" s="7"/>
      <c r="R303" s="7"/>
    </row>
    <row r="304" spans="1:18">
      <c r="A304" s="4" t="s">
        <v>447</v>
      </c>
      <c r="B304" s="4">
        <f t="shared" si="4"/>
        <v>7</v>
      </c>
      <c r="C304" s="4"/>
      <c r="D304" s="1" t="str">
        <f>IFERROR(VLOOKUP(A304,[1]biopep_DB!$F$2:$J$1654,5,0),)</f>
        <v/>
      </c>
      <c r="E304" s="1" t="str">
        <f>IFERROR(VLOOKUP(A304,[1]biopep_DB!$F$2:$L$1654,6,0),0)</f>
        <v/>
      </c>
      <c r="F304" s="1" t="str">
        <f>IFERROR(VLOOKUP(A304,[1]biopep_DB!$F$2:$L$1654,7,0),0)</f>
        <v/>
      </c>
      <c r="G304" s="5">
        <v>786.91</v>
      </c>
      <c r="H304" s="5">
        <v>5.53</v>
      </c>
      <c r="I304" s="5">
        <v>-0.24</v>
      </c>
      <c r="J304" s="6">
        <v>0.4714</v>
      </c>
      <c r="K304" s="5">
        <v>153.89</v>
      </c>
      <c r="L304" s="6">
        <v>0.7143</v>
      </c>
      <c r="M304" s="6">
        <v>-1.3914</v>
      </c>
      <c r="N304" s="6">
        <v>0.1429</v>
      </c>
      <c r="O304" s="6">
        <v>0.4286</v>
      </c>
      <c r="P304" s="6">
        <v>0.4286</v>
      </c>
      <c r="Q304" s="7"/>
      <c r="R304" s="7"/>
    </row>
    <row r="305" spans="1:18">
      <c r="A305" s="4" t="s">
        <v>448</v>
      </c>
      <c r="B305" s="4">
        <f t="shared" si="4"/>
        <v>7</v>
      </c>
      <c r="C305" s="4" t="s">
        <v>449</v>
      </c>
      <c r="D305" s="1" t="str">
        <f>IFERROR(VLOOKUP(A305,[1]biopep_DB!$F$2:$J$1654,5,0),)</f>
        <v>A new QSAR model, for angiotensin I-converting enzyme inhibitory oligopeptides.</v>
      </c>
      <c r="E305" s="1" t="str">
        <f>IFERROR(VLOOKUP(A305,[1]biopep_DB!$F$2:$L$1654,6,0),0)</f>
        <v>10.1016/j.foodchem.2012.09.092</v>
      </c>
      <c r="F305" s="1">
        <f>IFERROR(VLOOKUP(A305,[1]biopep_DB!$F$2:$L$1654,7,0),0)</f>
        <v>23194537</v>
      </c>
      <c r="G305" s="5">
        <v>958.07</v>
      </c>
      <c r="H305" s="5">
        <v>5.52</v>
      </c>
      <c r="I305" s="5">
        <v>-0.24</v>
      </c>
      <c r="J305" s="6">
        <v>-0.6571</v>
      </c>
      <c r="K305" s="5">
        <v>88.63</v>
      </c>
      <c r="L305" s="6">
        <v>0.4286</v>
      </c>
      <c r="M305" s="6">
        <v>-0.7</v>
      </c>
      <c r="N305" s="6">
        <v>0.1429</v>
      </c>
      <c r="O305" s="6">
        <v>0.1429</v>
      </c>
      <c r="P305" s="6">
        <v>0.5714</v>
      </c>
      <c r="Q305" s="7"/>
      <c r="R305" s="7"/>
    </row>
    <row r="306" spans="1:18">
      <c r="A306" s="4" t="s">
        <v>450</v>
      </c>
      <c r="B306" s="4">
        <f t="shared" si="4"/>
        <v>2</v>
      </c>
      <c r="C306" s="4" t="s">
        <v>36</v>
      </c>
      <c r="D306" s="1" t="str">
        <f>IFERROR(VLOOKUP(A306,[1]biopep_DB!$F$2:$J$1654,5,0),)</f>
        <v>Structural requirements of Angiotensin I-converting enzyme inhibitory peptides: quantitative structure-activity relationship study of di- and tripeptides.</v>
      </c>
      <c r="E306" s="1" t="str">
        <f>IFERROR(VLOOKUP(A306,[1]biopep_DB!$F$2:$L$1654,6,0),0)</f>
        <v>10.1021/jf051263l</v>
      </c>
      <c r="F306" s="1">
        <f>IFERROR(VLOOKUP(A306,[1]biopep_DB!$F$2:$L$1654,7,0),0)</f>
        <v>16448176</v>
      </c>
      <c r="G306" s="5">
        <v>293.32</v>
      </c>
      <c r="H306" s="5">
        <v>5.53</v>
      </c>
      <c r="I306" s="5">
        <v>-0.24</v>
      </c>
      <c r="J306" s="6">
        <v>-0.35</v>
      </c>
      <c r="K306" s="5">
        <v>5</v>
      </c>
      <c r="L306" s="6">
        <v>0.5</v>
      </c>
      <c r="M306" s="6">
        <v>-0.81</v>
      </c>
      <c r="N306" s="6">
        <v>0</v>
      </c>
      <c r="O306" s="6">
        <v>0</v>
      </c>
      <c r="P306" s="6">
        <v>0.5</v>
      </c>
      <c r="Q306" s="7"/>
      <c r="R306" s="7"/>
    </row>
    <row r="307" spans="1:18">
      <c r="A307" s="4" t="s">
        <v>451</v>
      </c>
      <c r="B307" s="4">
        <f t="shared" si="4"/>
        <v>6</v>
      </c>
      <c r="C307" s="4" t="s">
        <v>418</v>
      </c>
      <c r="D307" s="1" t="str">
        <f>IFERROR(VLOOKUP(A307,[1]biopep_DB!$F$2:$J$1654,5,0),)</f>
        <v>Angiotensin I-converting enzyme-inhibitory peptides obtained from chicken collagen hydrolysate.; Temporal gene expression and probiotic attributes of Lactobacillus acidophilus during growth in milk.; A new QSAR model, for angiotensin I-converting enzyme inhibitory oligopeptides.; Isolation and characterization of peptides with antihypertensive activity in foodstuffs.</v>
      </c>
      <c r="E307" s="1" t="str">
        <f>IFERROR(VLOOKUP(A307,[1]biopep_DB!$F$2:$L$1654,6,0),0)</f>
        <v>10.1021/jf072669w; 10.3168/jds.2008-1457; 10.1016/j.foodchem.2012.09.092; 10.1080/10408398.2012.664829</v>
      </c>
      <c r="F307" s="1" t="str">
        <f>IFERROR(VLOOKUP(A307,[1]biopep_DB!$F$2:$L$1654,7,0),0)</f>
        <v>18808143 19233780 23194537 24915368</v>
      </c>
      <c r="G307" s="5">
        <v>802.96</v>
      </c>
      <c r="H307" s="5">
        <v>11.17</v>
      </c>
      <c r="I307" s="5">
        <v>2.76</v>
      </c>
      <c r="J307" s="6">
        <v>-2.4333</v>
      </c>
      <c r="K307" s="5">
        <v>50.1</v>
      </c>
      <c r="L307" s="6">
        <v>0.3333</v>
      </c>
      <c r="M307" s="6">
        <v>0.71</v>
      </c>
      <c r="N307" s="6">
        <v>0.3333</v>
      </c>
      <c r="O307" s="6">
        <v>0.1667</v>
      </c>
      <c r="P307" s="6">
        <v>0.1667</v>
      </c>
      <c r="Q307" s="7"/>
      <c r="R307" s="7"/>
    </row>
    <row r="308" spans="1:18">
      <c r="A308" s="4" t="s">
        <v>452</v>
      </c>
      <c r="B308" s="4">
        <f t="shared" si="4"/>
        <v>6</v>
      </c>
      <c r="C308" s="4" t="s">
        <v>453</v>
      </c>
      <c r="D308" s="1" t="str">
        <f>IFERROR(VLOOKUP(A308,[1]biopep_DB!$F$2:$J$1654,5,0),)</f>
        <v>A new QSAR model, for angiotensin I-converting enzyme inhibitory oligopeptides.</v>
      </c>
      <c r="E308" s="1" t="str">
        <f>IFERROR(VLOOKUP(A308,[1]biopep_DB!$F$2:$L$1654,6,0),0)</f>
        <v>10.1016/j.foodchem.2012.09.092</v>
      </c>
      <c r="F308" s="1" t="str">
        <f>IFERROR(VLOOKUP(A308,[1]biopep_DB!$F$2:$L$1654,7,0),0)</f>
        <v>23194537</v>
      </c>
      <c r="G308" s="5">
        <v>690.83</v>
      </c>
      <c r="H308" s="5">
        <v>8.75</v>
      </c>
      <c r="I308" s="5">
        <v>0.76</v>
      </c>
      <c r="J308" s="6">
        <v>0.9333</v>
      </c>
      <c r="K308" s="5">
        <v>-5.82</v>
      </c>
      <c r="L308" s="6">
        <v>0.6667</v>
      </c>
      <c r="M308" s="6">
        <v>-1.655</v>
      </c>
      <c r="N308" s="6">
        <v>0.3333</v>
      </c>
      <c r="O308" s="6">
        <v>0</v>
      </c>
      <c r="P308" s="6">
        <v>0.5</v>
      </c>
      <c r="Q308" s="7"/>
      <c r="R308" s="7"/>
    </row>
    <row r="309" spans="1:18">
      <c r="A309" s="4" t="s">
        <v>454</v>
      </c>
      <c r="B309" s="4">
        <f t="shared" si="4"/>
        <v>9</v>
      </c>
      <c r="C309" s="4"/>
      <c r="D309" s="1" t="str">
        <f>IFERROR(VLOOKUP(A309,[1]biopep_DB!$F$2:$J$1654,5,0),)</f>
        <v/>
      </c>
      <c r="E309" s="1" t="str">
        <f>IFERROR(VLOOKUP(A309,[1]biopep_DB!$F$2:$L$1654,6,0),0)</f>
        <v/>
      </c>
      <c r="G309" s="4"/>
      <c r="H309" s="4"/>
      <c r="I309" s="4"/>
      <c r="J309" s="4"/>
      <c r="K309" s="4"/>
      <c r="L309" s="4"/>
      <c r="M309" s="4"/>
      <c r="N309" s="4"/>
      <c r="O309" s="4"/>
      <c r="P309" s="4"/>
      <c r="Q309" s="4"/>
      <c r="R309" s="4"/>
    </row>
    <row r="310" spans="1:18">
      <c r="A310" s="4" t="s">
        <v>455</v>
      </c>
      <c r="B310" s="4">
        <f t="shared" si="4"/>
        <v>7</v>
      </c>
      <c r="C310" s="4" t="s">
        <v>456</v>
      </c>
      <c r="D310" s="1" t="str">
        <f>IFERROR(VLOOKUP(A310,[1]biopep_DB!$F$2:$J$1654,5,0),)</f>
        <v>Antihypertensive effect of angiotensin I-converting enzyme inhibitory peptides derived from hemoglobin.; A new QSAR model, for angiotensin I-converting enzyme inhibitory oligopeptides.</v>
      </c>
      <c r="E310" s="1" t="str">
        <f>IFERROR(VLOOKUP(A310,[1]biopep_DB!$F$2:$L$1654,6,0),0)</f>
        <v>10.1016/0014-2999(96)00146-x; 10.1016/j.foodchem.2012.09.092</v>
      </c>
      <c r="F310" s="1" t="str">
        <f>IFERROR(VLOOKUP(A310,[1]biopep_DB!$F$2:$L$1654,7,0),0)</f>
        <v>8813589 23194537</v>
      </c>
      <c r="G310" s="5">
        <v>747.88</v>
      </c>
      <c r="H310" s="5">
        <v>8.75</v>
      </c>
      <c r="I310" s="5">
        <v>0.76</v>
      </c>
      <c r="J310" s="6">
        <v>0.7429</v>
      </c>
      <c r="K310" s="5">
        <v>-3.56</v>
      </c>
      <c r="L310" s="6">
        <v>0.5714</v>
      </c>
      <c r="M310" s="6">
        <v>-1.5529</v>
      </c>
      <c r="N310" s="6">
        <v>0.2857</v>
      </c>
      <c r="O310" s="6">
        <v>0.1429</v>
      </c>
      <c r="P310" s="6">
        <v>0.4286</v>
      </c>
      <c r="Q310" s="7"/>
      <c r="R310" s="7"/>
    </row>
    <row r="311" spans="1:18">
      <c r="A311" s="4" t="s">
        <v>457</v>
      </c>
      <c r="B311" s="4">
        <f t="shared" si="4"/>
        <v>7</v>
      </c>
      <c r="C311" s="4" t="s">
        <v>458</v>
      </c>
      <c r="D311" s="1" t="str">
        <f>IFERROR(VLOOKUP(A311,[1]biopep_DB!$F$2:$J$1654,5,0),)</f>
        <v>Antihypertensive effect of angiotensin I-converting enzyme inhibitory peptides derived from hemoglobin.; A new QSAR model, for angiotensin I-converting enzyme inhibitory oligopeptides.</v>
      </c>
      <c r="E311" s="1" t="str">
        <f>IFERROR(VLOOKUP(A311,[1]biopep_DB!$F$2:$L$1654,6,0),0)</f>
        <v>10.1016/0014-2999(96)00146-x; 10.1016/j.foodchem.2012.09.092</v>
      </c>
      <c r="F311" s="1" t="str">
        <f>IFERROR(VLOOKUP(A311,[1]biopep_DB!$F$2:$L$1654,7,0),0)</f>
        <v>8813589 23194537</v>
      </c>
      <c r="G311" s="5">
        <v>819</v>
      </c>
      <c r="H311" s="5">
        <v>10</v>
      </c>
      <c r="I311" s="5">
        <v>1.76</v>
      </c>
      <c r="J311" s="6">
        <v>0.2429</v>
      </c>
      <c r="K311" s="5">
        <v>-3.56</v>
      </c>
      <c r="L311" s="6">
        <v>0.5714</v>
      </c>
      <c r="M311" s="6">
        <v>-1.1929</v>
      </c>
      <c r="N311" s="6">
        <v>0.4286</v>
      </c>
      <c r="O311" s="6">
        <v>0</v>
      </c>
      <c r="P311" s="6">
        <v>0.4286</v>
      </c>
      <c r="Q311" s="7"/>
      <c r="R311" s="7"/>
    </row>
    <row r="312" spans="1:18">
      <c r="A312" s="4" t="s">
        <v>459</v>
      </c>
      <c r="B312" s="4">
        <f t="shared" si="4"/>
        <v>3</v>
      </c>
      <c r="C312" s="4" t="s">
        <v>25</v>
      </c>
      <c r="D312" s="1" t="str">
        <f>IFERROR(VLOOKUP(A312,[1]biopep_DB!$F$2:$J$1654,5,0),)</f>
        <v>Peptide inhibitors for angiotensin I-converting enzyme from thermolysin digest of dried bonito.; Bioactive peptides in amaranth (Amaranthus hypochondriacus) seed.; Rational design of angiotensin-I-converting enzyme inhibitory peptides by integrating in silico modeling and an in vitro assay.; What are the ideal properties for functional food peptides with antihypertensive effect? A computational peptidology approach.</v>
      </c>
      <c r="E312" s="1" t="str">
        <f>IFERROR(VLOOKUP(A312,[1]biopep_DB!$F$2:$L$1654,6,0),0)</f>
        <v>10.1271/bbb.56.1541; 10.1021/jf072911z; 10.1002/cmdc.201300132; 10.1016/j.foodchem.2013.05.140</v>
      </c>
      <c r="F312" s="1" t="str">
        <f>IFERROR(VLOOKUP(A312,[1]biopep_DB!$F$2:$L$1654,7,0),0)</f>
        <v>1369054 18211015 23740817 23871047</v>
      </c>
      <c r="G312" s="5">
        <v>390.43</v>
      </c>
      <c r="H312" s="5">
        <v>5.53</v>
      </c>
      <c r="I312" s="5">
        <v>-0.24</v>
      </c>
      <c r="J312" s="6">
        <v>-0.7667</v>
      </c>
      <c r="K312" s="5">
        <v>70.87</v>
      </c>
      <c r="L312" s="6">
        <v>0.6667</v>
      </c>
      <c r="M312" s="6">
        <v>-0.54</v>
      </c>
      <c r="N312" s="6">
        <v>0</v>
      </c>
      <c r="O312" s="6">
        <v>0.3333</v>
      </c>
      <c r="P312" s="6">
        <v>0.3333</v>
      </c>
      <c r="Q312" s="7"/>
      <c r="R312" s="7"/>
    </row>
    <row r="313" spans="1:18">
      <c r="A313" s="4" t="s">
        <v>460</v>
      </c>
      <c r="B313" s="4">
        <f t="shared" si="4"/>
        <v>9</v>
      </c>
      <c r="C313" s="4" t="s">
        <v>461</v>
      </c>
      <c r="D313" s="1" t="str">
        <f>IFERROR(VLOOKUP(A313,[1]biopep_DB!$F$2:$J$1654,5,0),)</f>
        <v>Inhibition of angiotensin-converting enzyme by synthetic peptide fragments of various beta-caseins.</v>
      </c>
      <c r="E313" s="1" t="str">
        <f>IFERROR(VLOOKUP(A313,[1]biopep_DB!$F$2:$L$1654,6,0),0)</f>
        <v/>
      </c>
      <c r="F313" s="1">
        <f>IFERROR(VLOOKUP(A313,[1]biopep_DB!$F$2:$L$1654,7,0),0)</f>
        <v>1368548</v>
      </c>
      <c r="G313" s="5">
        <v>1102.28</v>
      </c>
      <c r="H313" s="5">
        <v>5.52</v>
      </c>
      <c r="I313" s="5">
        <v>-0.24</v>
      </c>
      <c r="J313" s="6">
        <v>-0.2222</v>
      </c>
      <c r="K313" s="5">
        <v>86.8</v>
      </c>
      <c r="L313" s="6">
        <v>0.6667</v>
      </c>
      <c r="M313" s="6">
        <v>-1.1067</v>
      </c>
      <c r="N313" s="6">
        <v>0.1111</v>
      </c>
      <c r="O313" s="6">
        <v>0.3333</v>
      </c>
      <c r="P313" s="6">
        <v>0.4444</v>
      </c>
      <c r="Q313" s="7"/>
      <c r="R313" s="7"/>
    </row>
    <row r="314" spans="1:18">
      <c r="A314" s="4" t="s">
        <v>462</v>
      </c>
      <c r="B314" s="4">
        <f t="shared" si="4"/>
        <v>2</v>
      </c>
      <c r="C314" s="4" t="s">
        <v>156</v>
      </c>
      <c r="D314" s="1" t="str">
        <f>IFERROR(VLOOKUP(A314,[1]biopep_DB!$F$2:$J$1654,5,0),)</f>
        <v>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What are the ideal properties for functional food peptides with antihypertensive effect? A computational peptidology approach.</v>
      </c>
      <c r="E314" s="1" t="str">
        <f>IFERROR(VLOOKUP(A314,[1]biopep_DB!$F$2:$L$1654,6,0),0)</f>
        <v>10.1002/psc.892; 10.1007/s00894-010-0862-x; 10.1016/j.foodchem.2013.05.140</v>
      </c>
      <c r="F314" s="1" t="str">
        <f>IFERROR(VLOOKUP(A314,[1]biopep_DB!$F$2:$L$1654,7,0),0)</f>
        <v>17654623 20941517 23871047</v>
      </c>
      <c r="G314" s="5">
        <v>321.37</v>
      </c>
      <c r="H314" s="5">
        <v>9.75</v>
      </c>
      <c r="I314" s="5">
        <v>0.76</v>
      </c>
      <c r="J314" s="6">
        <v>-0.85</v>
      </c>
      <c r="K314" s="5">
        <v>5</v>
      </c>
      <c r="L314" s="6">
        <v>0.5</v>
      </c>
      <c r="M314" s="6">
        <v>-0.13</v>
      </c>
      <c r="N314" s="6">
        <v>0</v>
      </c>
      <c r="O314" s="6">
        <v>0</v>
      </c>
      <c r="P314" s="6">
        <v>0.5</v>
      </c>
      <c r="Q314" s="7"/>
      <c r="R314" s="7"/>
    </row>
    <row r="315" spans="1:18">
      <c r="A315" s="4" t="s">
        <v>463</v>
      </c>
      <c r="B315" s="4">
        <f t="shared" si="4"/>
        <v>8</v>
      </c>
      <c r="C315" s="4" t="s">
        <v>464</v>
      </c>
      <c r="D315" s="1" t="str">
        <f>IFERROR(VLOOKUP(A315,[1]biopep_DB!$F$2:$J$1654,5,0),)</f>
        <v>Antihypertensive peptides: production, bioavailability and incorporation into foods.; Antihypertensive peptides from food proteins: a review.; A new QSAR model, for angiotensin I-converting enzyme inhibitory oligopeptides.</v>
      </c>
      <c r="E315" s="1" t="str">
        <f>IFERROR(VLOOKUP(A315,[1]biopep_DB!$F$2:$L$1654,6,0),0)</f>
        <v>10.1016/j.cis.2010.11.001; 10.1039/c2fo10192k; 10.1016/j.foodchem.2012.09.092</v>
      </c>
      <c r="F315" s="1" t="str">
        <f>IFERROR(VLOOKUP(A315,[1]biopep_DB!$F$2:$L$1654,7,0),0)</f>
        <v>21185549 22249830 23194537</v>
      </c>
      <c r="G315" s="5">
        <v>1002.13</v>
      </c>
      <c r="H315" s="5">
        <v>6.74</v>
      </c>
      <c r="I315" s="5">
        <v>-0.15</v>
      </c>
      <c r="J315" s="6">
        <v>-0.2</v>
      </c>
      <c r="K315" s="5">
        <v>18.61</v>
      </c>
      <c r="L315" s="6">
        <v>0.625</v>
      </c>
      <c r="M315" s="6">
        <v>-0.9125</v>
      </c>
      <c r="N315" s="6">
        <v>0.25</v>
      </c>
      <c r="O315" s="6">
        <v>0.25</v>
      </c>
      <c r="P315" s="6">
        <v>0.375</v>
      </c>
      <c r="Q315" s="7"/>
      <c r="R315" s="7"/>
    </row>
    <row r="316" spans="1:18">
      <c r="A316" s="4" t="s">
        <v>465</v>
      </c>
      <c r="B316" s="4">
        <f t="shared" si="4"/>
        <v>8</v>
      </c>
      <c r="C316" s="4"/>
      <c r="D316" s="1" t="str">
        <f>IFERROR(VLOOKUP(A316,[1]biopep_DB!$F$2:$J$1654,5,0),)</f>
        <v>Antihypertensive peptides derived from egg proteins.</v>
      </c>
      <c r="E316" s="1" t="str">
        <f>IFERROR(VLOOKUP(A316,[1]biopep_DB!$F$2:$L$1654,6,0),0)</f>
        <v>10.1093/jn/136.6.1457</v>
      </c>
      <c r="F316" s="1">
        <f>IFERROR(VLOOKUP(A316,[1]biopep_DB!$F$2:$L$1654,7,0),0)</f>
        <v>16702303</v>
      </c>
      <c r="G316" s="5">
        <v>952.07</v>
      </c>
      <c r="H316" s="5">
        <v>6.74</v>
      </c>
      <c r="I316" s="5">
        <v>-0.15</v>
      </c>
      <c r="J316" s="6">
        <v>-0.75</v>
      </c>
      <c r="K316" s="5">
        <v>18.61</v>
      </c>
      <c r="L316" s="6">
        <v>0.625</v>
      </c>
      <c r="M316" s="6">
        <v>-0.54</v>
      </c>
      <c r="N316" s="6">
        <v>0.25</v>
      </c>
      <c r="O316" s="6">
        <v>0.375</v>
      </c>
      <c r="P316" s="6">
        <v>0.25</v>
      </c>
      <c r="Q316" s="7"/>
      <c r="R316" s="7"/>
    </row>
    <row r="317" spans="1:18">
      <c r="A317" s="4" t="s">
        <v>466</v>
      </c>
      <c r="B317" s="4">
        <f t="shared" si="4"/>
        <v>7</v>
      </c>
      <c r="C317" s="4"/>
      <c r="D317" s="1" t="str">
        <f>IFERROR(VLOOKUP(A317,[1]biopep_DB!$F$2:$J$1654,5,0),)</f>
        <v/>
      </c>
      <c r="E317" s="1" t="str">
        <f>IFERROR(VLOOKUP(A317,[1]biopep_DB!$F$2:$L$1654,6,0),0)</f>
        <v/>
      </c>
      <c r="F317" s="1" t="str">
        <f>IFERROR(VLOOKUP(A317,[1]biopep_DB!$F$2:$L$1654,7,0),0)</f>
        <v/>
      </c>
      <c r="G317" s="5">
        <v>864.99</v>
      </c>
      <c r="H317" s="5">
        <v>5.84</v>
      </c>
      <c r="I317" s="5">
        <v>-0.24</v>
      </c>
      <c r="J317" s="6">
        <v>0.2286</v>
      </c>
      <c r="K317" s="5">
        <v>23.96</v>
      </c>
      <c r="L317" s="6">
        <v>0.7143</v>
      </c>
      <c r="M317" s="6">
        <v>-1.1843</v>
      </c>
      <c r="N317" s="6">
        <v>0.2857</v>
      </c>
      <c r="O317" s="6">
        <v>0.2857</v>
      </c>
      <c r="P317" s="6">
        <v>0.4286</v>
      </c>
      <c r="Q317" s="7"/>
      <c r="R317" s="7"/>
    </row>
    <row r="318" spans="1:18">
      <c r="A318" s="4" t="s">
        <v>467</v>
      </c>
      <c r="B318" s="4">
        <f t="shared" si="4"/>
        <v>7</v>
      </c>
      <c r="C318" s="4" t="s">
        <v>464</v>
      </c>
      <c r="D318" s="1" t="str">
        <f>IFERROR(VLOOKUP(A318,[1]biopep_DB!$F$2:$J$1654,5,0),)</f>
        <v/>
      </c>
      <c r="E318" s="1" t="str">
        <f>IFERROR(VLOOKUP(A318,[1]biopep_DB!$F$2:$L$1654,6,0),0)</f>
        <v/>
      </c>
      <c r="F318" s="1" t="str">
        <f>IFERROR(VLOOKUP(A318,[1]biopep_DB!$F$2:$L$1654,7,0),0)</f>
        <v/>
      </c>
      <c r="G318" s="5">
        <v>887.04</v>
      </c>
      <c r="H318" s="5">
        <v>9.76</v>
      </c>
      <c r="I318" s="5">
        <v>0.85</v>
      </c>
      <c r="J318" s="6">
        <v>0.2714</v>
      </c>
      <c r="K318" s="5">
        <v>19.84</v>
      </c>
      <c r="L318" s="6">
        <v>0.7143</v>
      </c>
      <c r="M318" s="6">
        <v>-1.2829</v>
      </c>
      <c r="N318" s="6">
        <v>0.2857</v>
      </c>
      <c r="O318" s="6">
        <v>0.1429</v>
      </c>
      <c r="P318" s="6">
        <v>0.4286</v>
      </c>
      <c r="Q318" s="7"/>
      <c r="R318" s="7"/>
    </row>
    <row r="319" spans="1:18">
      <c r="A319" s="4" t="s">
        <v>468</v>
      </c>
      <c r="B319" s="4">
        <f t="shared" si="4"/>
        <v>3</v>
      </c>
      <c r="C319" s="4" t="s">
        <v>469</v>
      </c>
      <c r="D319" s="1" t="str">
        <f>IFERROR(VLOOKUP(A319,[1]biopep_DB!$F$2:$J$1654,5,0),)</f>
        <v/>
      </c>
      <c r="E319" s="1" t="str">
        <f>IFERROR(VLOOKUP(A319,[1]biopep_DB!$F$2:$L$1654,6,0),0)</f>
        <v/>
      </c>
      <c r="F319" s="1" t="str">
        <f>IFERROR(VLOOKUP(A319,[1]biopep_DB!$F$2:$L$1654,7,0),0)</f>
        <v/>
      </c>
      <c r="G319" s="5">
        <v>424.52</v>
      </c>
      <c r="H319" s="5">
        <v>8.25</v>
      </c>
      <c r="I319" s="5">
        <v>0.75</v>
      </c>
      <c r="J319" s="6">
        <v>0.2667</v>
      </c>
      <c r="K319" s="5">
        <v>6.67</v>
      </c>
      <c r="L319" s="6">
        <v>0.3333</v>
      </c>
      <c r="M319" s="6">
        <v>-0.5133</v>
      </c>
      <c r="N319" s="6">
        <v>0</v>
      </c>
      <c r="O319" s="6">
        <v>0</v>
      </c>
      <c r="P319" s="6">
        <v>0.3333</v>
      </c>
      <c r="Q319" s="7"/>
      <c r="R319" s="7"/>
    </row>
    <row r="320" spans="1:18">
      <c r="A320" s="4" t="s">
        <v>470</v>
      </c>
      <c r="B320" s="4">
        <f t="shared" si="4"/>
        <v>5</v>
      </c>
      <c r="C320" s="4" t="s">
        <v>31</v>
      </c>
      <c r="D320" s="1" t="str">
        <f>IFERROR(VLOOKUP(A320,[1]biopep_DB!$F$2:$J$1654,5,0),)</f>
        <v/>
      </c>
      <c r="E320" s="1" t="str">
        <f>IFERROR(VLOOKUP(A320,[1]biopep_DB!$F$2:$L$1654,6,0),0)</f>
        <v/>
      </c>
      <c r="F320" s="1" t="str">
        <f>IFERROR(VLOOKUP(A320,[1]biopep_DB!$F$2:$L$1654,7,0),0)</f>
        <v/>
      </c>
      <c r="G320" s="5">
        <v>622.63</v>
      </c>
      <c r="H320" s="5">
        <v>4.67</v>
      </c>
      <c r="I320" s="5">
        <v>-1.23</v>
      </c>
      <c r="J320" s="6">
        <v>-1.82</v>
      </c>
      <c r="K320" s="5">
        <v>8</v>
      </c>
      <c r="L320" s="6">
        <v>0.2</v>
      </c>
      <c r="M320" s="6">
        <v>0.424</v>
      </c>
      <c r="N320" s="6">
        <v>0.2</v>
      </c>
      <c r="O320" s="6">
        <v>0.4</v>
      </c>
      <c r="P320" s="6">
        <v>0.2</v>
      </c>
      <c r="Q320" s="7"/>
      <c r="R320" s="7"/>
    </row>
    <row r="321" spans="1:18">
      <c r="A321" s="4" t="s">
        <v>471</v>
      </c>
      <c r="B321" s="4">
        <f t="shared" si="4"/>
        <v>7</v>
      </c>
      <c r="C321" s="4" t="s">
        <v>472</v>
      </c>
      <c r="D321" s="1" t="str">
        <f>IFERROR(VLOOKUP(A321,[1]biopep_DB!$F$2:$J$1654,5,0),)</f>
        <v/>
      </c>
      <c r="E321" s="1" t="str">
        <f>IFERROR(VLOOKUP(A321,[1]biopep_DB!$F$2:$L$1654,6,0),0)</f>
        <v/>
      </c>
      <c r="F321" s="1" t="str">
        <f>IFERROR(VLOOKUP(A321,[1]biopep_DB!$F$2:$L$1654,7,0),0)</f>
        <v/>
      </c>
      <c r="G321" s="5">
        <v>923.09</v>
      </c>
      <c r="H321" s="5">
        <v>8.75</v>
      </c>
      <c r="I321" s="5">
        <v>0.85</v>
      </c>
      <c r="J321" s="6">
        <v>-0.1286</v>
      </c>
      <c r="K321" s="5">
        <v>141.04</v>
      </c>
      <c r="L321" s="6">
        <v>0.4286</v>
      </c>
      <c r="M321" s="6">
        <v>-1.0486</v>
      </c>
      <c r="N321" s="6">
        <v>0.2857</v>
      </c>
      <c r="O321" s="6">
        <v>0.1429</v>
      </c>
      <c r="P321" s="6">
        <v>0.4286</v>
      </c>
      <c r="Q321" s="7"/>
      <c r="R321" s="7"/>
    </row>
    <row r="322" spans="1:18">
      <c r="A322" s="4" t="s">
        <v>473</v>
      </c>
      <c r="B322" s="4">
        <f t="shared" si="4"/>
        <v>5</v>
      </c>
      <c r="C322" s="4" t="s">
        <v>31</v>
      </c>
      <c r="D322" s="1" t="str">
        <f>IFERROR(VLOOKUP(A322,[1]biopep_DB!$F$2:$J$1654,5,0),)</f>
        <v/>
      </c>
      <c r="E322" s="1" t="str">
        <f>IFERROR(VLOOKUP(A322,[1]biopep_DB!$F$2:$L$1654,6,0),0)</f>
        <v/>
      </c>
      <c r="F322" s="1" t="str">
        <f>IFERROR(VLOOKUP(A322,[1]biopep_DB!$F$2:$L$1654,7,0),0)</f>
        <v/>
      </c>
      <c r="G322" s="5">
        <v>658.71</v>
      </c>
      <c r="H322" s="5">
        <v>6.75</v>
      </c>
      <c r="I322" s="5">
        <v>-0.15</v>
      </c>
      <c r="J322" s="6">
        <v>-1.32</v>
      </c>
      <c r="K322" s="5">
        <v>46.52</v>
      </c>
      <c r="L322" s="6">
        <v>0.4</v>
      </c>
      <c r="M322" s="6">
        <v>0.112</v>
      </c>
      <c r="N322" s="6">
        <v>0.4</v>
      </c>
      <c r="O322" s="6">
        <v>0</v>
      </c>
      <c r="P322" s="6">
        <v>0.2</v>
      </c>
      <c r="Q322" s="7"/>
      <c r="R322" s="7"/>
    </row>
    <row r="323" spans="1:18">
      <c r="A323" s="4" t="s">
        <v>474</v>
      </c>
      <c r="B323" s="4">
        <f t="shared" si="4"/>
        <v>4</v>
      </c>
      <c r="C323" s="4"/>
      <c r="D323" s="1" t="str">
        <f>IFERROR(VLOOKUP(A323,[1]biopep_DB!$F$2:$J$1654,5,0),)</f>
        <v>Enterococcus faecalis strains from food, environmental, and clinical origin produce ACE-inhibitory peptides and other bioactive peptides during growth in bovine skim milk.</v>
      </c>
      <c r="E323" s="1" t="str">
        <f>IFERROR(VLOOKUP(A323,[1]biopep_DB!$F$2:$L$1654,6,0),0)</f>
        <v>10.1016/j.ijfoodmicro.2013.06.019</v>
      </c>
      <c r="F323" s="1">
        <f>IFERROR(VLOOKUP(A323,[1]biopep_DB!$F$2:$L$1654,7,0),0)</f>
        <v>23845432</v>
      </c>
      <c r="G323" s="5">
        <v>596.68</v>
      </c>
      <c r="H323" s="5">
        <v>9.75</v>
      </c>
      <c r="I323" s="5">
        <v>0.76</v>
      </c>
      <c r="J323" s="6">
        <v>-0.6</v>
      </c>
      <c r="K323" s="5">
        <v>36.8</v>
      </c>
      <c r="L323" s="6">
        <v>0.5</v>
      </c>
      <c r="M323" s="6">
        <v>-0.47</v>
      </c>
      <c r="N323" s="6">
        <v>0</v>
      </c>
      <c r="O323" s="6">
        <v>0</v>
      </c>
      <c r="P323" s="6">
        <v>0.5</v>
      </c>
      <c r="Q323" s="7"/>
      <c r="R323" s="7"/>
    </row>
    <row r="324" spans="1:18">
      <c r="A324" s="4" t="s">
        <v>475</v>
      </c>
      <c r="B324" s="4">
        <f t="shared" si="4"/>
        <v>7</v>
      </c>
      <c r="C324" s="4"/>
      <c r="D324" s="1" t="str">
        <f>IFERROR(VLOOKUP(A324,[1]biopep_DB!$F$2:$J$1654,5,0),)</f>
        <v/>
      </c>
      <c r="E324" s="1" t="str">
        <f>IFERROR(VLOOKUP(A324,[1]biopep_DB!$F$2:$L$1654,6,0),0)</f>
        <v/>
      </c>
      <c r="F324" s="1" t="str">
        <f>IFERROR(VLOOKUP(A324,[1]biopep_DB!$F$2:$L$1654,7,0),0)</f>
        <v/>
      </c>
      <c r="G324" s="5">
        <v>1001.14</v>
      </c>
      <c r="H324" s="5">
        <v>8.75</v>
      </c>
      <c r="I324" s="5">
        <v>0.76</v>
      </c>
      <c r="J324" s="6">
        <v>-0.4857</v>
      </c>
      <c r="K324" s="5">
        <v>71.89</v>
      </c>
      <c r="L324" s="6">
        <v>0.4286</v>
      </c>
      <c r="M324" s="6">
        <v>-0.7571</v>
      </c>
      <c r="N324" s="6">
        <v>0.1429</v>
      </c>
      <c r="O324" s="6">
        <v>0</v>
      </c>
      <c r="P324" s="6">
        <v>0.5714</v>
      </c>
      <c r="Q324" s="7"/>
      <c r="R324" s="7"/>
    </row>
    <row r="325" spans="1:18">
      <c r="A325" s="4" t="s">
        <v>476</v>
      </c>
      <c r="B325" s="4">
        <f t="shared" si="4"/>
        <v>7</v>
      </c>
      <c r="C325" s="4" t="s">
        <v>477</v>
      </c>
      <c r="D325" s="1" t="str">
        <f>IFERROR(VLOOKUP(A325,[1]biopep_DB!$F$2:$J$1654,5,0),)</f>
        <v>A new QSAR model, for angiotensin I-converting enzyme inhibitory oligopeptides.</v>
      </c>
      <c r="E325" s="1" t="str">
        <f>IFERROR(VLOOKUP(A325,[1]biopep_DB!$F$2:$L$1654,6,0),0)</f>
        <v>10.1016/j.foodchem.2012.09.092</v>
      </c>
      <c r="F325" s="1">
        <f>IFERROR(VLOOKUP(A325,[1]biopep_DB!$F$2:$L$1654,7,0),0)</f>
        <v>23194537</v>
      </c>
      <c r="G325" s="5">
        <v>829.94</v>
      </c>
      <c r="H325" s="5">
        <v>9.75</v>
      </c>
      <c r="I325" s="5">
        <v>0.76</v>
      </c>
      <c r="J325" s="6">
        <v>-0.7</v>
      </c>
      <c r="K325" s="5">
        <v>36.09</v>
      </c>
      <c r="L325" s="6">
        <v>0.5714</v>
      </c>
      <c r="M325" s="6">
        <v>-0.3457</v>
      </c>
      <c r="N325" s="6">
        <v>0</v>
      </c>
      <c r="O325" s="6">
        <v>0.4286</v>
      </c>
      <c r="P325" s="6">
        <v>0.4286</v>
      </c>
      <c r="Q325" s="7"/>
      <c r="R325" s="7"/>
    </row>
    <row r="326" spans="1:18">
      <c r="A326" s="4" t="s">
        <v>478</v>
      </c>
      <c r="B326" s="4">
        <f t="shared" ref="B326:B389" si="5">LEN(A326)</f>
        <v>12</v>
      </c>
      <c r="C326" s="4"/>
      <c r="D326" s="1" t="str">
        <f>IFERROR(VLOOKUP(A326,[1]biopep_DB!$F$2:$J$1654,5,0),)</f>
        <v/>
      </c>
      <c r="E326" s="1" t="str">
        <f>IFERROR(VLOOKUP(A326,[1]biopep_DB!$F$2:$L$1654,6,0),0)</f>
        <v/>
      </c>
      <c r="F326" s="1" t="str">
        <f>IFERROR(VLOOKUP(A326,[1]biopep_DB!$F$2:$L$1654,7,0),0)</f>
        <v/>
      </c>
      <c r="G326" s="5">
        <v>1422.67</v>
      </c>
      <c r="H326" s="5">
        <v>8.5</v>
      </c>
      <c r="I326" s="5">
        <v>0.76</v>
      </c>
      <c r="J326" s="6">
        <v>-0.0333</v>
      </c>
      <c r="K326" s="5">
        <v>-7.38</v>
      </c>
      <c r="L326" s="6">
        <v>0.5</v>
      </c>
      <c r="M326" s="6">
        <v>-1.0308</v>
      </c>
      <c r="N326" s="6">
        <v>0.25</v>
      </c>
      <c r="O326" s="6">
        <v>0.25</v>
      </c>
      <c r="P326" s="6">
        <v>0.4167</v>
      </c>
      <c r="Q326" s="7"/>
      <c r="R326" s="7"/>
    </row>
    <row r="327" spans="1:18">
      <c r="A327" s="4" t="s">
        <v>479</v>
      </c>
      <c r="B327" s="4">
        <f t="shared" si="5"/>
        <v>3</v>
      </c>
      <c r="C327" s="4"/>
      <c r="D327" s="1" t="str">
        <f>IFERROR(VLOOKUP(A327,[1]biopep_DB!$F$2:$J$1654,5,0),)</f>
        <v>Isolation from alpha-zein of thermolysin peptides with angiotensin I-converting enzyme inhibitory activity.</v>
      </c>
      <c r="E327" s="1" t="str">
        <f>IFERROR(VLOOKUP(A327,[1]biopep_DB!$F$2:$L$1654,6,0),0)</f>
        <v>10.1271/bbb.60.661</v>
      </c>
      <c r="F327" s="1">
        <f>IFERROR(VLOOKUP(A327,[1]biopep_DB!$F$2:$L$1654,7,0),0)</f>
        <v>8829536</v>
      </c>
      <c r="G327" s="5">
        <v>380.4</v>
      </c>
      <c r="H327" s="5">
        <v>5.53</v>
      </c>
      <c r="I327" s="5">
        <v>-0.24</v>
      </c>
      <c r="J327" s="6">
        <v>-0.5</v>
      </c>
      <c r="K327" s="5">
        <v>70.87</v>
      </c>
      <c r="L327" s="6">
        <v>0.3333</v>
      </c>
      <c r="M327" s="6">
        <v>-0.26</v>
      </c>
      <c r="N327" s="6">
        <v>0</v>
      </c>
      <c r="O327" s="6">
        <v>0.3333</v>
      </c>
      <c r="P327" s="6">
        <v>0.3333</v>
      </c>
      <c r="Q327" s="7"/>
      <c r="R327" s="7"/>
    </row>
    <row r="328" spans="1:18">
      <c r="A328" s="4" t="s">
        <v>480</v>
      </c>
      <c r="B328" s="4">
        <f t="shared" si="5"/>
        <v>3</v>
      </c>
      <c r="C328" s="4" t="s">
        <v>481</v>
      </c>
      <c r="D328" s="1" t="str">
        <f>IFERROR(VLOOKUP(A328,[1]biopep_DB!$F$2:$J$1654,5,0),)</f>
        <v/>
      </c>
      <c r="E328" s="1" t="str">
        <f>IFERROR(VLOOKUP(A328,[1]biopep_DB!$F$2:$L$1654,6,0),0)</f>
        <v/>
      </c>
      <c r="F328" s="1" t="str">
        <f>IFERROR(VLOOKUP(A328,[1]biopep_DB!$F$2:$L$1654,7,0),0)</f>
        <v/>
      </c>
      <c r="G328" s="5">
        <v>415.44</v>
      </c>
      <c r="H328" s="5">
        <v>5.52</v>
      </c>
      <c r="I328" s="5">
        <v>-0.24</v>
      </c>
      <c r="J328" s="6">
        <v>0.2333</v>
      </c>
      <c r="K328" s="5">
        <v>6.67</v>
      </c>
      <c r="L328" s="6">
        <v>0.3333</v>
      </c>
      <c r="M328" s="6">
        <v>-0.6667</v>
      </c>
      <c r="N328" s="6">
        <v>0</v>
      </c>
      <c r="O328" s="6">
        <v>0.3333</v>
      </c>
      <c r="P328" s="6">
        <v>0.6667</v>
      </c>
      <c r="Q328" s="7"/>
      <c r="R328" s="7"/>
    </row>
    <row r="329" spans="1:18">
      <c r="A329" s="4" t="s">
        <v>482</v>
      </c>
      <c r="B329" s="4">
        <f t="shared" si="5"/>
        <v>8</v>
      </c>
      <c r="C329" s="4" t="s">
        <v>483</v>
      </c>
      <c r="D329" s="1" t="str">
        <f>IFERROR(VLOOKUP(A329,[1]biopep_DB!$F$2:$J$1654,5,0),)</f>
        <v/>
      </c>
      <c r="E329" s="1" t="str">
        <f>IFERROR(VLOOKUP(A329,[1]biopep_DB!$F$2:$L$1654,6,0),0)</f>
        <v/>
      </c>
      <c r="F329" s="1" t="str">
        <f>IFERROR(VLOOKUP(A329,[1]biopep_DB!$F$2:$L$1654,7,0),0)</f>
        <v/>
      </c>
      <c r="G329" s="5">
        <v>984.1</v>
      </c>
      <c r="H329" s="5">
        <v>4.21</v>
      </c>
      <c r="I329" s="5">
        <v>-1.24</v>
      </c>
      <c r="J329" s="6">
        <v>0.3375</v>
      </c>
      <c r="K329" s="5">
        <v>-30.08</v>
      </c>
      <c r="L329" s="6">
        <v>0.5</v>
      </c>
      <c r="M329" s="6">
        <v>-1.215</v>
      </c>
      <c r="N329" s="6">
        <v>0.125</v>
      </c>
      <c r="O329" s="6">
        <v>0.25</v>
      </c>
      <c r="P329" s="6">
        <v>0.625</v>
      </c>
      <c r="Q329" s="7"/>
      <c r="R329" s="7"/>
    </row>
    <row r="330" spans="1:18">
      <c r="A330" s="4" t="s">
        <v>484</v>
      </c>
      <c r="B330" s="4">
        <f t="shared" si="5"/>
        <v>6</v>
      </c>
      <c r="C330" s="4"/>
      <c r="D330" s="1" t="str">
        <f>IFERROR(VLOOKUP(A330,[1]biopep_DB!$F$2:$J$1654,5,0),)</f>
        <v>Enterococcus faecalis strains from food, environmental, and clinical origin produce ACE-inhibitory peptides and other bioactive peptides during growth in bovine skim milk.</v>
      </c>
      <c r="E330" s="1" t="str">
        <f>IFERROR(VLOOKUP(A330,[1]biopep_DB!$F$2:$L$1654,6,0),0)</f>
        <v>10.1016/j.ijfoodmicro.2013.06.019</v>
      </c>
      <c r="F330" s="1">
        <f>IFERROR(VLOOKUP(A330,[1]biopep_DB!$F$2:$L$1654,7,0),0)</f>
        <v>23845432</v>
      </c>
      <c r="G330" s="5">
        <v>697.69</v>
      </c>
      <c r="H330" s="5">
        <v>4.05</v>
      </c>
      <c r="I330" s="5">
        <v>-1.24</v>
      </c>
      <c r="J330" s="6">
        <v>-1.0833</v>
      </c>
      <c r="K330" s="5">
        <v>177.87</v>
      </c>
      <c r="L330" s="6">
        <v>0.1667</v>
      </c>
      <c r="M330" s="6">
        <v>0.3267</v>
      </c>
      <c r="N330" s="6">
        <v>0.1667</v>
      </c>
      <c r="O330" s="6">
        <v>0.3333</v>
      </c>
      <c r="P330" s="6">
        <v>0.3333</v>
      </c>
      <c r="Q330" s="7"/>
      <c r="R330" s="7"/>
    </row>
    <row r="331" spans="1:18">
      <c r="A331" s="4" t="s">
        <v>485</v>
      </c>
      <c r="B331" s="4">
        <f t="shared" si="5"/>
        <v>3</v>
      </c>
      <c r="C331" s="4" t="s">
        <v>486</v>
      </c>
      <c r="D331" s="1" t="str">
        <f>IFERROR(VLOOKUP(A331,[1]biopep_DB!$F$2:$J$1654,5,0),)</f>
        <v/>
      </c>
      <c r="E331" s="1" t="str">
        <f>IFERROR(VLOOKUP(A331,[1]biopep_DB!$F$2:$L$1654,6,0),0)</f>
        <v/>
      </c>
      <c r="F331" s="1" t="str">
        <f>IFERROR(VLOOKUP(A331,[1]biopep_DB!$F$2:$L$1654,7,0),0)</f>
        <v/>
      </c>
      <c r="G331" s="5">
        <v>429.47</v>
      </c>
      <c r="H331" s="5">
        <v>5.52</v>
      </c>
      <c r="I331" s="5">
        <v>-0.24</v>
      </c>
      <c r="J331" s="6">
        <v>0.2667</v>
      </c>
      <c r="K331" s="5">
        <v>6.67</v>
      </c>
      <c r="L331" s="6">
        <v>0.3333</v>
      </c>
      <c r="M331" s="6">
        <v>-0.86</v>
      </c>
      <c r="N331" s="6">
        <v>0</v>
      </c>
      <c r="O331" s="6">
        <v>0</v>
      </c>
      <c r="P331" s="6">
        <v>1</v>
      </c>
      <c r="Q331" s="7"/>
      <c r="R331" s="7"/>
    </row>
    <row r="332" spans="1:18">
      <c r="A332" s="4" t="s">
        <v>487</v>
      </c>
      <c r="B332" s="4">
        <f t="shared" si="5"/>
        <v>2</v>
      </c>
      <c r="C332" s="4"/>
      <c r="D332" s="1" t="str">
        <f>IFERROR(VLOOKUP(A332,[1]biopep_DB!$F$2:$J$1654,5,0),)</f>
        <v>Quantitative structure-activity relationship study of bitter di- and tri-peptides including relationship with angiotensin I-converting enzyme inhibitory activity.</v>
      </c>
      <c r="E332" s="1" t="str">
        <f>IFERROR(VLOOKUP(A332,[1]biopep_DB!$F$2:$L$1654,6,0),0)</f>
        <v>10.1002/psc.800</v>
      </c>
      <c r="F332" s="1">
        <f>IFERROR(VLOOKUP(A332,[1]biopep_DB!$F$2:$L$1654,7,0),0)</f>
        <v>17117396</v>
      </c>
      <c r="G332" s="5">
        <v>264.32</v>
      </c>
      <c r="H332" s="5">
        <v>5.53</v>
      </c>
      <c r="I332" s="5">
        <v>-0.24</v>
      </c>
      <c r="J332" s="6">
        <v>3.5</v>
      </c>
      <c r="K332" s="5">
        <v>5</v>
      </c>
      <c r="L332" s="6">
        <v>1</v>
      </c>
      <c r="M332" s="6">
        <v>-3.51</v>
      </c>
      <c r="N332" s="6">
        <v>0</v>
      </c>
      <c r="O332" s="6">
        <v>0</v>
      </c>
      <c r="P332" s="6">
        <v>1</v>
      </c>
      <c r="Q332" s="7"/>
      <c r="R332" s="7"/>
    </row>
    <row r="333" spans="1:18">
      <c r="A333" s="4" t="s">
        <v>488</v>
      </c>
      <c r="B333" s="4">
        <f t="shared" si="5"/>
        <v>4</v>
      </c>
      <c r="C333" s="4" t="s">
        <v>105</v>
      </c>
      <c r="D333" s="1" t="str">
        <f>IFERROR(VLOOKUP(A333,[1]biopep_DB!$F$2:$J$1654,5,0),)</f>
        <v>What are the ideal properties for functional food peptides with antihypertensive effect? A computational peptidology approach.</v>
      </c>
      <c r="E333" s="1" t="str">
        <f>IFERROR(VLOOKUP(A333,[1]biopep_DB!$F$2:$L$1654,6,0),0)</f>
        <v>10.1016/j.foodchem.2013.05.140</v>
      </c>
      <c r="F333" s="1" t="str">
        <f>IFERROR(VLOOKUP(A333,[1]biopep_DB!$F$2:$L$1654,7,0),0)</f>
        <v>23871047</v>
      </c>
      <c r="G333" s="5">
        <v>432.51</v>
      </c>
      <c r="H333" s="5">
        <v>5.53</v>
      </c>
      <c r="I333" s="5">
        <v>-0.24</v>
      </c>
      <c r="J333" s="6">
        <v>1.8</v>
      </c>
      <c r="K333" s="5">
        <v>55.65</v>
      </c>
      <c r="L333" s="6">
        <v>1</v>
      </c>
      <c r="M333" s="6">
        <v>-2.2075</v>
      </c>
      <c r="N333" s="6">
        <v>0.25</v>
      </c>
      <c r="O333" s="6">
        <v>0.25</v>
      </c>
      <c r="P333" s="6">
        <v>0.5</v>
      </c>
      <c r="Q333" s="7"/>
      <c r="R333" s="7"/>
    </row>
    <row r="334" spans="1:18">
      <c r="A334" s="4" t="s">
        <v>489</v>
      </c>
      <c r="B334" s="4">
        <f t="shared" si="5"/>
        <v>6</v>
      </c>
      <c r="C334" s="4"/>
      <c r="D334" s="1" t="str">
        <f>IFERROR(VLOOKUP(A334,[1]biopep_DB!$F$2:$J$1654,5,0),)</f>
        <v>Enterococcus faecalis strains from food, environmental, and clinical origin produce ACE-inhibitory peptides and other bioactive peptides during growth in bovine skim milk.</v>
      </c>
      <c r="E334" s="1" t="str">
        <f>IFERROR(VLOOKUP(A334,[1]biopep_DB!$F$2:$L$1654,6,0),0)</f>
        <v>10.1016/j.ijfoodmicro.2013.06.019</v>
      </c>
      <c r="F334" s="1" t="str">
        <f>IFERROR(VLOOKUP(A334,[1]biopep_DB!$F$2:$L$1654,7,0),0)</f>
        <v>23845432</v>
      </c>
      <c r="G334" s="5">
        <v>676.8</v>
      </c>
      <c r="H334" s="5">
        <v>5.53</v>
      </c>
      <c r="I334" s="5">
        <v>-0.24</v>
      </c>
      <c r="J334" s="6">
        <v>1.4</v>
      </c>
      <c r="K334" s="5">
        <v>104.63</v>
      </c>
      <c r="L334" s="6">
        <v>1</v>
      </c>
      <c r="M334" s="6">
        <v>-1.9683</v>
      </c>
      <c r="N334" s="6">
        <v>0.1667</v>
      </c>
      <c r="O334" s="6">
        <v>0.3333</v>
      </c>
      <c r="P334" s="6">
        <v>0.5</v>
      </c>
      <c r="Q334" s="7"/>
      <c r="R334" s="7"/>
    </row>
    <row r="335" spans="1:18">
      <c r="A335" s="4" t="s">
        <v>490</v>
      </c>
      <c r="B335" s="4">
        <f t="shared" si="5"/>
        <v>8</v>
      </c>
      <c r="C335" s="4" t="s">
        <v>491</v>
      </c>
      <c r="D335" s="1" t="str">
        <f>IFERROR(VLOOKUP(A335,[1]biopep_DB!$F$2:$J$1654,5,0),)</f>
        <v>A new QSAR model, for angiotensin I-converting enzyme inhibitory oligopeptides.</v>
      </c>
      <c r="E335" s="1" t="str">
        <f>IFERROR(VLOOKUP(A335,[1]biopep_DB!$F$2:$L$1654,6,0),0)</f>
        <v>10.1016/j.foodchem.2012.09.092</v>
      </c>
      <c r="F335" s="1" t="str">
        <f>IFERROR(VLOOKUP(A335,[1]biopep_DB!$F$2:$L$1654,7,0),0)</f>
        <v>23194537</v>
      </c>
      <c r="G335" s="5">
        <v>905.05</v>
      </c>
      <c r="H335" s="5">
        <v>4.05</v>
      </c>
      <c r="I335" s="5">
        <v>-1.24</v>
      </c>
      <c r="J335" s="6">
        <v>1.1375</v>
      </c>
      <c r="K335" s="5">
        <v>102.7</v>
      </c>
      <c r="L335" s="6">
        <v>0.875</v>
      </c>
      <c r="M335" s="6">
        <v>-1.7763</v>
      </c>
      <c r="N335" s="6">
        <v>0.25</v>
      </c>
      <c r="O335" s="6">
        <v>0.25</v>
      </c>
      <c r="P335" s="6">
        <v>0.5</v>
      </c>
      <c r="Q335" s="7"/>
      <c r="R335" s="7"/>
    </row>
    <row r="336" spans="1:18">
      <c r="A336" s="4" t="s">
        <v>492</v>
      </c>
      <c r="B336" s="4">
        <f t="shared" si="5"/>
        <v>9</v>
      </c>
      <c r="C336" s="4"/>
      <c r="D336" s="1" t="str">
        <f>IFERROR(VLOOKUP(A336,[1]biopep_DB!$F$2:$J$1654,5,0),)</f>
        <v/>
      </c>
      <c r="E336" s="1" t="str">
        <f>IFERROR(VLOOKUP(A336,[1]biopep_DB!$F$2:$L$1654,6,0),0)</f>
        <v/>
      </c>
      <c r="F336" s="1" t="str">
        <f>IFERROR(VLOOKUP(A336,[1]biopep_DB!$F$2:$L$1654,7,0),0)</f>
        <v/>
      </c>
      <c r="G336" s="5">
        <v>1052.22</v>
      </c>
      <c r="H336" s="5">
        <v>4.05</v>
      </c>
      <c r="I336" s="5">
        <v>-1.24</v>
      </c>
      <c r="J336" s="6">
        <v>1.3222</v>
      </c>
      <c r="K336" s="5">
        <v>92.4</v>
      </c>
      <c r="L336" s="6">
        <v>0.8889</v>
      </c>
      <c r="M336" s="6">
        <v>-1.91</v>
      </c>
      <c r="N336" s="6">
        <v>0.2222</v>
      </c>
      <c r="O336" s="6">
        <v>0.2222</v>
      </c>
      <c r="P336" s="6">
        <v>0.5556</v>
      </c>
      <c r="Q336" s="7"/>
      <c r="R336" s="7"/>
    </row>
    <row r="337" spans="1:18">
      <c r="A337" s="4" t="s">
        <v>493</v>
      </c>
      <c r="B337" s="4">
        <f t="shared" si="5"/>
        <v>10</v>
      </c>
      <c r="C337" s="4"/>
      <c r="D337" s="1" t="str">
        <f>IFERROR(VLOOKUP(A337,[1]biopep_DB!$F$2:$J$1654,5,0),)</f>
        <v/>
      </c>
      <c r="E337" s="1" t="str">
        <f>IFERROR(VLOOKUP(A337,[1]biopep_DB!$F$2:$L$1654,6,0),0)</f>
        <v/>
      </c>
      <c r="F337" s="1" t="str">
        <f>IFERROR(VLOOKUP(A337,[1]biopep_DB!$F$2:$L$1654,7,0),0)</f>
        <v/>
      </c>
      <c r="G337" s="5">
        <v>1109.27</v>
      </c>
      <c r="H337" s="5">
        <v>4.05</v>
      </c>
      <c r="I337" s="5">
        <v>-1.24</v>
      </c>
      <c r="J337" s="6">
        <v>1.15</v>
      </c>
      <c r="K337" s="5">
        <v>84.16</v>
      </c>
      <c r="L337" s="6">
        <v>0.8</v>
      </c>
      <c r="M337" s="6">
        <v>-1.813</v>
      </c>
      <c r="N337" s="6">
        <v>0.2</v>
      </c>
      <c r="O337" s="6">
        <v>0.3</v>
      </c>
      <c r="P337" s="6">
        <v>0.5</v>
      </c>
      <c r="Q337" s="7"/>
      <c r="R337" s="7"/>
    </row>
    <row r="338" spans="1:18">
      <c r="A338" s="4" t="s">
        <v>494</v>
      </c>
      <c r="B338" s="4">
        <f t="shared" si="5"/>
        <v>11</v>
      </c>
      <c r="C338" s="4"/>
      <c r="D338" s="1" t="str">
        <f>IFERROR(VLOOKUP(A338,[1]biopep_DB!$F$2:$J$1654,5,0),)</f>
        <v/>
      </c>
      <c r="E338" s="1" t="str">
        <f>IFERROR(VLOOKUP(A338,[1]biopep_DB!$F$2:$L$1654,6,0),0)</f>
        <v/>
      </c>
      <c r="F338" s="1" t="str">
        <f>IFERROR(VLOOKUP(A338,[1]biopep_DB!$F$2:$L$1654,7,0),0)</f>
        <v/>
      </c>
      <c r="G338" s="5">
        <v>1237.44</v>
      </c>
      <c r="H338" s="5">
        <v>6</v>
      </c>
      <c r="I338" s="5">
        <v>-0.24</v>
      </c>
      <c r="J338" s="6">
        <v>0.6909</v>
      </c>
      <c r="K338" s="5">
        <v>69.7</v>
      </c>
      <c r="L338" s="6">
        <v>0.7273</v>
      </c>
      <c r="M338" s="6">
        <v>-1.5045</v>
      </c>
      <c r="N338" s="6">
        <v>0.2727</v>
      </c>
      <c r="O338" s="6">
        <v>0.2727</v>
      </c>
      <c r="P338" s="6">
        <v>0.4545</v>
      </c>
      <c r="Q338" s="7"/>
      <c r="R338" s="7"/>
    </row>
    <row r="339" spans="1:18">
      <c r="A339" s="4" t="s">
        <v>495</v>
      </c>
      <c r="B339" s="4">
        <f t="shared" si="5"/>
        <v>16</v>
      </c>
      <c r="C339" s="4"/>
      <c r="D339" s="1" t="str">
        <f>IFERROR(VLOOKUP(A339,[1]biopep_DB!$F$2:$J$1654,5,0),)</f>
        <v/>
      </c>
      <c r="E339" s="1" t="str">
        <f>IFERROR(VLOOKUP(A339,[1]biopep_DB!$F$2:$L$1654,6,0),0)</f>
        <v/>
      </c>
      <c r="F339" s="1" t="str">
        <f>IFERROR(VLOOKUP(A339,[1]biopep_DB!$F$2:$L$1654,7,0),0)</f>
        <v/>
      </c>
      <c r="G339" s="5">
        <v>1837.08</v>
      </c>
      <c r="H339" s="5">
        <v>5.01</v>
      </c>
      <c r="I339" s="5">
        <v>-1.23</v>
      </c>
      <c r="J339" s="6">
        <v>-0.1625</v>
      </c>
      <c r="K339" s="5">
        <v>45.74</v>
      </c>
      <c r="L339" s="6">
        <v>0.5625</v>
      </c>
      <c r="M339" s="6">
        <v>-0.8819</v>
      </c>
      <c r="N339" s="6">
        <v>0.375</v>
      </c>
      <c r="O339" s="6">
        <v>0.25</v>
      </c>
      <c r="P339" s="6">
        <v>0.375</v>
      </c>
      <c r="Q339" s="7"/>
      <c r="R339" s="7"/>
    </row>
    <row r="340" spans="1:18">
      <c r="A340" s="4" t="s">
        <v>496</v>
      </c>
      <c r="B340" s="4">
        <f t="shared" si="5"/>
        <v>23</v>
      </c>
      <c r="C340" s="4"/>
      <c r="D340" s="1" t="str">
        <f>IFERROR(VLOOKUP(A340,[1]biopep_DB!$F$2:$J$1654,5,0),)</f>
        <v>Identification of angiotensin-I-converting enzyme inhibitory peptides derived from sodium caseinate hydrolysates produced by Lactobacillus helveticus NCC 2765.</v>
      </c>
      <c r="E340" s="1" t="str">
        <f>IFERROR(VLOOKUP(A340,[1]biopep_DB!$F$2:$L$1654,6,0),0)</f>
        <v>10.1021/jf049510t</v>
      </c>
      <c r="F340" s="1">
        <f>IFERROR(VLOOKUP(A340,[1]biopep_DB!$F$2:$L$1654,7,0),0)</f>
        <v>15537298</v>
      </c>
      <c r="G340" s="5">
        <v>2537.86</v>
      </c>
      <c r="H340" s="5">
        <v>4.87</v>
      </c>
      <c r="I340" s="5">
        <v>-1.23</v>
      </c>
      <c r="J340" s="6">
        <v>-0.1609</v>
      </c>
      <c r="K340" s="5">
        <v>34.86</v>
      </c>
      <c r="L340" s="6">
        <v>0.4783</v>
      </c>
      <c r="M340" s="6">
        <v>-0.8674</v>
      </c>
      <c r="N340" s="6">
        <v>0.3478</v>
      </c>
      <c r="O340" s="6">
        <v>0.3478</v>
      </c>
      <c r="P340" s="6">
        <v>0.3478</v>
      </c>
      <c r="Q340" s="7"/>
      <c r="R340" s="7"/>
    </row>
    <row r="341" spans="1:18">
      <c r="A341" s="4" t="s">
        <v>497</v>
      </c>
      <c r="B341" s="4">
        <f t="shared" si="5"/>
        <v>24</v>
      </c>
      <c r="C341" s="4"/>
      <c r="D341" s="1" t="str">
        <f>IFERROR(VLOOKUP(A341,[1]biopep_DB!$F$2:$J$1654,5,0),)</f>
        <v>Angiotensin I-converting-enzyme-inhibitory and antibacterial peptides from Lactobacillus helveticus PR4 proteinase-hydrolyzed caseins of milk from six species.</v>
      </c>
      <c r="E341" s="1" t="str">
        <f>IFERROR(VLOOKUP(A341,[1]biopep_DB!$F$2:$L$1654,6,0),0)</f>
        <v>10.1128/AEM.69.9.5297-5305.2003</v>
      </c>
      <c r="F341" s="1">
        <f>IFERROR(VLOOKUP(A341,[1]biopep_DB!$F$2:$L$1654,7,0),0)</f>
        <v>12957917</v>
      </c>
      <c r="G341" s="5">
        <v>2666.97</v>
      </c>
      <c r="H341" s="5">
        <v>4.75</v>
      </c>
      <c r="I341" s="5">
        <v>-2.23</v>
      </c>
      <c r="J341" s="6">
        <v>-0.3</v>
      </c>
      <c r="K341" s="5">
        <v>41.85</v>
      </c>
      <c r="L341" s="6">
        <v>0.4583</v>
      </c>
      <c r="M341" s="6">
        <v>-0.7629</v>
      </c>
      <c r="N341" s="6">
        <v>0.375</v>
      </c>
      <c r="O341" s="6">
        <v>0.3333</v>
      </c>
      <c r="P341" s="6">
        <v>0.3333</v>
      </c>
      <c r="Q341" s="7"/>
      <c r="R341" s="7"/>
    </row>
    <row r="342" spans="1:18">
      <c r="A342" s="4" t="s">
        <v>498</v>
      </c>
      <c r="B342" s="4">
        <f t="shared" si="5"/>
        <v>6</v>
      </c>
      <c r="C342" s="4" t="s">
        <v>311</v>
      </c>
      <c r="D342" s="1" t="str">
        <f>IFERROR(VLOOKUP(A342,[1]biopep_DB!$F$2:$J$1654,5,0),)</f>
        <v>Inhibition of angiotensin-converting enzyme by synthetic peptide fragments of various beta-caseins.</v>
      </c>
      <c r="E342" s="1" t="str">
        <f>IFERROR(VLOOKUP(A342,[1]biopep_DB!$F$2:$L$1654,6,0),0)</f>
        <v/>
      </c>
      <c r="F342" s="1">
        <f>IFERROR(VLOOKUP(A342,[1]biopep_DB!$F$2:$L$1654,7,0),0)</f>
        <v>1368548</v>
      </c>
      <c r="G342" s="5">
        <v>700.82</v>
      </c>
      <c r="H342" s="5">
        <v>4.05</v>
      </c>
      <c r="I342" s="5">
        <v>-1.24</v>
      </c>
      <c r="J342" s="6">
        <v>0.8</v>
      </c>
      <c r="K342" s="5">
        <v>35.63</v>
      </c>
      <c r="L342" s="6">
        <v>0.8333</v>
      </c>
      <c r="M342" s="6">
        <v>-1.7167</v>
      </c>
      <c r="N342" s="6">
        <v>0.1667</v>
      </c>
      <c r="O342" s="6">
        <v>0.3333</v>
      </c>
      <c r="P342" s="6">
        <v>0.5</v>
      </c>
      <c r="Q342" s="7"/>
      <c r="R342" s="7"/>
    </row>
    <row r="343" spans="1:18">
      <c r="A343" s="4" t="s">
        <v>499</v>
      </c>
      <c r="B343" s="4">
        <f t="shared" si="5"/>
        <v>8</v>
      </c>
      <c r="C343" s="4" t="s">
        <v>500</v>
      </c>
      <c r="G343" s="5">
        <v>819.86</v>
      </c>
      <c r="H343" s="5">
        <v>4.05</v>
      </c>
      <c r="I343" s="5">
        <v>-1.24</v>
      </c>
      <c r="J343" s="6">
        <v>-0.125</v>
      </c>
      <c r="K343" s="5">
        <v>26.88</v>
      </c>
      <c r="L343" s="6">
        <v>0.5</v>
      </c>
      <c r="M343" s="6">
        <v>-0.7087</v>
      </c>
      <c r="N343" s="6">
        <v>0.25</v>
      </c>
      <c r="O343" s="6">
        <v>0.5</v>
      </c>
      <c r="P343" s="6">
        <v>0.25</v>
      </c>
      <c r="Q343" s="7"/>
      <c r="R343" s="7"/>
    </row>
    <row r="344" spans="1:18">
      <c r="A344" s="4" t="s">
        <v>501</v>
      </c>
      <c r="B344" s="4">
        <f t="shared" si="5"/>
        <v>8</v>
      </c>
      <c r="C344" s="4" t="s">
        <v>502</v>
      </c>
      <c r="D344" s="1" t="str">
        <f>IFERROR(VLOOKUP(A344,[1]biopep_DB!$F$2:$J$1654,5,0),)</f>
        <v>Purification of an ACE inhibitory peptide after hydrolysis of sunflower (Helianthus annuus L.) protein isolates.; Vegetable foods: a cheap source of proteins and peptides with antihypertensive, antioxidant, and other less occurrence bioactivities.</v>
      </c>
      <c r="E344" s="1" t="str">
        <f>IFERROR(VLOOKUP(A344,[1]biopep_DB!$F$2:$L$1654,6,0),0)</f>
        <v>10.1021/jf034707r; 10.1016/j.talanta.2012.12.041</v>
      </c>
      <c r="F344" s="1" t="str">
        <f>IFERROR(VLOOKUP(A344,[1]biopep_DB!$F$2:$L$1654,7,0),0)</f>
        <v>15053531 23598136</v>
      </c>
      <c r="G344" s="5">
        <v>818.87</v>
      </c>
      <c r="H344" s="5">
        <v>5.53</v>
      </c>
      <c r="I344" s="5">
        <v>-0.24</v>
      </c>
      <c r="J344" s="6">
        <v>-0.125</v>
      </c>
      <c r="K344" s="5">
        <v>29.23</v>
      </c>
      <c r="L344" s="6">
        <v>0.5</v>
      </c>
      <c r="M344" s="6">
        <v>-0.7437</v>
      </c>
      <c r="N344" s="6">
        <v>0.125</v>
      </c>
      <c r="O344" s="6">
        <v>0.5</v>
      </c>
      <c r="P344" s="6">
        <v>0.25</v>
      </c>
      <c r="Q344" s="7"/>
      <c r="R344" s="7"/>
    </row>
    <row r="345" spans="1:18">
      <c r="A345" s="4" t="s">
        <v>503</v>
      </c>
      <c r="B345" s="4">
        <f t="shared" si="5"/>
        <v>10</v>
      </c>
      <c r="C345" s="4"/>
      <c r="D345" s="1" t="str">
        <f>IFERROR(VLOOKUP(A345,[1]biopep_DB!$F$2:$J$1654,5,0),)</f>
        <v/>
      </c>
      <c r="E345" s="1" t="str">
        <f>IFERROR(VLOOKUP(A345,[1]biopep_DB!$F$2:$L$1654,6,0),0)</f>
        <v/>
      </c>
      <c r="F345" s="1" t="str">
        <f>IFERROR(VLOOKUP(A345,[1]biopep_DB!$F$2:$L$1654,7,0),0)</f>
        <v/>
      </c>
      <c r="G345" s="5">
        <v>1151.35</v>
      </c>
      <c r="H345" s="5">
        <v>4.05</v>
      </c>
      <c r="I345" s="5">
        <v>-1.24</v>
      </c>
      <c r="J345" s="6">
        <v>1.61</v>
      </c>
      <c r="K345" s="5">
        <v>84.16</v>
      </c>
      <c r="L345" s="6">
        <v>0.9</v>
      </c>
      <c r="M345" s="6">
        <v>-2.123</v>
      </c>
      <c r="N345" s="6">
        <v>0.2</v>
      </c>
      <c r="O345" s="6">
        <v>0.2</v>
      </c>
      <c r="P345" s="6">
        <v>0.6</v>
      </c>
      <c r="Q345" s="7"/>
      <c r="R345" s="7"/>
    </row>
    <row r="346" spans="1:18">
      <c r="A346" s="4" t="s">
        <v>504</v>
      </c>
      <c r="B346" s="4">
        <f t="shared" si="5"/>
        <v>2</v>
      </c>
      <c r="C346" s="4" t="s">
        <v>505</v>
      </c>
      <c r="D346" s="1" t="str">
        <f>IFERROR(VLOOKUP(A346,[1]biopep_DB!$F$2:$J$1654,5,0),)</f>
        <v/>
      </c>
      <c r="E346" s="1" t="str">
        <f>IFERROR(VLOOKUP(A346,[1]biopep_DB!$F$2:$L$1654,6,0),0)</f>
        <v/>
      </c>
      <c r="F346" s="1" t="str">
        <f>IFERROR(VLOOKUP(A346,[1]biopep_DB!$F$2:$L$1654,7,0),0)</f>
        <v/>
      </c>
      <c r="G346" s="5">
        <v>351.4</v>
      </c>
      <c r="H346" s="5">
        <v>5.53</v>
      </c>
      <c r="I346" s="5">
        <v>-0.24</v>
      </c>
      <c r="J346" s="6">
        <v>0.95</v>
      </c>
      <c r="K346" s="5">
        <v>5</v>
      </c>
      <c r="L346" s="6">
        <v>1</v>
      </c>
      <c r="M346" s="6">
        <v>-2.655</v>
      </c>
      <c r="N346" s="6">
        <v>0</v>
      </c>
      <c r="O346" s="6">
        <v>0</v>
      </c>
      <c r="P346" s="6">
        <v>1</v>
      </c>
      <c r="Q346" s="7"/>
      <c r="R346" s="7"/>
    </row>
    <row r="347" spans="1:18">
      <c r="A347" s="4" t="s">
        <v>506</v>
      </c>
      <c r="B347" s="4">
        <f t="shared" si="5"/>
        <v>3</v>
      </c>
      <c r="C347" s="4" t="s">
        <v>180</v>
      </c>
      <c r="D347" s="1" t="str">
        <f>IFERROR(VLOOKUP(A347,[1]biopep_DB!$F$2:$J$1654,5,0),)</f>
        <v>Structure and activity of angiotensin I converting enzyme inhibitory peptides from sake and sake lees.; Vegetable foods: a cheap source of proteins and peptides with antihypertensive, antioxidant, and other less occurrence bioactivities.; What are the ideal properties for functional food peptides with antihypertensive effect? A computational peptidology approach.</v>
      </c>
      <c r="E347" s="1" t="str">
        <f>IFERROR(VLOOKUP(A347,[1]biopep_DB!$F$2:$L$1654,6,0),0)</f>
        <v>10.1271/bbb.58.1767; 10.1016/j.talanta.2012.12.041; 10.1016/j.foodchem.2013.05.140</v>
      </c>
      <c r="F347" s="1" t="str">
        <f>IFERROR(VLOOKUP(A347,[1]biopep_DB!$F$2:$L$1654,7,0),0)</f>
        <v>7765503 23598136 23871047</v>
      </c>
      <c r="G347" s="5">
        <v>465.5</v>
      </c>
      <c r="H347" s="5">
        <v>5.53</v>
      </c>
      <c r="I347" s="5">
        <v>-0.24</v>
      </c>
      <c r="J347" s="6">
        <v>-0.5333</v>
      </c>
      <c r="K347" s="5">
        <v>47.8</v>
      </c>
      <c r="L347" s="6">
        <v>0.6667</v>
      </c>
      <c r="M347" s="6">
        <v>-1.23</v>
      </c>
      <c r="N347" s="6">
        <v>0</v>
      </c>
      <c r="O347" s="6">
        <v>0.3333</v>
      </c>
      <c r="P347" s="6">
        <v>0.6667</v>
      </c>
      <c r="Q347" s="7"/>
      <c r="R347" s="7"/>
    </row>
    <row r="348" spans="1:18">
      <c r="A348" s="4" t="s">
        <v>507</v>
      </c>
      <c r="B348" s="4">
        <f t="shared" si="5"/>
        <v>2</v>
      </c>
      <c r="C348" s="4" t="s">
        <v>36</v>
      </c>
      <c r="D348" s="1" t="str">
        <f>IFERROR(VLOOKUP(A348,[1]biopep_DB!$F$2:$J$1654,5,0),)</f>
        <v>Structures and activity of angiotensin-converting enzyme inhibitors in an alpha-zein hydrolysate.; Isolation from alpha-zein of thermolysin peptides with angiotensin I-converting enzyme inhibitory activity.; Antihypertensive effects of Undaria pinnatifida (wakame) peptide on blood pressure in spontaneously hypertensive rats.;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Max-E47, a designed minimalist protein that targets the E-box DNA site in vivo and in vitro.; Cellular membrane disruption by amyloid fibrils involved intermolecular disulfide cross-linking.; Antihypertensive peptides from food proteins: a review.;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348" s="1" t="str">
        <f>IFERROR(VLOOKUP(A348,[1]biopep_DB!$F$2:$L$1654,6,0),0)</f>
        <v>10.1271/bbb.60.661; 10.1016/j.jnutbio.2003.11.004; 10.1021/jf051263l; 10.1002/psc.892; 10.1021/ja901306q; 10.1021/bi900219c; 10.1039/c2fo10192k; 10.1016/j.talanta.2012.12.041; 10.1016/j.foodchem.2013.05.140; 10.1080/10408398.2012.664829</v>
      </c>
      <c r="F348" s="1" t="str">
        <f>IFERROR(VLOOKUP(A348,[1]biopep_DB!$F$2:$L$1654,7,0),0)</f>
        <v>1368684 8829536 15135150 16448176 17654623 19449889 19449893 22249830 23598136 23871047 24915368</v>
      </c>
      <c r="G348" s="5">
        <v>328.36</v>
      </c>
      <c r="H348" s="5">
        <v>5.52</v>
      </c>
      <c r="I348" s="5">
        <v>-0.24</v>
      </c>
      <c r="J348" s="6">
        <v>0.75</v>
      </c>
      <c r="K348" s="5">
        <v>168</v>
      </c>
      <c r="L348" s="6">
        <v>0.5</v>
      </c>
      <c r="M348" s="6">
        <v>-1.42</v>
      </c>
      <c r="N348" s="6">
        <v>0</v>
      </c>
      <c r="O348" s="6">
        <v>0</v>
      </c>
      <c r="P348" s="6">
        <v>1</v>
      </c>
      <c r="Q348" s="7"/>
      <c r="R348" s="7"/>
    </row>
    <row r="349" spans="1:18">
      <c r="A349" s="4" t="s">
        <v>508</v>
      </c>
      <c r="B349" s="4">
        <f t="shared" si="5"/>
        <v>3</v>
      </c>
      <c r="C349" s="4" t="s">
        <v>36</v>
      </c>
      <c r="D349" s="1" t="str">
        <f>IFERROR(VLOOKUP(A349,[1]biopep_DB!$F$2:$J$1654,5,0),)</f>
        <v>Structural requirements of Angiotensin I-converting enzyme inhibitory peptides: quantitative structure-activity relationship study of di- and tripeptides.</v>
      </c>
      <c r="E349" s="1" t="str">
        <f>IFERROR(VLOOKUP(A349,[1]biopep_DB!$F$2:$L$1654,6,0),0)</f>
        <v>10.1021/jf051263l</v>
      </c>
      <c r="F349" s="1">
        <f>IFERROR(VLOOKUP(A349,[1]biopep_DB!$F$2:$L$1654,7,0),0)</f>
        <v>16448176</v>
      </c>
      <c r="G349" s="5">
        <v>442.46</v>
      </c>
      <c r="H349" s="5">
        <v>5.52</v>
      </c>
      <c r="I349" s="5">
        <v>-0.24</v>
      </c>
      <c r="J349" s="6">
        <v>-0.6667</v>
      </c>
      <c r="K349" s="5">
        <v>115.34</v>
      </c>
      <c r="L349" s="6">
        <v>0.3333</v>
      </c>
      <c r="M349" s="6">
        <v>-0.4067</v>
      </c>
      <c r="N349" s="6">
        <v>0</v>
      </c>
      <c r="O349" s="6">
        <v>0.3333</v>
      </c>
      <c r="P349" s="6">
        <v>0.6667</v>
      </c>
      <c r="Q349" s="7"/>
      <c r="R349" s="7"/>
    </row>
    <row r="350" spans="1:18">
      <c r="A350" s="4" t="s">
        <v>509</v>
      </c>
      <c r="B350" s="4">
        <f t="shared" si="5"/>
        <v>5</v>
      </c>
      <c r="C350" s="4" t="s">
        <v>31</v>
      </c>
      <c r="D350" s="1" t="str">
        <f>IFERROR(VLOOKUP(A350,[1]biopep_DB!$F$2:$J$1654,5,0),)</f>
        <v/>
      </c>
      <c r="E350" s="1" t="str">
        <f>IFERROR(VLOOKUP(A350,[1]biopep_DB!$F$2:$L$1654,6,0),0)</f>
        <v/>
      </c>
      <c r="F350" s="1" t="str">
        <f>IFERROR(VLOOKUP(A350,[1]biopep_DB!$F$2:$L$1654,7,0),0)</f>
        <v/>
      </c>
      <c r="G350" s="5">
        <v>667.75</v>
      </c>
      <c r="H350" s="5">
        <v>4.05</v>
      </c>
      <c r="I350" s="5">
        <v>-1.24</v>
      </c>
      <c r="J350" s="6">
        <v>0.04</v>
      </c>
      <c r="K350" s="5">
        <v>132.64</v>
      </c>
      <c r="L350" s="6">
        <v>0.6</v>
      </c>
      <c r="M350" s="6">
        <v>-1.224</v>
      </c>
      <c r="N350" s="6">
        <v>0.4</v>
      </c>
      <c r="O350" s="6">
        <v>0.2</v>
      </c>
      <c r="P350" s="6">
        <v>0.6</v>
      </c>
      <c r="Q350" s="7"/>
      <c r="R350" s="7"/>
    </row>
    <row r="351" spans="1:18">
      <c r="A351" s="4" t="s">
        <v>510</v>
      </c>
      <c r="B351" s="4">
        <f t="shared" si="5"/>
        <v>6</v>
      </c>
      <c r="C351" s="4"/>
      <c r="D351" s="1" t="str">
        <f>IFERROR(VLOOKUP(A351,[1]biopep_DB!$F$2:$J$1654,5,0),)</f>
        <v>Hot topic: Changes in angiotensin-converting enzyme inhibition and concentrations of the tripeptides Val-Pro-Pro and Ile-Pro-Pro during ripening of different Swiss cheese varieties.</v>
      </c>
      <c r="E351" s="1" t="str">
        <f>IFERROR(VLOOKUP(A351,[1]biopep_DB!$F$2:$L$1654,6,0),0)</f>
        <v>10.3168/jds.2008-1531</v>
      </c>
      <c r="F351" s="1">
        <f>IFERROR(VLOOKUP(A351,[1]biopep_DB!$F$2:$L$1654,7,0),0)</f>
        <v>19233775</v>
      </c>
      <c r="G351" s="5">
        <v>755.81</v>
      </c>
      <c r="H351" s="5">
        <v>4.05</v>
      </c>
      <c r="I351" s="5">
        <v>-1.24</v>
      </c>
      <c r="J351" s="6">
        <v>0.0167</v>
      </c>
      <c r="K351" s="5">
        <v>62.67</v>
      </c>
      <c r="L351" s="6">
        <v>0.5</v>
      </c>
      <c r="M351" s="6">
        <v>-1.0883</v>
      </c>
      <c r="N351" s="6">
        <v>0.3333</v>
      </c>
      <c r="O351" s="6">
        <v>0.1667</v>
      </c>
      <c r="P351" s="6">
        <v>0.5</v>
      </c>
      <c r="Q351" s="7"/>
      <c r="R351" s="7"/>
    </row>
    <row r="352" spans="1:18">
      <c r="A352" s="4" t="s">
        <v>511</v>
      </c>
      <c r="B352" s="4">
        <f t="shared" si="5"/>
        <v>4</v>
      </c>
      <c r="C352" s="4" t="s">
        <v>121</v>
      </c>
      <c r="D352" s="1" t="str">
        <f>IFERROR(VLOOKUP(A352,[1]biopep_DB!$F$2:$J$1654,5,0),)</f>
        <v>Isolation from alpha-zein of thermolysin peptides with angiotensin I-converting enzyme inhibitory activity.; What are the ideal properties for functional food peptides with antihypertensive effect? A computational peptidology approach.</v>
      </c>
      <c r="E352" s="1" t="str">
        <f>IFERROR(VLOOKUP(A352,[1]biopep_DB!$F$2:$L$1654,6,0),0)</f>
        <v>10.1271/bbb.60.661; 10.1016/j.foodchem.2013.05.140</v>
      </c>
      <c r="F352" s="1" t="str">
        <f>IFERROR(VLOOKUP(A352,[1]biopep_DB!$F$2:$L$1654,7,0),0)</f>
        <v>8829536 23871047</v>
      </c>
      <c r="G352" s="5">
        <v>584.62</v>
      </c>
      <c r="H352" s="5">
        <v>5.52</v>
      </c>
      <c r="I352" s="5">
        <v>-0.24</v>
      </c>
      <c r="J352" s="6">
        <v>-1.375</v>
      </c>
      <c r="K352" s="5">
        <v>137.15</v>
      </c>
      <c r="L352" s="6">
        <v>0.25</v>
      </c>
      <c r="M352" s="6">
        <v>-0.03</v>
      </c>
      <c r="N352" s="6">
        <v>0</v>
      </c>
      <c r="O352" s="6">
        <v>0</v>
      </c>
      <c r="P352" s="6">
        <v>0.5</v>
      </c>
      <c r="Q352" s="7"/>
      <c r="R352" s="7"/>
    </row>
    <row r="353" spans="1:18">
      <c r="A353" s="4" t="s">
        <v>512</v>
      </c>
      <c r="B353" s="4">
        <f t="shared" si="5"/>
        <v>5</v>
      </c>
      <c r="C353" s="4" t="s">
        <v>513</v>
      </c>
      <c r="D353" s="1" t="str">
        <f>IFERROR(VLOOKUP(A353,[1]biopep_DB!$F$2:$J$1654,5,0),)</f>
        <v/>
      </c>
      <c r="E353" s="1" t="str">
        <f>IFERROR(VLOOKUP(A353,[1]biopep_DB!$F$2:$L$1654,6,0),0)</f>
        <v/>
      </c>
      <c r="F353" s="1" t="str">
        <f>IFERROR(VLOOKUP(A353,[1]biopep_DB!$F$2:$L$1654,7,0),0)</f>
        <v/>
      </c>
      <c r="G353" s="5">
        <v>543.57</v>
      </c>
      <c r="H353" s="5">
        <v>5.52</v>
      </c>
      <c r="I353" s="5">
        <v>-0.24</v>
      </c>
      <c r="J353" s="6">
        <v>0</v>
      </c>
      <c r="K353" s="5">
        <v>63.92</v>
      </c>
      <c r="L353" s="6">
        <v>0.2</v>
      </c>
      <c r="M353" s="6">
        <v>-0.892</v>
      </c>
      <c r="N353" s="6">
        <v>0</v>
      </c>
      <c r="O353" s="6">
        <v>0.4</v>
      </c>
      <c r="P353" s="6">
        <v>0.6</v>
      </c>
      <c r="Q353" s="7"/>
      <c r="R353" s="7"/>
    </row>
    <row r="354" spans="1:18">
      <c r="A354" s="4" t="s">
        <v>514</v>
      </c>
      <c r="B354" s="4">
        <f t="shared" si="5"/>
        <v>2</v>
      </c>
      <c r="C354" s="4" t="s">
        <v>36</v>
      </c>
      <c r="D354" s="1" t="str">
        <f>IFERROR(VLOOKUP(A354,[1]biopep_DB!$F$2:$J$1654,5,0),)</f>
        <v>Binding of peptide substrates and inhibitors of angiotensin-converting enzyme. Importance of the COOH-terminal dipeptide sequence.;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354" s="1" t="str">
        <f>IFERROR(VLOOKUP(A354,[1]biopep_DB!$F$2:$L$1654,6,0),0)</f>
        <v>10.1002/psc.892; 10.1007/s00894-010-0862-x; 10.1016/j.jprot.2013.06.023; 10.1016/j.foodchem.2013.05.140</v>
      </c>
      <c r="F354" s="1" t="str">
        <f>IFERROR(VLOOKUP(A354,[1]biopep_DB!$F$2:$L$1654,7,0),0)</f>
        <v>6243277 17654623 20941517 23806758 23871047</v>
      </c>
      <c r="G354" s="5">
        <v>146.14</v>
      </c>
      <c r="H354" s="5">
        <v>5.53</v>
      </c>
      <c r="I354" s="5">
        <v>-0.24</v>
      </c>
      <c r="J354" s="6">
        <v>0.7</v>
      </c>
      <c r="K354" s="5">
        <v>-37.45</v>
      </c>
      <c r="L354" s="6">
        <v>0.5</v>
      </c>
      <c r="M354" s="6">
        <v>-1.375</v>
      </c>
      <c r="N354" s="6">
        <v>0.5</v>
      </c>
      <c r="O354" s="6">
        <v>0.5</v>
      </c>
      <c r="P354" s="6">
        <v>0</v>
      </c>
      <c r="Q354" s="7"/>
      <c r="R354" s="7"/>
    </row>
    <row r="355" spans="1:18">
      <c r="A355" s="4" t="s">
        <v>515</v>
      </c>
      <c r="B355" s="4">
        <f t="shared" si="5"/>
        <v>12</v>
      </c>
      <c r="C355" s="4" t="s">
        <v>516</v>
      </c>
      <c r="D355" s="1" t="str">
        <f>IFERROR(VLOOKUP(A355,[1]biopep_DB!$F$2:$J$1654,5,0),)</f>
        <v>Antihypertensive peptides from food proteins: a review.; A new QSAR model, for angiotensin I-converting enzyme inhibitory oligopeptides.; Isolation and characterization of peptides with antihypertensive activity in foodstuffs.</v>
      </c>
      <c r="E355" s="1" t="str">
        <f>IFERROR(VLOOKUP(A355,[1]biopep_DB!$F$2:$L$1654,6,0),0)</f>
        <v>10.1039/c2fo10192k; 10.1016/j.foodchem.2012.09.092; 10.1080/10408398.2012.664829</v>
      </c>
      <c r="F355" s="1" t="str">
        <f>IFERROR(VLOOKUP(A355,[1]biopep_DB!$F$2:$L$1654,7,0),0)</f>
        <v>22249830 23194537 24915368</v>
      </c>
      <c r="G355" s="5">
        <v>1305.41</v>
      </c>
      <c r="H355" s="5">
        <v>4.05</v>
      </c>
      <c r="I355" s="5">
        <v>-2.25</v>
      </c>
      <c r="J355" s="6">
        <v>0.0083</v>
      </c>
      <c r="K355" s="5">
        <v>4.78</v>
      </c>
      <c r="L355" s="6">
        <v>0.5833</v>
      </c>
      <c r="M355" s="6">
        <v>-1.0892</v>
      </c>
      <c r="N355" s="6">
        <v>0.4167</v>
      </c>
      <c r="O355" s="6">
        <v>0.3333</v>
      </c>
      <c r="P355" s="6">
        <v>0.25</v>
      </c>
      <c r="Q355" s="7"/>
      <c r="R355" s="7"/>
    </row>
    <row r="356" spans="1:18">
      <c r="A356" s="4" t="s">
        <v>517</v>
      </c>
      <c r="B356" s="4">
        <f t="shared" si="5"/>
        <v>3</v>
      </c>
      <c r="C356" s="4" t="s">
        <v>518</v>
      </c>
      <c r="D356" s="1" t="str">
        <f>IFERROR(VLOOKUP(A356,[1]biopep_DB!$F$2:$J$1654,5,0),)</f>
        <v>Rational design of angiotensin-I-converting enzyme inhibitory peptides by integrating in silico modeling and an in vitro assay.</v>
      </c>
      <c r="E356" s="1" t="str">
        <f>IFERROR(VLOOKUP(A356,[1]biopep_DB!$F$2:$L$1654,6,0),0)</f>
        <v>10.1002/cmdc.201300132</v>
      </c>
      <c r="F356" s="1">
        <f>IFERROR(VLOOKUP(A356,[1]biopep_DB!$F$2:$L$1654,7,0),0)</f>
        <v>23740817</v>
      </c>
      <c r="G356" s="5">
        <v>243.26</v>
      </c>
      <c r="H356" s="5">
        <v>5.53</v>
      </c>
      <c r="I356" s="5">
        <v>-0.24</v>
      </c>
      <c r="J356" s="6">
        <v>-0.0667</v>
      </c>
      <c r="K356" s="5">
        <v>42.57</v>
      </c>
      <c r="L356" s="6">
        <v>0.6667</v>
      </c>
      <c r="M356" s="6">
        <v>-0.9167</v>
      </c>
      <c r="N356" s="6">
        <v>0.3333</v>
      </c>
      <c r="O356" s="6">
        <v>0.6667</v>
      </c>
      <c r="P356" s="6">
        <v>0</v>
      </c>
      <c r="Q356" s="7"/>
      <c r="R356" s="7"/>
    </row>
    <row r="357" spans="1:18">
      <c r="A357" s="4" t="s">
        <v>519</v>
      </c>
      <c r="B357" s="4">
        <f t="shared" si="5"/>
        <v>8</v>
      </c>
      <c r="C357" s="4" t="s">
        <v>520</v>
      </c>
      <c r="D357" s="1" t="str">
        <f>IFERROR(VLOOKUP(A357,[1]biopep_DB!$F$2:$J$1654,5,0),)</f>
        <v>Angiotensin I-converting enzyme-inhibitory peptides obtained from chicken collagen hydrolysate.</v>
      </c>
      <c r="E357" s="1" t="str">
        <f>IFERROR(VLOOKUP(A357,[1]biopep_DB!$F$2:$L$1654,6,0),0)</f>
        <v>10.1021/jf072669w</v>
      </c>
      <c r="F357" s="1">
        <f>IFERROR(VLOOKUP(A357,[1]biopep_DB!$F$2:$L$1654,7,0),0)</f>
        <v>18808143</v>
      </c>
      <c r="G357" s="5">
        <v>664.75</v>
      </c>
      <c r="H357" s="5">
        <v>5.53</v>
      </c>
      <c r="I357" s="5">
        <v>-0.24</v>
      </c>
      <c r="J357" s="6">
        <v>-0.05</v>
      </c>
      <c r="K357" s="5">
        <v>46.29</v>
      </c>
      <c r="L357" s="6">
        <v>0.625</v>
      </c>
      <c r="M357" s="6">
        <v>-1.1937</v>
      </c>
      <c r="N357" s="6">
        <v>0.25</v>
      </c>
      <c r="O357" s="6">
        <v>0.75</v>
      </c>
      <c r="P357" s="6">
        <v>0.125</v>
      </c>
      <c r="Q357" s="7"/>
      <c r="R357" s="7"/>
    </row>
    <row r="358" spans="1:18">
      <c r="A358" s="4" t="s">
        <v>521</v>
      </c>
      <c r="B358" s="4">
        <f t="shared" si="5"/>
        <v>16</v>
      </c>
      <c r="C358" s="4" t="s">
        <v>522</v>
      </c>
      <c r="D358" s="1" t="str">
        <f>IFERROR(VLOOKUP(A358,[1]biopep_DB!$F$2:$J$1654,5,0),)</f>
        <v>Angiotensin I-converting enzyme-inhibitory peptides obtained from chicken collagen hydrolysate.</v>
      </c>
      <c r="E358" s="1" t="str">
        <f>IFERROR(VLOOKUP(A358,[1]biopep_DB!$F$2:$L$1654,6,0),0)</f>
        <v>10.1021/jf072669w</v>
      </c>
      <c r="F358" s="1" t="str">
        <f>IFERROR(VLOOKUP(A358,[1]biopep_DB!$F$2:$L$1654,7,0),0)</f>
        <v>18808143</v>
      </c>
      <c r="G358" s="5">
        <v>1346.45</v>
      </c>
      <c r="H358" s="5">
        <v>6</v>
      </c>
      <c r="I358" s="5">
        <v>-0.24</v>
      </c>
      <c r="J358" s="6">
        <v>-0.5687</v>
      </c>
      <c r="K358" s="5">
        <v>18.73</v>
      </c>
      <c r="L358" s="6">
        <v>0.4375</v>
      </c>
      <c r="M358" s="6">
        <v>-0.6725</v>
      </c>
      <c r="N358" s="6">
        <v>0.1875</v>
      </c>
      <c r="O358" s="6">
        <v>0.6875</v>
      </c>
      <c r="P358" s="6">
        <v>0.0625</v>
      </c>
      <c r="Q358" s="7"/>
      <c r="R358" s="7"/>
    </row>
    <row r="359" spans="1:18">
      <c r="A359" s="4" t="s">
        <v>523</v>
      </c>
      <c r="B359" s="4">
        <f t="shared" si="5"/>
        <v>7</v>
      </c>
      <c r="C359" s="4"/>
      <c r="D359" s="1" t="str">
        <f>IFERROR(VLOOKUP(A359,[1]biopep_DB!$F$2:$J$1654,5,0),)</f>
        <v>Isolation and characterization of peptides with antihypertensive activity in foodstuffs.</v>
      </c>
      <c r="E359" s="1" t="str">
        <f>IFERROR(VLOOKUP(A359,[1]biopep_DB!$F$2:$L$1654,6,0),0)</f>
        <v>10.1080/10408398.2012.664829</v>
      </c>
      <c r="F359" s="1">
        <f>IFERROR(VLOOKUP(A359,[1]biopep_DB!$F$2:$L$1654,7,0),0)</f>
        <v>24915368</v>
      </c>
      <c r="G359" s="5">
        <v>543.57</v>
      </c>
      <c r="H359" s="5">
        <v>5.53</v>
      </c>
      <c r="I359" s="5">
        <v>-0.24</v>
      </c>
      <c r="J359" s="6">
        <v>0.3429</v>
      </c>
      <c r="K359" s="5">
        <v>11.83</v>
      </c>
      <c r="L359" s="6">
        <v>0.4286</v>
      </c>
      <c r="M359" s="6">
        <v>-1.1186</v>
      </c>
      <c r="N359" s="6">
        <v>0.1429</v>
      </c>
      <c r="O359" s="6">
        <v>0.7143</v>
      </c>
      <c r="P359" s="6">
        <v>0.1429</v>
      </c>
      <c r="Q359" s="7"/>
      <c r="R359" s="7"/>
    </row>
    <row r="360" spans="1:18">
      <c r="A360" s="4" t="s">
        <v>524</v>
      </c>
      <c r="B360" s="4">
        <f t="shared" si="5"/>
        <v>3</v>
      </c>
      <c r="C360" s="4" t="s">
        <v>525</v>
      </c>
      <c r="D360" s="1" t="str">
        <f>IFERROR(VLOOKUP(A360,[1]biopep_DB!$F$2:$J$1654,5,0),)</f>
        <v/>
      </c>
      <c r="E360" s="1" t="str">
        <f>IFERROR(VLOOKUP(A360,[1]biopep_DB!$F$2:$L$1654,6,0),0)</f>
        <v/>
      </c>
      <c r="F360" s="1" t="str">
        <f>IFERROR(VLOOKUP(A360,[1]biopep_DB!$F$2:$L$1654,7,0),0)</f>
        <v/>
      </c>
      <c r="G360" s="5">
        <v>332.35</v>
      </c>
      <c r="H360" s="5">
        <v>5.53</v>
      </c>
      <c r="I360" s="5">
        <v>-0.24</v>
      </c>
      <c r="J360" s="6">
        <v>0.1667</v>
      </c>
      <c r="K360" s="5">
        <v>-21.63</v>
      </c>
      <c r="L360" s="6">
        <v>0.6667</v>
      </c>
      <c r="M360" s="6">
        <v>-1.6933</v>
      </c>
      <c r="N360" s="6">
        <v>0.3333</v>
      </c>
      <c r="O360" s="6">
        <v>0.3333</v>
      </c>
      <c r="P360" s="6">
        <v>0.3333</v>
      </c>
      <c r="Q360" s="7"/>
      <c r="R360" s="7"/>
    </row>
    <row r="361" spans="1:18">
      <c r="A361" s="4" t="s">
        <v>526</v>
      </c>
      <c r="B361" s="4">
        <f t="shared" si="5"/>
        <v>5</v>
      </c>
      <c r="C361" s="4" t="s">
        <v>31</v>
      </c>
      <c r="D361" s="1" t="str">
        <f>IFERROR(VLOOKUP(A361,[1]biopep_DB!$F$2:$J$1654,5,0),)</f>
        <v/>
      </c>
      <c r="E361" s="1" t="str">
        <f>IFERROR(VLOOKUP(A361,[1]biopep_DB!$F$2:$L$1654,6,0),0)</f>
        <v/>
      </c>
      <c r="F361" s="1" t="str">
        <f>IFERROR(VLOOKUP(A361,[1]biopep_DB!$F$2:$L$1654,7,0),0)</f>
        <v/>
      </c>
      <c r="G361" s="5">
        <v>564.61</v>
      </c>
      <c r="H361" s="5">
        <v>5.99</v>
      </c>
      <c r="I361" s="5">
        <v>-0.25</v>
      </c>
      <c r="J361" s="6">
        <v>-1.32</v>
      </c>
      <c r="K361" s="5">
        <v>8</v>
      </c>
      <c r="L361" s="6">
        <v>0</v>
      </c>
      <c r="M361" s="6">
        <v>0.48</v>
      </c>
      <c r="N361" s="6">
        <v>0.2</v>
      </c>
      <c r="O361" s="6">
        <v>0.2</v>
      </c>
      <c r="P361" s="6">
        <v>0.2</v>
      </c>
      <c r="Q361" s="7"/>
      <c r="R361" s="7"/>
    </row>
    <row r="362" spans="1:18">
      <c r="A362" s="4" t="s">
        <v>527</v>
      </c>
      <c r="B362" s="4">
        <f t="shared" si="5"/>
        <v>2</v>
      </c>
      <c r="C362" s="4" t="s">
        <v>36</v>
      </c>
      <c r="D362" s="1" t="str">
        <f>IFERROR(VLOOKUP(A362,[1]biopep_DB!$F$2:$J$1654,5,0),)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362" s="1" t="str">
        <f>IFERROR(VLOOKUP(A362,[1]biopep_DB!$F$2:$L$1654,6,0),0)</f>
        <v>10.1021/jf051263l; 10.1002/psc.892; 10.1007/s00894-010-0862-x; 10.1016/j.jprot.2013.06.023; 10.1016/j.foodchem.2013.05.140</v>
      </c>
      <c r="F362" s="1" t="str">
        <f>IFERROR(VLOOKUP(A362,[1]biopep_DB!$F$2:$L$1654,7,0),0)</f>
        <v>6243277 16448176 17654623 20941517 23806758 23871047</v>
      </c>
      <c r="G362" s="5">
        <v>190.15</v>
      </c>
      <c r="H362" s="5">
        <v>4.3</v>
      </c>
      <c r="I362" s="5">
        <v>-1.24</v>
      </c>
      <c r="J362" s="6">
        <v>-1.95</v>
      </c>
      <c r="K362" s="5">
        <v>5</v>
      </c>
      <c r="L362" s="6">
        <v>0</v>
      </c>
      <c r="M362" s="6">
        <v>0.37</v>
      </c>
      <c r="N362" s="6">
        <v>0</v>
      </c>
      <c r="O362" s="6">
        <v>1</v>
      </c>
      <c r="P362" s="6">
        <v>0</v>
      </c>
      <c r="Q362" s="7"/>
      <c r="R362" s="7"/>
    </row>
    <row r="363" spans="1:18">
      <c r="A363" s="4" t="s">
        <v>528</v>
      </c>
      <c r="B363" s="4">
        <f t="shared" si="5"/>
        <v>4</v>
      </c>
      <c r="C363" s="4" t="s">
        <v>56</v>
      </c>
      <c r="D363" s="1" t="str">
        <f>IFERROR(VLOOKUP(A363,[1]biopep_DB!$F$2:$J$1654,5,0),)</f>
        <v>Analysis of novel angiotensin I-converting enzyme inhibitory peptides from enzymatic hydrolysates of cuttlefish (Sepia officinalis) muscle proteins.; Review on the angiotensin-I-converting enzyme (ACE) inhibitor peptides from marine proteins.; What are the ideal properties for functional food peptides with antihypertensive effect? A computational peptidology approach.</v>
      </c>
      <c r="E363" s="1" t="str">
        <f>IFERROR(VLOOKUP(A363,[1]biopep_DB!$F$2:$L$1654,6,0),0)</f>
        <v>10.1021/jf904300q; 10.1007/s12010-012-0024-y; 10.1016/j.foodchem.2013.05.140</v>
      </c>
      <c r="F363" s="1" t="str">
        <f>IFERROR(VLOOKUP(A363,[1]biopep_DB!$F$2:$L$1654,7,0),0)</f>
        <v>20180574 23271625 23871047</v>
      </c>
      <c r="G363" s="5">
        <v>358.35</v>
      </c>
      <c r="H363" s="5">
        <v>4.05</v>
      </c>
      <c r="I363" s="5">
        <v>-1.24</v>
      </c>
      <c r="J363" s="6">
        <v>-0.925</v>
      </c>
      <c r="K363" s="5">
        <v>55.65</v>
      </c>
      <c r="L363" s="6">
        <v>0.5</v>
      </c>
      <c r="M363" s="6">
        <v>-0.2675</v>
      </c>
      <c r="N363" s="6">
        <v>0.25</v>
      </c>
      <c r="O363" s="6">
        <v>0.75</v>
      </c>
      <c r="P363" s="6">
        <v>0</v>
      </c>
      <c r="Q363" s="7"/>
      <c r="R363" s="7"/>
    </row>
    <row r="364" spans="1:18">
      <c r="A364" s="4" t="s">
        <v>529</v>
      </c>
      <c r="B364" s="4">
        <f t="shared" si="5"/>
        <v>21</v>
      </c>
      <c r="C364" s="4" t="s">
        <v>530</v>
      </c>
      <c r="D364" s="1" t="str">
        <f>IFERROR(VLOOKUP(A364,[1]biopep_DB!$F$2:$J$1654,5,0),)</f>
        <v>Antihypertensive peptides from food proteins: a review.; Review on the angiotensin-I-converting enzyme (ACE) inhibitor peptides from marine proteins.; Isolation and characterization of peptides with antihypertensive activity in foodstuffs.</v>
      </c>
      <c r="E364" s="1" t="str">
        <f>IFERROR(VLOOKUP(A364,[1]biopep_DB!$F$2:$L$1654,6,0),0)</f>
        <v>10.1039/c2fo10192k; 10.1007/s12010-012-0024-y; 10.1080/10408398.2012.664829</v>
      </c>
      <c r="F364" s="1" t="str">
        <f>IFERROR(VLOOKUP(A364,[1]biopep_DB!$F$2:$L$1654,7,0),0)</f>
        <v>22249830 23271625 24915368</v>
      </c>
      <c r="G364" s="5">
        <v>2292.5</v>
      </c>
      <c r="H364" s="5">
        <v>8.43</v>
      </c>
      <c r="I364" s="5">
        <v>0.76</v>
      </c>
      <c r="J364" s="6">
        <v>-1.2571</v>
      </c>
      <c r="K364" s="5">
        <v>23.48</v>
      </c>
      <c r="L364" s="6">
        <v>0.2857</v>
      </c>
      <c r="M364" s="6">
        <v>-0.0281</v>
      </c>
      <c r="N364" s="6">
        <v>0.1905</v>
      </c>
      <c r="O364" s="6">
        <v>0.4762</v>
      </c>
      <c r="P364" s="6">
        <v>0.381</v>
      </c>
      <c r="Q364" s="7"/>
      <c r="R364" s="7"/>
    </row>
    <row r="365" spans="1:18">
      <c r="A365" s="4" t="s">
        <v>531</v>
      </c>
      <c r="B365" s="4">
        <f t="shared" si="5"/>
        <v>2</v>
      </c>
      <c r="C365" s="4" t="s">
        <v>36</v>
      </c>
      <c r="D365" s="1" t="str">
        <f>IFERROR(VLOOKUP(A365,[1]biopep_DB!$F$2:$J$1654,5,0),)</f>
        <v>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365" s="1" t="str">
        <f>IFERROR(VLOOKUP(A365,[1]biopep_DB!$F$2:$L$1654,6,0),0)</f>
        <v>10.1021/jf051263l; 10.1002/psc.892; 10.1007/s00894-010-0862-x; 10.1016/j.jprot.2013.06.023; 10.1016/j.foodchem.2013.05.140</v>
      </c>
      <c r="F365" s="1" t="str">
        <f>IFERROR(VLOOKUP(A365,[1]biopep_DB!$F$2:$L$1654,7,0),0)</f>
        <v>16448176 17654623 20941517 23806758 23871047</v>
      </c>
      <c r="G365" s="5">
        <v>204.18</v>
      </c>
      <c r="H365" s="5">
        <v>4.6</v>
      </c>
      <c r="I365" s="5">
        <v>-1.23</v>
      </c>
      <c r="J365" s="6">
        <v>-1.95</v>
      </c>
      <c r="K365" s="5">
        <v>-32.7</v>
      </c>
      <c r="L365" s="6">
        <v>0</v>
      </c>
      <c r="M365" s="6">
        <v>0.35</v>
      </c>
      <c r="N365" s="6">
        <v>0.5</v>
      </c>
      <c r="O365" s="6">
        <v>0.5</v>
      </c>
      <c r="P365" s="6">
        <v>0</v>
      </c>
      <c r="Q365" s="7"/>
      <c r="R365" s="7"/>
    </row>
    <row r="366" spans="1:18">
      <c r="A366" s="4" t="s">
        <v>532</v>
      </c>
      <c r="B366" s="4">
        <f t="shared" si="5"/>
        <v>3</v>
      </c>
      <c r="C366" s="4"/>
      <c r="D366" s="1" t="str">
        <f>IFERROR(VLOOKUP(A366,[1]biopep_DB!$F$2:$J$1654,5,0),)</f>
        <v>QSAR study on angiotensin-converting enzyme inhibitor oligopeptides based on a novel set of sequence information descriptors.; What are the ideal properties for functional food peptides with antihypertensive effect? A computational peptidology approach.</v>
      </c>
      <c r="E366" s="1" t="str">
        <f>IFERROR(VLOOKUP(A366,[1]biopep_DB!$F$2:$L$1654,6,0),0)</f>
        <v>10.1007/s00894-010-0862-x; 10.1016/j.foodchem.2013.05.140</v>
      </c>
      <c r="F366" s="1" t="str">
        <f>IFERROR(VLOOKUP(A366,[1]biopep_DB!$F$2:$L$1654,7,0),0)</f>
        <v>20941517 23871047</v>
      </c>
      <c r="G366" s="5">
        <v>261.23</v>
      </c>
      <c r="H366" s="5">
        <v>4.05</v>
      </c>
      <c r="I366" s="5">
        <v>-1.24</v>
      </c>
      <c r="J366" s="6">
        <v>-1.4333</v>
      </c>
      <c r="K366" s="5">
        <v>-18.47</v>
      </c>
      <c r="L366" s="6">
        <v>0</v>
      </c>
      <c r="M366" s="6">
        <v>-0.08</v>
      </c>
      <c r="N366" s="6">
        <v>0.3333</v>
      </c>
      <c r="O366" s="6">
        <v>0.6667</v>
      </c>
      <c r="P366" s="6">
        <v>0</v>
      </c>
      <c r="Q366" s="7"/>
      <c r="R366" s="7"/>
    </row>
    <row r="367" spans="1:18">
      <c r="A367" s="4" t="s">
        <v>533</v>
      </c>
      <c r="B367" s="4">
        <f t="shared" si="5"/>
        <v>5</v>
      </c>
      <c r="C367" s="4" t="s">
        <v>534</v>
      </c>
      <c r="D367" s="1" t="str">
        <f>IFERROR(VLOOKUP(A367,[1]biopep_DB!$F$2:$J$1654,5,0),)</f>
        <v>Characterization of an antihypertensive angiotensin I-converting enzyme inhibitory peptide from the edible mushroom Hypsizygus marmoreus.; Isolation and characterization of peptides with antihypertensive activity in foodstuffs.</v>
      </c>
      <c r="E367" s="1" t="str">
        <f>IFERROR(VLOOKUP(A367,[1]biopep_DB!$F$2:$L$1654,6,0),0)</f>
        <v>10.1155/2013/283964; 10.1080/10408398.2012.664829</v>
      </c>
      <c r="F367" s="1" t="str">
        <f>IFERROR(VLOOKUP(A367,[1]biopep_DB!$F$2:$L$1654,7,0),0)</f>
        <v>24380081 24915368</v>
      </c>
      <c r="G367" s="5">
        <v>415.4</v>
      </c>
      <c r="H367" s="5">
        <v>4.05</v>
      </c>
      <c r="I367" s="5">
        <v>-1.24</v>
      </c>
      <c r="J367" s="6">
        <v>-1.26</v>
      </c>
      <c r="K367" s="5">
        <v>17.6</v>
      </c>
      <c r="L367" s="6">
        <v>0.2</v>
      </c>
      <c r="M367" s="6">
        <v>-0.236</v>
      </c>
      <c r="N367" s="6">
        <v>0.2</v>
      </c>
      <c r="O367" s="6">
        <v>0.8</v>
      </c>
      <c r="P367" s="6">
        <v>0</v>
      </c>
      <c r="Q367" s="7"/>
      <c r="R367" s="7"/>
    </row>
    <row r="368" spans="1:18">
      <c r="A368" s="4" t="s">
        <v>535</v>
      </c>
      <c r="B368" s="4">
        <f t="shared" si="5"/>
        <v>16</v>
      </c>
      <c r="C368" s="4"/>
      <c r="G368" s="5">
        <v>1485.58</v>
      </c>
      <c r="H368" s="5">
        <v>5.24</v>
      </c>
      <c r="I368" s="5">
        <v>-1.15</v>
      </c>
      <c r="J368" s="6">
        <v>-0.4625</v>
      </c>
      <c r="K368" s="5">
        <v>30.66</v>
      </c>
      <c r="L368" s="6">
        <v>0.3125</v>
      </c>
      <c r="M368" s="6">
        <v>-0.7756</v>
      </c>
      <c r="N368" s="6">
        <v>0.1875</v>
      </c>
      <c r="O368" s="6">
        <v>0.5</v>
      </c>
      <c r="P368" s="6">
        <v>0.125</v>
      </c>
      <c r="Q368" s="7"/>
      <c r="R368" s="7"/>
    </row>
    <row r="369" spans="1:18">
      <c r="A369" s="4" t="s">
        <v>536</v>
      </c>
      <c r="B369" s="4">
        <f t="shared" si="5"/>
        <v>3</v>
      </c>
      <c r="C369" s="4" t="s">
        <v>31</v>
      </c>
      <c r="D369" s="1" t="str">
        <f>IFERROR(VLOOKUP(A369,[1]biopep_DB!$F$2:$J$1654,5,0),)</f>
        <v>Isolation and characterization of a novel angiotensin I-converting enzyme inhibitory peptide derived from the edible mushroom Tricholoma giganteum.; Angiotensin converting enzyme inhibitory peptides derived from food proteins: biochemistry, bioactivity and production.; Langmuir monolayers of a hydrogenated/fluorinated catanionic surfactant: from the macroscopic to the nanoscopic size scale.; Vegetable foods: a cheap source of proteins and peptides with antihypertensive, antioxidant, and other less occurrence bioactivities.; Novel angiotensin I-converting enzyme inhibitory peptides derived from an edible mushroom, Pleurotus cystidiosus O.K. Miller identified by LC-MS/MS.; Characterization of an antihypertensive angiotensin I-converting enzyme inhibitory peptide from the edible mushroom Hypsizygus marmoreus.; Isolation and characterization of peptides with antihypertensive activity in foodstuffs.</v>
      </c>
      <c r="E369" s="1" t="str">
        <f>IFERROR(VLOOKUP(A369,[1]biopep_DB!$F$2:$L$1654,6,0),0)</f>
        <v>10.1016/j.peptides.2004.01.015; 10.2174/138161207780363068; 10.1021/la900593c; 10.1016/j.talanta.2012.12.041; 10.1186/1472-6882-13-313; 10.1155/2013/283964; 10.1080/10408398.2012.664829</v>
      </c>
      <c r="F369" s="1" t="str">
        <f>IFERROR(VLOOKUP(A369,[1]biopep_DB!$F$2:$L$1654,7,0),0)</f>
        <v>15165718 17430180 19449890 23598136 24215325 24380081 24915368</v>
      </c>
      <c r="G369" s="5">
        <v>301.3</v>
      </c>
      <c r="H369" s="5">
        <v>4.05</v>
      </c>
      <c r="I369" s="5">
        <v>-1.24</v>
      </c>
      <c r="J369" s="6">
        <v>-1.8333</v>
      </c>
      <c r="K369" s="5">
        <v>45.73</v>
      </c>
      <c r="L369" s="6">
        <v>0.3333</v>
      </c>
      <c r="M369" s="6">
        <v>0.2333</v>
      </c>
      <c r="N369" s="6">
        <v>0.3333</v>
      </c>
      <c r="O369" s="6">
        <v>0.6667</v>
      </c>
      <c r="P369" s="6">
        <v>0</v>
      </c>
      <c r="Q369" s="7"/>
      <c r="R369" s="7"/>
    </row>
    <row r="370" spans="1:18">
      <c r="A370" s="4" t="s">
        <v>537</v>
      </c>
      <c r="B370" s="4">
        <f t="shared" si="5"/>
        <v>18</v>
      </c>
      <c r="C370" s="4"/>
      <c r="G370" s="5">
        <v>1490.58</v>
      </c>
      <c r="H370" s="5">
        <v>6</v>
      </c>
      <c r="I370" s="5">
        <v>-0.24</v>
      </c>
      <c r="J370" s="6">
        <v>-0.4722</v>
      </c>
      <c r="K370" s="5">
        <v>23.73</v>
      </c>
      <c r="L370" s="6">
        <v>0.5</v>
      </c>
      <c r="M370" s="6">
        <v>-0.5594</v>
      </c>
      <c r="N370" s="6">
        <v>0.3333</v>
      </c>
      <c r="O370" s="6">
        <v>0.5556</v>
      </c>
      <c r="P370" s="6">
        <v>0.0556</v>
      </c>
      <c r="Q370" s="7"/>
      <c r="R370" s="7"/>
    </row>
    <row r="371" spans="1:18">
      <c r="A371" s="4" t="s">
        <v>538</v>
      </c>
      <c r="B371" s="4">
        <f t="shared" si="5"/>
        <v>2</v>
      </c>
      <c r="C371" s="4" t="s">
        <v>36</v>
      </c>
      <c r="D371" s="1" t="str">
        <f>IFERROR(VLOOKUP(A371,[1]biopep_DB!$F$2:$J$1654,5,0),)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Antihypertensive peptides from food proteins: a review.; Review on the angiotensin-I-converting enzyme (ACE) inhibitor peptides from marine proteins.;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
      <c r="E371" s="1" t="str">
        <f>IFERROR(VLOOKUP(A371,[1]biopep_DB!$F$2:$L$1654,6,0),0)</f>
        <v>10.1021/jf051263l; 10.1002/psc.800; 10.1002/psc.892; 10.1007/s00894-010-0862-x; 10.1039/c2fo10192k; 10.1007/s12010-012-0024-y; 10.1016/j.jprot.2013.06.023; 10.1016/j.foodchem.2013.05.140; 10.1080/10408398.2012.664829</v>
      </c>
      <c r="F371" s="1" t="str">
        <f>IFERROR(VLOOKUP(A371,[1]biopep_DB!$F$2:$L$1654,7,0),0)</f>
        <v>6243277 16448176 17117396 17654623 20941517 22249830 23271625 23806758 23871047 24915368</v>
      </c>
      <c r="G371" s="5">
        <v>222.24</v>
      </c>
      <c r="H371" s="5">
        <v>5.53</v>
      </c>
      <c r="I371" s="5">
        <v>-0.24</v>
      </c>
      <c r="J371" s="6">
        <v>1.2</v>
      </c>
      <c r="K371" s="5">
        <v>5</v>
      </c>
      <c r="L371" s="6">
        <v>0.5</v>
      </c>
      <c r="M371" s="6">
        <v>-1.96</v>
      </c>
      <c r="N371" s="6">
        <v>0</v>
      </c>
      <c r="O371" s="6">
        <v>0.5</v>
      </c>
      <c r="P371" s="6">
        <v>0.5</v>
      </c>
      <c r="Q371" s="7"/>
      <c r="R371" s="7"/>
    </row>
    <row r="372" spans="1:18">
      <c r="A372" s="4" t="s">
        <v>539</v>
      </c>
      <c r="B372" s="4">
        <f t="shared" si="5"/>
        <v>3</v>
      </c>
      <c r="C372" s="4"/>
      <c r="D372" s="1" t="str">
        <f>IFERROR(VLOOKUP(A372,[1]biopep_DB!$F$2:$J$1654,5,0),)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372" s="1" t="str">
        <f>IFERROR(VLOOKUP(A372,[1]biopep_DB!$F$2:$L$1654,6,0),0)</f>
        <v>10.1002/psc.800; 10.1007/s00894-010-0862-x; 10.1016/j.foodchem.2013.05.140</v>
      </c>
      <c r="F372" s="1" t="str">
        <f>IFERROR(VLOOKUP(A372,[1]biopep_DB!$F$2:$L$1654,7,0),0)</f>
        <v>17117396 20941517 23871047</v>
      </c>
      <c r="G372" s="5">
        <v>369.41</v>
      </c>
      <c r="H372" s="5">
        <v>5.53</v>
      </c>
      <c r="I372" s="5">
        <v>-0.24</v>
      </c>
      <c r="J372" s="6">
        <v>1.7333</v>
      </c>
      <c r="K372" s="5">
        <v>6.67</v>
      </c>
      <c r="L372" s="6">
        <v>0.6667</v>
      </c>
      <c r="M372" s="6">
        <v>-2.3</v>
      </c>
      <c r="N372" s="6">
        <v>0</v>
      </c>
      <c r="O372" s="6">
        <v>0.3333</v>
      </c>
      <c r="P372" s="6">
        <v>0.6667</v>
      </c>
      <c r="Q372" s="7"/>
      <c r="R372" s="7"/>
    </row>
    <row r="373" spans="1:18">
      <c r="A373" s="4" t="s">
        <v>540</v>
      </c>
      <c r="B373" s="4">
        <f t="shared" si="5"/>
        <v>3</v>
      </c>
      <c r="C373" s="4"/>
      <c r="D373" s="1" t="str">
        <f>IFERROR(VLOOKUP(A373,[1]biopep_DB!$F$2:$J$1654,5,0),)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373" s="1" t="str">
        <f>IFERROR(VLOOKUP(A373,[1]biopep_DB!$F$2:$L$1654,6,0),0)</f>
        <v>10.1002/psc.800; 10.1007/s00894-010-0862-x; 10.1016/j.foodchem.2013.05.140</v>
      </c>
      <c r="F373" s="1" t="str">
        <f>IFERROR(VLOOKUP(A373,[1]biopep_DB!$F$2:$L$1654,7,0),0)</f>
        <v>17117396 20941517 23871047</v>
      </c>
      <c r="G373" s="5">
        <v>279.29</v>
      </c>
      <c r="H373" s="5">
        <v>5.53</v>
      </c>
      <c r="I373" s="5">
        <v>-0.24</v>
      </c>
      <c r="J373" s="6">
        <v>0.6667</v>
      </c>
      <c r="K373" s="5">
        <v>6.67</v>
      </c>
      <c r="L373" s="6">
        <v>0.3333</v>
      </c>
      <c r="M373" s="6">
        <v>-1.62</v>
      </c>
      <c r="N373" s="6">
        <v>0</v>
      </c>
      <c r="O373" s="6">
        <v>0.6667</v>
      </c>
      <c r="P373" s="6">
        <v>0.3333</v>
      </c>
      <c r="Q373" s="7"/>
      <c r="R373" s="7"/>
    </row>
    <row r="374" spans="1:18">
      <c r="A374" s="4" t="s">
        <v>541</v>
      </c>
      <c r="B374" s="4">
        <f t="shared" si="5"/>
        <v>4</v>
      </c>
      <c r="C374" s="4" t="s">
        <v>542</v>
      </c>
      <c r="D374" s="1" t="str">
        <f>IFERROR(VLOOKUP(A374,[1]biopep_DB!$F$2:$J$1654,5,0),)</f>
        <v>Antihypertensive peptides: production, bioavailability and incorporation into foods.</v>
      </c>
      <c r="E374" s="1" t="str">
        <f>IFERROR(VLOOKUP(A374,[1]biopep_DB!$F$2:$L$1654,6,0),0)</f>
        <v>10.1016/j.cis.2010.11.001</v>
      </c>
      <c r="F374" s="1">
        <f>IFERROR(VLOOKUP(A374,[1]biopep_DB!$F$2:$L$1654,7,0),0)</f>
        <v>21185549</v>
      </c>
      <c r="G374" s="5">
        <v>472.54</v>
      </c>
      <c r="H374" s="5">
        <v>6.74</v>
      </c>
      <c r="I374" s="5">
        <v>-0.15</v>
      </c>
      <c r="J374" s="6">
        <v>0.925</v>
      </c>
      <c r="K374" s="5">
        <v>117.35</v>
      </c>
      <c r="L374" s="6">
        <v>0.5</v>
      </c>
      <c r="M374" s="6">
        <v>-1.9625</v>
      </c>
      <c r="N374" s="6">
        <v>0</v>
      </c>
      <c r="O374" s="6">
        <v>0.25</v>
      </c>
      <c r="P374" s="6">
        <v>0.5</v>
      </c>
      <c r="Q374" s="7"/>
      <c r="R374" s="7"/>
    </row>
    <row r="375" spans="1:18">
      <c r="A375" s="4" t="s">
        <v>543</v>
      </c>
      <c r="B375" s="4">
        <f t="shared" si="5"/>
        <v>11</v>
      </c>
      <c r="C375" s="4" t="s">
        <v>544</v>
      </c>
      <c r="D375" s="1" t="str">
        <f>IFERROR(VLOOKUP(A375,[1]biopep_DB!$F$2:$J$1654,5,0),)</f>
        <v>Angiotensin I-converting enzyme inhibitory peptides in a hydrolyzed chicken breast muscle extract.</v>
      </c>
      <c r="E375" s="1" t="str">
        <f>IFERROR(VLOOKUP(A375,[1]biopep_DB!$F$2:$L$1654,6,0),0)</f>
        <v>10.1021/jf020604h</v>
      </c>
      <c r="F375" s="1">
        <f>IFERROR(VLOOKUP(A375,[1]biopep_DB!$F$2:$L$1654,7,0),0)</f>
        <v>12617616</v>
      </c>
      <c r="G375" s="5">
        <v>1046.18</v>
      </c>
      <c r="H375" s="5">
        <v>5.53</v>
      </c>
      <c r="I375" s="5">
        <v>-0.24</v>
      </c>
      <c r="J375" s="6">
        <v>0.2091</v>
      </c>
      <c r="K375" s="5">
        <v>36.39</v>
      </c>
      <c r="L375" s="6">
        <v>0.5455</v>
      </c>
      <c r="M375" s="6">
        <v>-1.3073</v>
      </c>
      <c r="N375" s="6">
        <v>0.0909</v>
      </c>
      <c r="O375" s="6">
        <v>0.6364</v>
      </c>
      <c r="P375" s="6">
        <v>0.3636</v>
      </c>
      <c r="Q375" s="7"/>
      <c r="R375" s="7"/>
    </row>
    <row r="376" spans="1:18">
      <c r="A376" s="4" t="s">
        <v>545</v>
      </c>
      <c r="B376" s="4">
        <f t="shared" si="5"/>
        <v>3</v>
      </c>
      <c r="C376" s="4" t="s">
        <v>546</v>
      </c>
      <c r="D376" s="1" t="str">
        <f>IFERROR(VLOOKUP(A376,[1]biopep_DB!$F$2:$J$1654,5,0),)</f>
        <v/>
      </c>
      <c r="E376" s="1" t="str">
        <f>IFERROR(VLOOKUP(A376,[1]biopep_DB!$F$2:$L$1654,6,0),0)</f>
        <v/>
      </c>
      <c r="F376" s="1" t="str">
        <f>IFERROR(VLOOKUP(A376,[1]biopep_DB!$F$2:$L$1654,7,0),0)</f>
        <v/>
      </c>
      <c r="G376" s="5">
        <v>378.43</v>
      </c>
      <c r="H376" s="5">
        <v>9.75</v>
      </c>
      <c r="I376" s="5">
        <v>0.76</v>
      </c>
      <c r="J376" s="6">
        <v>-0.7</v>
      </c>
      <c r="K376" s="5">
        <v>6.67</v>
      </c>
      <c r="L376" s="6">
        <v>0.3333</v>
      </c>
      <c r="M376" s="6">
        <v>-0.4</v>
      </c>
      <c r="N376" s="6">
        <v>0</v>
      </c>
      <c r="O376" s="6">
        <v>0.3333</v>
      </c>
      <c r="P376" s="6">
        <v>0.3333</v>
      </c>
      <c r="Q376" s="7"/>
      <c r="R376" s="7"/>
    </row>
    <row r="377" spans="1:18">
      <c r="A377" s="4" t="s">
        <v>547</v>
      </c>
      <c r="B377" s="4">
        <f t="shared" si="5"/>
        <v>2</v>
      </c>
      <c r="C377" s="4" t="s">
        <v>36</v>
      </c>
      <c r="D377" s="1" t="str">
        <f>IFERROR(VLOOKUP(A377,[1]biopep_DB!$F$2:$J$1654,5,0),)</f>
        <v>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377" s="1" t="str">
        <f>IFERROR(VLOOKUP(A377,[1]biopep_DB!$F$2:$L$1654,6,0),0)</f>
        <v>10.1021/jf051263l; 10.1002/psc.892; 10.1007/s00894-010-0862-x; 10.1016/j.jprot.2013.06.023; 10.1016/j.foodchem.2013.05.140</v>
      </c>
      <c r="F377" s="1" t="str">
        <f>IFERROR(VLOOKUP(A377,[1]biopep_DB!$F$2:$L$1654,7,0),0)</f>
        <v>16448176 17654623 20941517 23806758 23871047</v>
      </c>
      <c r="G377" s="5">
        <v>132.12</v>
      </c>
      <c r="H377" s="5">
        <v>5.53</v>
      </c>
      <c r="I377" s="5">
        <v>-0.24</v>
      </c>
      <c r="J377" s="6">
        <v>-0.4</v>
      </c>
      <c r="K377" s="5">
        <v>66.7</v>
      </c>
      <c r="L377" s="6">
        <v>0</v>
      </c>
      <c r="M377" s="6">
        <v>-0.94</v>
      </c>
      <c r="N377" s="6">
        <v>0</v>
      </c>
      <c r="O377" s="6">
        <v>1</v>
      </c>
      <c r="P377" s="6">
        <v>0</v>
      </c>
      <c r="Q377" s="7"/>
      <c r="R377" s="7"/>
    </row>
    <row r="378" spans="1:18">
      <c r="A378" s="4" t="s">
        <v>548</v>
      </c>
      <c r="B378" s="4">
        <f t="shared" si="5"/>
        <v>3</v>
      </c>
      <c r="C378" s="4"/>
      <c r="D378" s="1" t="str">
        <f>IFERROR(VLOOKUP(A378,[1]biopep_DB!$F$2:$J$1654,5,0),)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378" s="1" t="str">
        <f>IFERROR(VLOOKUP(A378,[1]biopep_DB!$F$2:$L$1654,6,0),0)</f>
        <v>10.1002/psc.800; 10.1007/s00894-010-0862-x; 10.1016/j.foodchem.2013.05.140</v>
      </c>
      <c r="F378" s="1" t="str">
        <f>IFERROR(VLOOKUP(A378,[1]biopep_DB!$F$2:$L$1654,7,0),0)</f>
        <v>17117396 20941517 23871047</v>
      </c>
      <c r="G378" s="5">
        <v>279.29</v>
      </c>
      <c r="H378" s="5">
        <v>5.53</v>
      </c>
      <c r="I378" s="5">
        <v>-0.24</v>
      </c>
      <c r="J378" s="6">
        <v>0.6667</v>
      </c>
      <c r="K378" s="5">
        <v>47.8</v>
      </c>
      <c r="L378" s="6">
        <v>0.3333</v>
      </c>
      <c r="M378" s="6">
        <v>-1.62</v>
      </c>
      <c r="N378" s="6">
        <v>0</v>
      </c>
      <c r="O378" s="6">
        <v>0.6667</v>
      </c>
      <c r="P378" s="6">
        <v>0.3333</v>
      </c>
      <c r="Q378" s="7"/>
      <c r="R378" s="7"/>
    </row>
    <row r="379" spans="1:18">
      <c r="A379" s="4" t="s">
        <v>549</v>
      </c>
      <c r="B379" s="4">
        <f t="shared" si="5"/>
        <v>3</v>
      </c>
      <c r="C379" s="4"/>
      <c r="D379" s="1" t="str">
        <f>IFERROR(VLOOKUP(A379,[1]biopep_DB!$F$2:$J$1654,5,0),)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379" s="1" t="str">
        <f>IFERROR(VLOOKUP(A379,[1]biopep_DB!$F$2:$L$1654,6,0),0)</f>
        <v>10.1002/psc.800; 10.1007/s00894-010-0862-x; 10.1016/j.foodchem.2013.05.140</v>
      </c>
      <c r="F379" s="1" t="str">
        <f>IFERROR(VLOOKUP(A379,[1]biopep_DB!$F$2:$L$1654,7,0),0)</f>
        <v>17117396 20941517 23871047</v>
      </c>
      <c r="G379" s="5">
        <v>189.17</v>
      </c>
      <c r="H379" s="5">
        <v>5.53</v>
      </c>
      <c r="I379" s="5">
        <v>-0.24</v>
      </c>
      <c r="J379" s="6">
        <v>-0.4</v>
      </c>
      <c r="K379" s="5">
        <v>88.93</v>
      </c>
      <c r="L379" s="6">
        <v>0</v>
      </c>
      <c r="M379" s="6">
        <v>-0.94</v>
      </c>
      <c r="N379" s="6">
        <v>0</v>
      </c>
      <c r="O379" s="6">
        <v>1</v>
      </c>
      <c r="P379" s="6">
        <v>0</v>
      </c>
      <c r="Q379" s="7"/>
      <c r="R379" s="7"/>
    </row>
    <row r="380" spans="1:18">
      <c r="A380" s="4" t="s">
        <v>550</v>
      </c>
      <c r="B380" s="4">
        <f t="shared" si="5"/>
        <v>3</v>
      </c>
      <c r="C380" s="4"/>
      <c r="D380" s="1" t="str">
        <f>IFERROR(VLOOKUP(A380,[1]biopep_DB!$F$2:$J$1654,5,0),)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380" s="1" t="str">
        <f>IFERROR(VLOOKUP(A380,[1]biopep_DB!$F$2:$L$1654,6,0),0)</f>
        <v>10.1002/psc.800; 10.1007/s00894-010-0862-x; 10.1016/j.foodchem.2013.05.140</v>
      </c>
      <c r="F380" s="1" t="str">
        <f>IFERROR(VLOOKUP(A380,[1]biopep_DB!$F$2:$L$1654,7,0),0)</f>
        <v>17117396 20941517 23871047</v>
      </c>
      <c r="G380" s="5">
        <v>245.28</v>
      </c>
      <c r="H380" s="5">
        <v>5.53</v>
      </c>
      <c r="I380" s="5">
        <v>-0.24</v>
      </c>
      <c r="J380" s="6">
        <v>1</v>
      </c>
      <c r="K380" s="5">
        <v>47.8</v>
      </c>
      <c r="L380" s="6">
        <v>0.3333</v>
      </c>
      <c r="M380" s="6">
        <v>-2.2667</v>
      </c>
      <c r="N380" s="6">
        <v>0.3333</v>
      </c>
      <c r="O380" s="6">
        <v>0.6667</v>
      </c>
      <c r="P380" s="6">
        <v>0.3333</v>
      </c>
      <c r="Q380" s="7"/>
      <c r="R380" s="7"/>
    </row>
    <row r="381" spans="1:18">
      <c r="A381" s="4" t="s">
        <v>551</v>
      </c>
      <c r="B381" s="4">
        <f t="shared" si="5"/>
        <v>3</v>
      </c>
      <c r="C381" s="4"/>
      <c r="D381" s="1" t="str">
        <f>IFERROR(VLOOKUP(A381,[1]biopep_DB!$F$2:$J$1654,5,0),)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381" s="1" t="str">
        <f>IFERROR(VLOOKUP(A381,[1]biopep_DB!$F$2:$L$1654,6,0),0)</f>
        <v>10.1002/psc.800; 10.1007/s00894-010-0862-x; 10.1016/j.foodchem.2013.05.140</v>
      </c>
      <c r="F381" s="1" t="str">
        <f>IFERROR(VLOOKUP(A381,[1]biopep_DB!$F$2:$L$1654,7,0),0)</f>
        <v>17117396 20941517 23871047</v>
      </c>
      <c r="G381" s="5">
        <v>229.23</v>
      </c>
      <c r="H381" s="5">
        <v>5.53</v>
      </c>
      <c r="I381" s="5">
        <v>-0.24</v>
      </c>
      <c r="J381" s="6">
        <v>-0.8</v>
      </c>
      <c r="K381" s="5">
        <v>47.8</v>
      </c>
      <c r="L381" s="6">
        <v>0.3333</v>
      </c>
      <c r="M381" s="6">
        <v>-0.6267</v>
      </c>
      <c r="N381" s="6">
        <v>0</v>
      </c>
      <c r="O381" s="6">
        <v>1</v>
      </c>
      <c r="P381" s="6">
        <v>0</v>
      </c>
      <c r="Q381" s="7"/>
      <c r="R381" s="7"/>
    </row>
    <row r="382" spans="1:18">
      <c r="A382" s="4" t="s">
        <v>552</v>
      </c>
      <c r="B382" s="4">
        <f t="shared" si="5"/>
        <v>6</v>
      </c>
      <c r="C382" s="4" t="s">
        <v>31</v>
      </c>
      <c r="D382" s="1" t="str">
        <f>IFERROR(VLOOKUP(A382,[1]biopep_DB!$F$2:$J$1654,5,0),)</f>
        <v/>
      </c>
      <c r="E382" s="1" t="str">
        <f>IFERROR(VLOOKUP(A382,[1]biopep_DB!$F$2:$L$1654,6,0),0)</f>
        <v/>
      </c>
      <c r="F382" s="1" t="str">
        <f>IFERROR(VLOOKUP(A382,[1]biopep_DB!$F$2:$L$1654,7,0),0)</f>
        <v/>
      </c>
      <c r="G382" s="5">
        <v>649.7</v>
      </c>
      <c r="H382" s="5">
        <v>8.75</v>
      </c>
      <c r="I382" s="5">
        <v>0.76</v>
      </c>
      <c r="J382" s="6">
        <v>-1.4833</v>
      </c>
      <c r="K382" s="5">
        <v>61</v>
      </c>
      <c r="L382" s="6">
        <v>0.1667</v>
      </c>
      <c r="M382" s="6">
        <v>0.2067</v>
      </c>
      <c r="N382" s="6">
        <v>0</v>
      </c>
      <c r="O382" s="6">
        <v>0.5</v>
      </c>
      <c r="P382" s="6">
        <v>0.3333</v>
      </c>
      <c r="Q382" s="7"/>
      <c r="R382" s="7"/>
    </row>
    <row r="383" spans="1:18">
      <c r="A383" s="4" t="s">
        <v>553</v>
      </c>
      <c r="B383" s="4">
        <f t="shared" si="5"/>
        <v>3</v>
      </c>
      <c r="C383" s="4"/>
      <c r="D383" s="1" t="str">
        <f>IFERROR(VLOOKUP(A383,[1]biopep_DB!$F$2:$J$1654,5,0),)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383" s="1" t="str">
        <f>IFERROR(VLOOKUP(A383,[1]biopep_DB!$F$2:$L$1654,6,0),0)</f>
        <v>10.1002/psc.800; 10.1007/s00894-010-0862-x; 10.1016/j.foodchem.2013.05.140</v>
      </c>
      <c r="F383" s="1" t="str">
        <f>IFERROR(VLOOKUP(A383,[1]biopep_DB!$F$2:$L$1654,7,0),0)</f>
        <v>17117396 20941517 23871047</v>
      </c>
      <c r="G383" s="5">
        <v>231.25</v>
      </c>
      <c r="H383" s="5">
        <v>5.53</v>
      </c>
      <c r="I383" s="5">
        <v>-0.24</v>
      </c>
      <c r="J383" s="6">
        <v>1.1333</v>
      </c>
      <c r="K383" s="5">
        <v>47.8</v>
      </c>
      <c r="L383" s="6">
        <v>0.3333</v>
      </c>
      <c r="M383" s="6">
        <v>-1.9733</v>
      </c>
      <c r="N383" s="6">
        <v>0</v>
      </c>
      <c r="O383" s="6">
        <v>0.6667</v>
      </c>
      <c r="P383" s="6">
        <v>0.3333</v>
      </c>
      <c r="Q383" s="7"/>
      <c r="R383" s="7"/>
    </row>
    <row r="384" spans="1:18">
      <c r="A384" s="4" t="s">
        <v>554</v>
      </c>
      <c r="B384" s="4">
        <f t="shared" si="5"/>
        <v>6</v>
      </c>
      <c r="C384" s="4" t="s">
        <v>555</v>
      </c>
      <c r="D384" s="1" t="str">
        <f>IFERROR(VLOOKUP(A384,[1]biopep_DB!$F$2:$J$1654,5,0),)</f>
        <v>Inhibition strength of short peptides derived from an ACE inhibitory peptide.; A new QSAR model, for angiotensin I-converting enzyme inhibitory oligopeptides.</v>
      </c>
      <c r="E384" s="1" t="str">
        <f>IFERROR(VLOOKUP(A384,[1]biopep_DB!$F$2:$L$1654,6,0),0)</f>
        <v>10.1021/jf202902r; 10.1016/j.foodchem.2012.09.092</v>
      </c>
      <c r="F384" s="1" t="str">
        <f>IFERROR(VLOOKUP(A384,[1]biopep_DB!$F$2:$L$1654,7,0),0)</f>
        <v>21923188 23194537</v>
      </c>
      <c r="G384" s="5">
        <v>555.62</v>
      </c>
      <c r="H384" s="5">
        <v>5.53</v>
      </c>
      <c r="I384" s="5">
        <v>-0.24</v>
      </c>
      <c r="J384" s="6">
        <v>0.4667</v>
      </c>
      <c r="K384" s="5">
        <v>24.1</v>
      </c>
      <c r="L384" s="6">
        <v>0.5</v>
      </c>
      <c r="M384" s="6">
        <v>-1.5367</v>
      </c>
      <c r="N384" s="6">
        <v>0</v>
      </c>
      <c r="O384" s="6">
        <v>0.6667</v>
      </c>
      <c r="P384" s="6">
        <v>0.3333</v>
      </c>
      <c r="Q384" s="7"/>
      <c r="R384" s="7"/>
    </row>
    <row r="385" spans="1:18">
      <c r="A385" s="4" t="s">
        <v>556</v>
      </c>
      <c r="B385" s="4">
        <f t="shared" si="5"/>
        <v>3</v>
      </c>
      <c r="C385" s="4" t="s">
        <v>36</v>
      </c>
      <c r="D385" s="1" t="str">
        <f>IFERROR(VLOOKUP(A385,[1]biopep_DB!$F$2:$J$1654,5,0),)</f>
        <v>Structure and activity of angiotensin I converting enzyme inhibitory peptides from sake and sake lees.;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What are the ideal properties for functional food peptides with antihypertensive effect? A computational peptidology approach.</v>
      </c>
      <c r="E385" s="1" t="str">
        <f>IFERROR(VLOOKUP(A385,[1]biopep_DB!$F$2:$L$1654,6,0),0)</f>
        <v>10.1271/bbb.58.1767; 10.1021/jf051263l; 10.1002/psc.800; 10.1016/j.foodchem.2013.05.140</v>
      </c>
      <c r="F385" s="1" t="str">
        <f>IFERROR(VLOOKUP(A385,[1]biopep_DB!$F$2:$L$1654,7,0),0)</f>
        <v>7765503 16448176 17117396 23871047</v>
      </c>
      <c r="G385" s="5">
        <v>295.29</v>
      </c>
      <c r="H385" s="5">
        <v>5.52</v>
      </c>
      <c r="I385" s="5">
        <v>-0.24</v>
      </c>
      <c r="J385" s="6">
        <v>-0.7</v>
      </c>
      <c r="K385" s="5">
        <v>19.5</v>
      </c>
      <c r="L385" s="6">
        <v>0</v>
      </c>
      <c r="M385" s="6">
        <v>-0.58</v>
      </c>
      <c r="N385" s="6">
        <v>0</v>
      </c>
      <c r="O385" s="6">
        <v>0.6667</v>
      </c>
      <c r="P385" s="6">
        <v>0.3333</v>
      </c>
      <c r="Q385" s="7"/>
      <c r="R385" s="7"/>
    </row>
    <row r="386" spans="1:18">
      <c r="A386" s="4" t="s">
        <v>557</v>
      </c>
      <c r="B386" s="4">
        <f t="shared" si="5"/>
        <v>2</v>
      </c>
      <c r="C386" s="4" t="s">
        <v>36</v>
      </c>
      <c r="D386" s="1" t="str">
        <f>IFERROR(VLOOKUP(A386,[1]biopep_DB!$F$2:$J$1654,5,0),)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386" s="1" t="str">
        <f>IFERROR(VLOOKUP(A386,[1]biopep_DB!$F$2:$L$1654,6,0),0)</f>
        <v>10.1021/jf051263l; 10.1002/psc.892; 10.1007/s00894-010-0862-x; 10.1016/j.jprot.2013.06.023; 10.1016/j.foodchem.2013.05.140</v>
      </c>
      <c r="F386" s="1" t="str">
        <f>IFERROR(VLOOKUP(A386,[1]biopep_DB!$F$2:$L$1654,7,0),0)</f>
        <v>6243277 16448176 17654623 20941517 23806758 23871047</v>
      </c>
      <c r="G386" s="5">
        <v>212.21</v>
      </c>
      <c r="H386" s="5">
        <v>6.74</v>
      </c>
      <c r="I386" s="5">
        <v>-0.15</v>
      </c>
      <c r="J386" s="6">
        <v>-1.8</v>
      </c>
      <c r="K386" s="5">
        <v>5</v>
      </c>
      <c r="L386" s="6">
        <v>0</v>
      </c>
      <c r="M386" s="6">
        <v>0.025</v>
      </c>
      <c r="N386" s="6">
        <v>0</v>
      </c>
      <c r="O386" s="6">
        <v>0.5</v>
      </c>
      <c r="P386" s="6">
        <v>0</v>
      </c>
      <c r="Q386" s="7"/>
      <c r="R386" s="7"/>
    </row>
    <row r="387" spans="1:18">
      <c r="A387" s="4" t="s">
        <v>558</v>
      </c>
      <c r="B387" s="4">
        <f t="shared" si="5"/>
        <v>3</v>
      </c>
      <c r="C387" s="4" t="s">
        <v>559</v>
      </c>
      <c r="D387" s="1" t="str">
        <f>IFERROR(VLOOKUP(A387,[1]biopep_DB!$F$2:$J$1654,5,0),)</f>
        <v>Angiotensin I-converting enzyme inhibitory peptides derived from bonito bowels autolysate.; What are the ideal properties for functional food peptides with antihypertensive effect? A computational peptidology approach.; Isolation and characterization of peptides with antihypertensive activity in foodstuffs.</v>
      </c>
      <c r="E387" s="1" t="str">
        <f>IFERROR(VLOOKUP(A387,[1]biopep_DB!$F$2:$L$1654,6,0),0)</f>
        <v>10.1271/bbb.57.695; 10.1016/j.foodchem.2013.05.140; 10.1080/10408398.2012.664829</v>
      </c>
      <c r="F387" s="1" t="str">
        <f>IFERROR(VLOOKUP(A387,[1]biopep_DB!$F$2:$L$1654,7,0),0)</f>
        <v>7763772 23871047 24915368</v>
      </c>
      <c r="G387" s="5">
        <v>359.38</v>
      </c>
      <c r="H387" s="5">
        <v>6.74</v>
      </c>
      <c r="I387" s="5">
        <v>-0.15</v>
      </c>
      <c r="J387" s="6">
        <v>-0.2667</v>
      </c>
      <c r="K387" s="5">
        <v>-27.9</v>
      </c>
      <c r="L387" s="6">
        <v>0.3333</v>
      </c>
      <c r="M387" s="6">
        <v>-0.9767</v>
      </c>
      <c r="N387" s="6">
        <v>0</v>
      </c>
      <c r="O387" s="6">
        <v>0.3333</v>
      </c>
      <c r="P387" s="6">
        <v>0.3333</v>
      </c>
      <c r="Q387" s="7"/>
      <c r="R387" s="7"/>
    </row>
    <row r="388" spans="1:18">
      <c r="A388" s="4" t="s">
        <v>560</v>
      </c>
      <c r="B388" s="4">
        <f t="shared" si="5"/>
        <v>3</v>
      </c>
      <c r="C388" s="4" t="s">
        <v>561</v>
      </c>
      <c r="D388" s="1" t="str">
        <f>IFERROR(VLOOKUP(A388,[1]biopep_DB!$F$2:$J$1654,5,0),)</f>
        <v>What are the ideal properties for functional food peptides with antihypertensive effect? A computational peptidology approach.</v>
      </c>
      <c r="E388" s="1" t="str">
        <f>IFERROR(VLOOKUP(A388,[1]biopep_DB!$F$2:$L$1654,6,0),0)</f>
        <v>10.1016/j.foodchem.2013.05.140</v>
      </c>
      <c r="F388" s="1" t="str">
        <f>IFERROR(VLOOKUP(A388,[1]biopep_DB!$F$2:$L$1654,7,0),0)</f>
        <v>23871047</v>
      </c>
      <c r="G388" s="5">
        <v>269.26</v>
      </c>
      <c r="H388" s="5">
        <v>6.74</v>
      </c>
      <c r="I388" s="5">
        <v>-0.15</v>
      </c>
      <c r="J388" s="6">
        <v>-1.3333</v>
      </c>
      <c r="K388" s="5">
        <v>-27.9</v>
      </c>
      <c r="L388" s="6">
        <v>0</v>
      </c>
      <c r="M388" s="6">
        <v>-0.2967</v>
      </c>
      <c r="N388" s="6">
        <v>0</v>
      </c>
      <c r="O388" s="6">
        <v>0.6667</v>
      </c>
      <c r="P388" s="6">
        <v>0</v>
      </c>
      <c r="Q388" s="7"/>
      <c r="R388" s="7"/>
    </row>
    <row r="389" spans="1:18">
      <c r="A389" s="4" t="s">
        <v>562</v>
      </c>
      <c r="B389" s="4">
        <f t="shared" si="5"/>
        <v>10</v>
      </c>
      <c r="C389" s="4" t="s">
        <v>383</v>
      </c>
      <c r="D389" s="1" t="str">
        <f>IFERROR(VLOOKUP(A389,[1]biopep_DB!$F$2:$J$1654,5,0),)</f>
        <v>Production of angiotensin-converting enzyme inhibitors from baker's yeast glyceraldehyde-3-phosphate dehydrogenase.; A new QSAR model, for angiotensin I-converting enzyme inhibitory oligopeptides.</v>
      </c>
      <c r="E389" s="1" t="str">
        <f>IFERROR(VLOOKUP(A389,[1]biopep_DB!$F$2:$L$1654,6,0),0)</f>
        <v>10.1248/bpb1978.13.766; 10.1016/j.foodchem.2012.09.092</v>
      </c>
      <c r="F389" s="1" t="str">
        <f>IFERROR(VLOOKUP(A389,[1]biopep_DB!$F$2:$L$1654,7,0),0)</f>
        <v>2098549 23194537</v>
      </c>
      <c r="G389" s="5">
        <v>1186.32</v>
      </c>
      <c r="H389" s="5">
        <v>8.76</v>
      </c>
      <c r="I389" s="5">
        <v>0.85</v>
      </c>
      <c r="J389" s="6">
        <v>-1.06</v>
      </c>
      <c r="K389" s="5">
        <v>55.79</v>
      </c>
      <c r="L389" s="6">
        <v>0.3</v>
      </c>
      <c r="M389" s="6">
        <v>-0.21</v>
      </c>
      <c r="N389" s="6">
        <v>0.3</v>
      </c>
      <c r="O389" s="6">
        <v>0.1</v>
      </c>
      <c r="P389" s="6">
        <v>0.3</v>
      </c>
      <c r="Q389" s="7"/>
      <c r="R389" s="7"/>
    </row>
    <row r="390" spans="1:18">
      <c r="A390" s="4" t="s">
        <v>563</v>
      </c>
      <c r="B390" s="4">
        <f t="shared" ref="B390:B453" si="6">LEN(A390)</f>
        <v>10</v>
      </c>
      <c r="C390" s="4" t="s">
        <v>383</v>
      </c>
      <c r="D390" s="1" t="str">
        <f>IFERROR(VLOOKUP(A390,[1]biopep_DB!$F$2:$J$1654,5,0),)</f>
        <v>A new QSAR model, for angiotensin I-converting enzyme inhibitory oligopeptides.</v>
      </c>
      <c r="E390" s="1" t="str">
        <f>IFERROR(VLOOKUP(A390,[1]biopep_DB!$F$2:$L$1654,6,0),0)</f>
        <v>10.1016/j.foodchem.2012.09.092</v>
      </c>
      <c r="F390" s="1" t="str">
        <f>IFERROR(VLOOKUP(A390,[1]biopep_DB!$F$2:$L$1654,7,0),0)</f>
        <v>23194537</v>
      </c>
      <c r="G390" s="5">
        <v>1185.34</v>
      </c>
      <c r="H390" s="5">
        <v>11</v>
      </c>
      <c r="I390" s="5">
        <v>1.85</v>
      </c>
      <c r="J390" s="6">
        <v>-1.06</v>
      </c>
      <c r="K390" s="5">
        <v>55.79</v>
      </c>
      <c r="L390" s="6">
        <v>0.3</v>
      </c>
      <c r="M390" s="6">
        <v>-0.238</v>
      </c>
      <c r="N390" s="6">
        <v>0.2</v>
      </c>
      <c r="O390" s="6">
        <v>0.1</v>
      </c>
      <c r="P390" s="6">
        <v>0.3</v>
      </c>
      <c r="Q390" s="7"/>
      <c r="R390" s="7"/>
    </row>
    <row r="391" spans="1:18">
      <c r="A391" s="4" t="s">
        <v>564</v>
      </c>
      <c r="B391" s="4">
        <f t="shared" si="6"/>
        <v>3</v>
      </c>
      <c r="C391" s="4" t="s">
        <v>565</v>
      </c>
      <c r="D391" s="1" t="str">
        <f>IFERROR(VLOOKUP(A391,[1]biopep_DB!$F$2:$J$1654,5,0),)</f>
        <v>Review on the angiotensin-I-converting enzyme (ACE) inhibitor peptides from marine proteins.; Glycinyl-histidinyl-serine (GHS), a novel rapeseed protein-derived peptide has blood pressure-lowering effect in spontaneously hypertensive rats.</v>
      </c>
      <c r="E391" s="1" t="str">
        <f>IFERROR(VLOOKUP(A391,[1]biopep_DB!$F$2:$L$1654,6,0),0)</f>
        <v>10.1007/s12010-012-0024-y; 10.1021/jf400865m</v>
      </c>
      <c r="F391" s="1" t="str">
        <f>IFERROR(VLOOKUP(A391,[1]biopep_DB!$F$2:$L$1654,7,0),0)</f>
        <v>23271625 23919612</v>
      </c>
      <c r="G391" s="5">
        <v>299.28</v>
      </c>
      <c r="H391" s="5">
        <v>6.74</v>
      </c>
      <c r="I391" s="5">
        <v>-0.15</v>
      </c>
      <c r="J391" s="6">
        <v>-1.4667</v>
      </c>
      <c r="K391" s="5">
        <v>6.67</v>
      </c>
      <c r="L391" s="6">
        <v>0</v>
      </c>
      <c r="M391" s="6">
        <v>0.2967</v>
      </c>
      <c r="N391" s="6">
        <v>0</v>
      </c>
      <c r="O391" s="6">
        <v>0.6667</v>
      </c>
      <c r="P391" s="6">
        <v>0</v>
      </c>
      <c r="Q391" s="7"/>
      <c r="R391" s="7"/>
    </row>
    <row r="392" spans="1:18">
      <c r="A392" s="4" t="s">
        <v>566</v>
      </c>
      <c r="B392" s="4">
        <f t="shared" si="6"/>
        <v>2</v>
      </c>
      <c r="C392" s="4" t="s">
        <v>36</v>
      </c>
      <c r="D392" s="1" t="str">
        <f>IFERROR(VLOOKUP(A392,[1]biopep_DB!$F$2:$J$1654,5,0),)</f>
        <v>Binding of peptide substrates and inhibitors of angiotensin-converting enzyme. Importance of the COOH-terminal dipeptide sequence.; Angiotensin I-converting enzyme inhibitory activity and insulin secretion stimulative activity of fermented fish sauce.;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392" s="1" t="str">
        <f>IFERROR(VLOOKUP(A392,[1]biopep_DB!$F$2:$L$1654,6,0),0)</f>
        <v>10.1016/S1389-1723(03)70138-8; 10.1021/jf051263l; 10.1002/psc.892; 10.1007/s00894-010-0862-x; 10.1016/j.jprot.2013.06.023; 10.1016/j.foodchem.2013.05.140</v>
      </c>
      <c r="F392" s="1" t="str">
        <f>IFERROR(VLOOKUP(A392,[1]biopep_DB!$F$2:$L$1654,7,0),0)</f>
        <v>6243277 16233562 16448176 17654623 20941517 23806758 23871047</v>
      </c>
      <c r="G392" s="5">
        <v>188.22</v>
      </c>
      <c r="H392" s="5">
        <v>5.53</v>
      </c>
      <c r="I392" s="5">
        <v>-0.24</v>
      </c>
      <c r="J392" s="6">
        <v>2.05</v>
      </c>
      <c r="K392" s="5">
        <v>-37.45</v>
      </c>
      <c r="L392" s="6">
        <v>0.5</v>
      </c>
      <c r="M392" s="6">
        <v>-2.93</v>
      </c>
      <c r="N392" s="6">
        <v>0</v>
      </c>
      <c r="O392" s="6">
        <v>0.5</v>
      </c>
      <c r="P392" s="6">
        <v>0.5</v>
      </c>
      <c r="Q392" s="7"/>
      <c r="R392" s="7"/>
    </row>
    <row r="393" spans="1:18">
      <c r="A393" s="4" t="s">
        <v>567</v>
      </c>
      <c r="B393" s="4">
        <f t="shared" si="6"/>
        <v>9</v>
      </c>
      <c r="C393" s="4"/>
      <c r="D393" s="1" t="str">
        <f>IFERROR(VLOOKUP(A393,[1]biopep_DB!$F$2:$J$1654,5,0),)</f>
        <v/>
      </c>
      <c r="E393" s="1" t="str">
        <f>IFERROR(VLOOKUP(A393,[1]biopep_DB!$F$2:$L$1654,6,0),0)</f>
        <v/>
      </c>
      <c r="F393" s="1" t="str">
        <f>IFERROR(VLOOKUP(A393,[1]biopep_DB!$F$2:$L$1654,7,0),0)</f>
        <v/>
      </c>
      <c r="G393" s="5">
        <v>1101.26</v>
      </c>
      <c r="H393" s="5">
        <v>8.6</v>
      </c>
      <c r="I393" s="5">
        <v>0.85</v>
      </c>
      <c r="J393" s="6">
        <v>-0.3444</v>
      </c>
      <c r="K393" s="5">
        <v>18.52</v>
      </c>
      <c r="L393" s="6">
        <v>0.4444</v>
      </c>
      <c r="M393" s="6">
        <v>-1.1767</v>
      </c>
      <c r="N393" s="6">
        <v>0.3333</v>
      </c>
      <c r="O393" s="6">
        <v>0.2222</v>
      </c>
      <c r="P393" s="6">
        <v>0.4444</v>
      </c>
      <c r="Q393" s="7"/>
      <c r="R393" s="7"/>
    </row>
    <row r="394" spans="1:18">
      <c r="A394" s="4" t="s">
        <v>568</v>
      </c>
      <c r="B394" s="4">
        <f t="shared" si="6"/>
        <v>13</v>
      </c>
      <c r="C394" s="4" t="s">
        <v>569</v>
      </c>
      <c r="D394" s="1" t="str">
        <f>IFERROR(VLOOKUP(A394,[1]biopep_DB!$F$2:$J$1654,5,0),)</f>
        <v>Angiotensin I-converting enzyme-inhibitory peptides obtained from chicken collagen hydrolysate.</v>
      </c>
      <c r="E394" s="1" t="str">
        <f>IFERROR(VLOOKUP(A394,[1]biopep_DB!$F$2:$L$1654,6,0),0)</f>
        <v>10.1021/jf072669w</v>
      </c>
      <c r="F394" s="1" t="str">
        <f>IFERROR(VLOOKUP(A394,[1]biopep_DB!$F$2:$L$1654,7,0),0)</f>
        <v>18808143</v>
      </c>
      <c r="G394" s="5">
        <v>1179.28</v>
      </c>
      <c r="H394" s="5">
        <v>6</v>
      </c>
      <c r="I394" s="5">
        <v>-0.24</v>
      </c>
      <c r="J394" s="6">
        <v>-0.5308</v>
      </c>
      <c r="K394" s="5">
        <v>11.25</v>
      </c>
      <c r="L394" s="6">
        <v>0.3846</v>
      </c>
      <c r="M394" s="6">
        <v>-0.6508</v>
      </c>
      <c r="N394" s="6">
        <v>0.0769</v>
      </c>
      <c r="O394" s="6">
        <v>0.6923</v>
      </c>
      <c r="P394" s="6">
        <v>0.1538</v>
      </c>
      <c r="Q394" s="7"/>
      <c r="R394" s="7"/>
    </row>
    <row r="395" spans="1:18">
      <c r="A395" s="4" t="s">
        <v>570</v>
      </c>
      <c r="B395" s="4">
        <f t="shared" si="6"/>
        <v>10</v>
      </c>
      <c r="C395" s="4"/>
      <c r="G395" s="5">
        <v>1039.18</v>
      </c>
      <c r="H395" s="5">
        <v>6</v>
      </c>
      <c r="I395" s="5">
        <v>-0.24</v>
      </c>
      <c r="J395" s="6">
        <v>-0.45</v>
      </c>
      <c r="K395" s="5">
        <v>80.09</v>
      </c>
      <c r="L395" s="6">
        <v>0.5</v>
      </c>
      <c r="M395" s="6">
        <v>-0.717</v>
      </c>
      <c r="N395" s="6">
        <v>0.3</v>
      </c>
      <c r="O395" s="6">
        <v>0.4</v>
      </c>
      <c r="P395" s="6">
        <v>0.2</v>
      </c>
      <c r="Q395" s="7"/>
      <c r="R395" s="7"/>
    </row>
    <row r="396" spans="1:18">
      <c r="A396" s="4" t="s">
        <v>571</v>
      </c>
      <c r="B396" s="4">
        <f t="shared" si="6"/>
        <v>2</v>
      </c>
      <c r="C396" s="4" t="s">
        <v>36</v>
      </c>
      <c r="D396" s="1" t="str">
        <f>IFERROR(VLOOKUP(A396,[1]biopep_DB!$F$2:$J$1654,5,0),)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Assessing the dependence of (51)V A(z) value on the aromatic ring orientation of V(IV)O(2+) pyridine complexes.; Model of the exofacial substrate-binding site and helical folding of the human Glut1 glucose transporter based on scanning mutagenesis.;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396" s="1" t="str">
        <f>IFERROR(VLOOKUP(A396,[1]biopep_DB!$F$2:$L$1654,6,0),0)</f>
        <v>10.1021/jf051263l; 10.1002/psc.892; 10.1021/ic9001779; 10.1021/bi900521n; 10.1007/s00894-010-0862-x; 10.1016/j.jprot.2013.06.023; 10.1016/j.foodchem.2013.05.140</v>
      </c>
      <c r="F396" s="1" t="str">
        <f>IFERROR(VLOOKUP(A396,[1]biopep_DB!$F$2:$L$1654,7,0),0)</f>
        <v>6243277 16448176 17654623 19449891 19449892 20941517 23806758 23871047</v>
      </c>
      <c r="G396" s="5">
        <v>203.24</v>
      </c>
      <c r="H396" s="5">
        <v>8.75</v>
      </c>
      <c r="I396" s="5">
        <v>0.76</v>
      </c>
      <c r="J396" s="6">
        <v>-2.15</v>
      </c>
      <c r="K396" s="5">
        <v>-37.45</v>
      </c>
      <c r="L396" s="6">
        <v>0</v>
      </c>
      <c r="M396" s="6">
        <v>0.32</v>
      </c>
      <c r="N396" s="6">
        <v>0.5</v>
      </c>
      <c r="O396" s="6">
        <v>0.5</v>
      </c>
      <c r="P396" s="6">
        <v>0</v>
      </c>
      <c r="Q396" s="7"/>
      <c r="R396" s="7"/>
    </row>
    <row r="397" spans="1:18">
      <c r="A397" s="4" t="s">
        <v>572</v>
      </c>
      <c r="B397" s="4">
        <f t="shared" si="6"/>
        <v>10</v>
      </c>
      <c r="C397" s="4" t="s">
        <v>573</v>
      </c>
      <c r="D397" s="1" t="str">
        <f>IFERROR(VLOOKUP(A397,[1]biopep_DB!$F$2:$J$1654,5,0),)</f>
        <v>A new QSAR model, for angiotensin I-converting enzyme inhibitory oligopeptides.</v>
      </c>
      <c r="E397" s="1" t="str">
        <f>IFERROR(VLOOKUP(A397,[1]biopep_DB!$F$2:$L$1654,6,0),0)</f>
        <v>10.1016/j.foodchem.2012.09.092</v>
      </c>
      <c r="F397" s="1" t="str">
        <f>IFERROR(VLOOKUP(A397,[1]biopep_DB!$F$2:$L$1654,7,0),0)</f>
        <v>23194537</v>
      </c>
      <c r="G397" s="5">
        <v>1141.36</v>
      </c>
      <c r="H397" s="5">
        <v>9.99</v>
      </c>
      <c r="I397" s="5">
        <v>1.76</v>
      </c>
      <c r="J397" s="6">
        <v>-0.47</v>
      </c>
      <c r="K397" s="5">
        <v>8.4</v>
      </c>
      <c r="L397" s="6">
        <v>0.4</v>
      </c>
      <c r="M397" s="6">
        <v>-0.775</v>
      </c>
      <c r="N397" s="6">
        <v>0.4</v>
      </c>
      <c r="O397" s="6">
        <v>0.1</v>
      </c>
      <c r="P397" s="6">
        <v>0.3</v>
      </c>
      <c r="Q397" s="7"/>
      <c r="R397" s="7"/>
    </row>
    <row r="398" spans="1:18">
      <c r="A398" s="4" t="s">
        <v>574</v>
      </c>
      <c r="B398" s="4">
        <f t="shared" si="6"/>
        <v>5</v>
      </c>
      <c r="C398" s="4"/>
      <c r="D398" s="1" t="str">
        <f>IFERROR(VLOOKUP(A398,[1]biopep_DB!$F$2:$J$1654,5,0),)</f>
        <v>Hot topic: Changes in angiotensin-converting enzyme inhibition and concentrations of the tripeptides Val-Pro-Pro and Ile-Pro-Pro during ripening of different Swiss cheese varieties.</v>
      </c>
      <c r="E398" s="1" t="str">
        <f>IFERROR(VLOOKUP(A398,[1]biopep_DB!$F$2:$L$1654,6,0),0)</f>
        <v>10.3168/jds.2008-1531</v>
      </c>
      <c r="F398" s="1" t="str">
        <f>IFERROR(VLOOKUP(A398,[1]biopep_DB!$F$2:$L$1654,7,0),0)</f>
        <v>19233775</v>
      </c>
      <c r="G398" s="5">
        <v>559.66</v>
      </c>
      <c r="H398" s="5">
        <v>8.59</v>
      </c>
      <c r="I398" s="5">
        <v>0.76</v>
      </c>
      <c r="J398" s="6">
        <v>-1.5</v>
      </c>
      <c r="K398" s="5">
        <v>-25.96</v>
      </c>
      <c r="L398" s="6">
        <v>0.2</v>
      </c>
      <c r="M398" s="6">
        <v>-0.036</v>
      </c>
      <c r="N398" s="6">
        <v>0.6</v>
      </c>
      <c r="O398" s="6">
        <v>0.2</v>
      </c>
      <c r="P398" s="6">
        <v>0.2</v>
      </c>
      <c r="Q398" s="7"/>
      <c r="R398" s="7"/>
    </row>
    <row r="399" spans="1:18">
      <c r="A399" s="4" t="s">
        <v>575</v>
      </c>
      <c r="B399" s="4">
        <f t="shared" si="6"/>
        <v>12</v>
      </c>
      <c r="C399" s="4"/>
      <c r="D399" s="1" t="str">
        <f>IFERROR(VLOOKUP(A399,[1]biopep_DB!$F$2:$J$1654,5,0),)</f>
        <v>Hot topic: Changes in angiotensin-converting enzyme inhibition and concentrations of the tripeptides Val-Pro-Pro and Ile-Pro-Pro during ripening of different Swiss cheese varieties.</v>
      </c>
      <c r="E399" s="1" t="str">
        <f>IFERROR(VLOOKUP(A399,[1]biopep_DB!$F$2:$L$1654,6,0),0)</f>
        <v>10.3168/jds.2008-1531</v>
      </c>
      <c r="F399" s="1" t="str">
        <f>IFERROR(VLOOKUP(A399,[1]biopep_DB!$F$2:$L$1654,7,0),0)</f>
        <v>19233775</v>
      </c>
      <c r="G399" s="5">
        <v>1359.52</v>
      </c>
      <c r="H399" s="5">
        <v>6.18</v>
      </c>
      <c r="I399" s="5">
        <v>-0.24</v>
      </c>
      <c r="J399" s="6">
        <v>-1.2</v>
      </c>
      <c r="K399" s="5">
        <v>-4.98</v>
      </c>
      <c r="L399" s="6">
        <v>0.25</v>
      </c>
      <c r="M399" s="6">
        <v>-0.2217</v>
      </c>
      <c r="N399" s="6">
        <v>0.5</v>
      </c>
      <c r="O399" s="6">
        <v>0.3333</v>
      </c>
      <c r="P399" s="6">
        <v>0.25</v>
      </c>
      <c r="Q399" s="7"/>
      <c r="R399" s="7"/>
    </row>
    <row r="400" spans="1:18">
      <c r="A400" s="4" t="s">
        <v>576</v>
      </c>
      <c r="B400" s="4">
        <f t="shared" si="6"/>
        <v>10</v>
      </c>
      <c r="C400" s="4" t="s">
        <v>577</v>
      </c>
      <c r="D400" s="1" t="str">
        <f>IFERROR(VLOOKUP(A400,[1]biopep_DB!$F$2:$J$1654,5,0),)</f>
        <v>Production of angiotensin-converting enzyme inhibitors from baker's yeast glyceraldehyde-3-phosphate dehydrogenase.</v>
      </c>
      <c r="E400" s="1" t="str">
        <f>IFERROR(VLOOKUP(A400,[1]biopep_DB!$F$2:$L$1654,6,0),0)</f>
        <v>10.1248/bpb1978.13.766</v>
      </c>
      <c r="F400" s="1" t="str">
        <f>IFERROR(VLOOKUP(A400,[1]biopep_DB!$F$2:$L$1654,7,0),0)</f>
        <v>2098549</v>
      </c>
      <c r="G400" s="5">
        <v>1193.35</v>
      </c>
      <c r="H400" s="5">
        <v>9.7</v>
      </c>
      <c r="I400" s="5">
        <v>1.76</v>
      </c>
      <c r="J400" s="6">
        <v>-1.54</v>
      </c>
      <c r="K400" s="5">
        <v>11.28</v>
      </c>
      <c r="L400" s="6">
        <v>0.2</v>
      </c>
      <c r="M400" s="6">
        <v>0.161</v>
      </c>
      <c r="N400" s="6">
        <v>0.4</v>
      </c>
      <c r="O400" s="6">
        <v>0.1</v>
      </c>
      <c r="P400" s="6">
        <v>0.3</v>
      </c>
      <c r="Q400" s="7"/>
      <c r="R400" s="7"/>
    </row>
    <row r="401" spans="1:18">
      <c r="A401" s="4" t="s">
        <v>578</v>
      </c>
      <c r="B401" s="4">
        <f t="shared" si="6"/>
        <v>6</v>
      </c>
      <c r="C401" s="4" t="s">
        <v>579</v>
      </c>
      <c r="D401" s="1" t="str">
        <f>IFERROR(VLOOKUP(A401,[1]biopep_DB!$F$2:$J$1654,5,0),)</f>
        <v>Antihypertensive effect of angiotensin I-converting enzyme inhibitory peptides derived from hemoglobin.; A new QSAR model, for angiotensin I-converting enzyme inhibitory oligopeptides.</v>
      </c>
      <c r="E401" s="1" t="str">
        <f>IFERROR(VLOOKUP(A401,[1]biopep_DB!$F$2:$L$1654,6,0),0)</f>
        <v>10.1016/0014-2999(96)00146-x; 10.1016/j.foodchem.2012.09.092</v>
      </c>
      <c r="F401" s="1" t="str">
        <f>IFERROR(VLOOKUP(A401,[1]biopep_DB!$F$2:$L$1654,7,0),0)</f>
        <v>8813589 23194537</v>
      </c>
      <c r="G401" s="5">
        <v>671.83</v>
      </c>
      <c r="H401" s="5">
        <v>10</v>
      </c>
      <c r="I401" s="5">
        <v>1.76</v>
      </c>
      <c r="J401" s="6">
        <v>-0.6167</v>
      </c>
      <c r="K401" s="5">
        <v>34.37</v>
      </c>
      <c r="L401" s="6">
        <v>0.3333</v>
      </c>
      <c r="M401" s="6">
        <v>-0.8967</v>
      </c>
      <c r="N401" s="6">
        <v>0.5</v>
      </c>
      <c r="O401" s="6">
        <v>0.1667</v>
      </c>
      <c r="P401" s="6">
        <v>0.3333</v>
      </c>
      <c r="Q401" s="7"/>
      <c r="R401" s="7"/>
    </row>
    <row r="402" spans="1:18">
      <c r="A402" s="4" t="s">
        <v>580</v>
      </c>
      <c r="B402" s="4">
        <f t="shared" si="6"/>
        <v>10</v>
      </c>
      <c r="C402" s="4" t="s">
        <v>581</v>
      </c>
      <c r="D402" s="1" t="str">
        <f>IFERROR(VLOOKUP(A402,[1]biopep_DB!$F$2:$J$1654,5,0),)</f>
        <v>A new QSAR model, for angiotensin I-converting enzyme inhibitory oligopeptides.</v>
      </c>
      <c r="E402" s="1" t="str">
        <f>IFERROR(VLOOKUP(A402,[1]biopep_DB!$F$2:$L$1654,6,0),0)</f>
        <v>10.1016/j.foodchem.2012.09.092</v>
      </c>
      <c r="F402" s="1" t="str">
        <f>IFERROR(VLOOKUP(A402,[1]biopep_DB!$F$2:$L$1654,7,0),0)</f>
        <v>23194537</v>
      </c>
      <c r="G402" s="5">
        <v>1196.46</v>
      </c>
      <c r="H402" s="5">
        <v>9.7</v>
      </c>
      <c r="I402" s="5">
        <v>1.76</v>
      </c>
      <c r="J402" s="6">
        <v>0.33</v>
      </c>
      <c r="K402" s="5">
        <v>21.74</v>
      </c>
      <c r="L402" s="6">
        <v>0.5</v>
      </c>
      <c r="M402" s="6">
        <v>-1.36</v>
      </c>
      <c r="N402" s="6">
        <v>0.3</v>
      </c>
      <c r="O402" s="6">
        <v>0.2</v>
      </c>
      <c r="P402" s="6">
        <v>0.5</v>
      </c>
      <c r="Q402" s="7"/>
      <c r="R402" s="7"/>
    </row>
    <row r="403" spans="1:18">
      <c r="A403" s="4" t="s">
        <v>582</v>
      </c>
      <c r="B403" s="4">
        <f t="shared" si="6"/>
        <v>3</v>
      </c>
      <c r="C403" s="4" t="s">
        <v>36</v>
      </c>
      <c r="D403" s="1" t="str">
        <f>IFERROR(VLOOKUP(A403,[1]biopep_DB!$F$2:$J$1654,5,0),)</f>
        <v>Structural analysis of new antihypertensive peptides derived from cheese whey protein by proteinase K digestion.; Structural requirements of Angiotensin I-converting enzyme inhibitory peptides: quantitative structure-activity relationship study of di- and tripeptides.; Bioactive peptides in amaranth (Amaranthus hypochondriacus) seed.; Inhibition strength of short peptides derived from an ACE inhibitory peptide.; What are the ideal properties for functional food peptides with antihypertensive effect? A computational peptidology approach.; Isolation and characterization of peptides with antihypertensive activity in foodstuffs.</v>
      </c>
      <c r="E403" s="1" t="str">
        <f>IFERROR(VLOOKUP(A403,[1]biopep_DB!$F$2:$L$1654,6,0),0)</f>
        <v>10.3168/jds.S0022-0302(98)75878-3; 10.1021/jf051263l; 10.1021/jf072911z; 10.1021/jf202902r; 10.1016/j.foodchem.2013.05.140; 10.1080/10408398.2012.664829</v>
      </c>
      <c r="F403" s="1" t="str">
        <f>IFERROR(VLOOKUP(A403,[1]biopep_DB!$F$2:$L$1654,7,0),0)</f>
        <v>9891260 16448176 18211015 21923188 23871047 24915368</v>
      </c>
      <c r="G403" s="5">
        <v>300.35</v>
      </c>
      <c r="H403" s="5">
        <v>8.75</v>
      </c>
      <c r="I403" s="5">
        <v>0.76</v>
      </c>
      <c r="J403" s="6">
        <v>-1.9667</v>
      </c>
      <c r="K403" s="5">
        <v>-46.77</v>
      </c>
      <c r="L403" s="6">
        <v>0.3333</v>
      </c>
      <c r="M403" s="6">
        <v>0.2133</v>
      </c>
      <c r="N403" s="6">
        <v>0.3333</v>
      </c>
      <c r="O403" s="6">
        <v>0.6667</v>
      </c>
      <c r="P403" s="6">
        <v>0</v>
      </c>
      <c r="Q403" s="7"/>
      <c r="R403" s="7"/>
    </row>
    <row r="404" spans="1:18">
      <c r="A404" s="4" t="s">
        <v>583</v>
      </c>
      <c r="B404" s="4">
        <f t="shared" si="6"/>
        <v>3</v>
      </c>
      <c r="C404" s="4" t="s">
        <v>36</v>
      </c>
      <c r="D404" s="1" t="str">
        <f>IFERROR(VLOOKUP(A404,[1]biopep_DB!$F$2:$J$1654,5,0),)</f>
        <v>Structural requirements of Angiotensin I-converting enzyme inhibitory peptides: quantitative structure-activity relationship study of di- and tripeptides.</v>
      </c>
      <c r="E404" s="1" t="str">
        <f>IFERROR(VLOOKUP(A404,[1]biopep_DB!$F$2:$L$1654,6,0),0)</f>
        <v>10.1021/jf051263l</v>
      </c>
      <c r="F404" s="1" t="str">
        <f>IFERROR(VLOOKUP(A404,[1]biopep_DB!$F$2:$L$1654,7,0),0)</f>
        <v>16448176</v>
      </c>
      <c r="G404" s="5">
        <v>302.37</v>
      </c>
      <c r="H404" s="5">
        <v>8.75</v>
      </c>
      <c r="I404" s="5">
        <v>0.76</v>
      </c>
      <c r="J404" s="6">
        <v>-0.0333</v>
      </c>
      <c r="K404" s="5">
        <v>-49.93</v>
      </c>
      <c r="L404" s="6">
        <v>0.3333</v>
      </c>
      <c r="M404" s="6">
        <v>-1.1333</v>
      </c>
      <c r="N404" s="6">
        <v>0.3333</v>
      </c>
      <c r="O404" s="6">
        <v>0.3333</v>
      </c>
      <c r="P404" s="6">
        <v>0.3333</v>
      </c>
      <c r="Q404" s="7"/>
      <c r="R404" s="7"/>
    </row>
    <row r="405" spans="1:18">
      <c r="A405" s="4" t="s">
        <v>584</v>
      </c>
      <c r="B405" s="4">
        <f t="shared" si="6"/>
        <v>4</v>
      </c>
      <c r="C405" s="4"/>
      <c r="D405" s="1" t="str">
        <f>IFERROR(VLOOKUP(A405,[1]biopep_DB!$F$2:$J$1654,5,0),)</f>
        <v/>
      </c>
      <c r="E405" s="1" t="str">
        <f>IFERROR(VLOOKUP(A405,[1]biopep_DB!$F$2:$L$1654,6,0),0)</f>
        <v/>
      </c>
      <c r="F405" s="1" t="str">
        <f>IFERROR(VLOOKUP(A405,[1]biopep_DB!$F$2:$L$1654,7,0),0)</f>
        <v/>
      </c>
      <c r="G405" s="5">
        <v>446.5</v>
      </c>
      <c r="H405" s="5">
        <v>8.75</v>
      </c>
      <c r="I405" s="5">
        <v>0.76</v>
      </c>
      <c r="J405" s="6">
        <v>-1.4</v>
      </c>
      <c r="K405" s="5">
        <v>-39.65</v>
      </c>
      <c r="L405" s="6">
        <v>0.25</v>
      </c>
      <c r="M405" s="6">
        <v>-0.6575</v>
      </c>
      <c r="N405" s="6">
        <v>0.25</v>
      </c>
      <c r="O405" s="6">
        <v>0.5</v>
      </c>
      <c r="P405" s="6">
        <v>0.25</v>
      </c>
      <c r="Q405" s="7"/>
      <c r="R405" s="7"/>
    </row>
    <row r="406" spans="1:18">
      <c r="A406" s="4" t="s">
        <v>585</v>
      </c>
      <c r="B406" s="4">
        <f t="shared" si="6"/>
        <v>2</v>
      </c>
      <c r="C406" s="4" t="s">
        <v>36</v>
      </c>
      <c r="D406" s="1" t="str">
        <f>IFERROR(VLOOKUP(A406,[1]biopep_DB!$F$2:$J$1654,5,0),)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406" s="1" t="str">
        <f>IFERROR(VLOOKUP(A406,[1]biopep_DB!$F$2:$L$1654,6,0),0)</f>
        <v>10.1021/jf051263l; 10.1002/psc.892; 10.1007/s00894-010-0862-x; 10.1016/j.jprot.2013.06.023; 10.1016/j.foodchem.2013.05.140</v>
      </c>
      <c r="F406" s="1" t="str">
        <f>IFERROR(VLOOKUP(A406,[1]biopep_DB!$F$2:$L$1654,7,0),0)</f>
        <v>6243277 16448176 17654623 20941517 23806758 23871047</v>
      </c>
      <c r="G406" s="5">
        <v>188.22</v>
      </c>
      <c r="H406" s="5">
        <v>5.53</v>
      </c>
      <c r="I406" s="5">
        <v>-0.24</v>
      </c>
      <c r="J406" s="6">
        <v>1.7</v>
      </c>
      <c r="K406" s="5">
        <v>5</v>
      </c>
      <c r="L406" s="6">
        <v>0.5</v>
      </c>
      <c r="M406" s="6">
        <v>-2.93</v>
      </c>
      <c r="N406" s="6">
        <v>0.5</v>
      </c>
      <c r="O406" s="6">
        <v>0.5</v>
      </c>
      <c r="P406" s="6">
        <v>0.5</v>
      </c>
      <c r="Q406" s="7"/>
      <c r="R406" s="7"/>
    </row>
    <row r="407" spans="1:18">
      <c r="A407" s="4" t="s">
        <v>586</v>
      </c>
      <c r="B407" s="4">
        <f t="shared" si="6"/>
        <v>6</v>
      </c>
      <c r="C407" s="4" t="s">
        <v>114</v>
      </c>
      <c r="D407" s="1" t="str">
        <f>IFERROR(VLOOKUP(A407,[1]biopep_DB!$F$2:$J$1654,5,0),)</f>
        <v>Quality and acceptability of a set-type yogurt made from camel milk.</v>
      </c>
      <c r="E407" s="1" t="str">
        <f>IFERROR(VLOOKUP(A407,[1]biopep_DB!$F$2:$L$1654,6,0),0)</f>
        <v>10.3168/jds.2008-1408</v>
      </c>
      <c r="F407" s="1" t="str">
        <f>IFERROR(VLOOKUP(A407,[1]biopep_DB!$F$2:$L$1654,7,0),0)</f>
        <v>19233778</v>
      </c>
      <c r="G407" s="5">
        <v>672.77</v>
      </c>
      <c r="H407" s="5">
        <v>5.84</v>
      </c>
      <c r="I407" s="5">
        <v>-0.24</v>
      </c>
      <c r="J407" s="6">
        <v>-0.5</v>
      </c>
      <c r="K407" s="5">
        <v>8.33</v>
      </c>
      <c r="L407" s="6">
        <v>0.3333</v>
      </c>
      <c r="M407" s="6">
        <v>-1.0267</v>
      </c>
      <c r="N407" s="6">
        <v>0.3333</v>
      </c>
      <c r="O407" s="6">
        <v>0.3333</v>
      </c>
      <c r="P407" s="6">
        <v>0.3333</v>
      </c>
      <c r="Q407" s="7"/>
      <c r="R407" s="7"/>
    </row>
    <row r="408" spans="1:18">
      <c r="A408" s="4" t="s">
        <v>587</v>
      </c>
      <c r="B408" s="4">
        <f t="shared" si="6"/>
        <v>4</v>
      </c>
      <c r="C408" s="4"/>
      <c r="D408" s="1" t="str">
        <f>IFERROR(VLOOKUP(A408,[1]biopep_DB!$F$2:$J$1654,5,0),)</f>
        <v/>
      </c>
      <c r="E408" s="1" t="str">
        <f>IFERROR(VLOOKUP(A408,[1]biopep_DB!$F$2:$L$1654,6,0),0)</f>
        <v/>
      </c>
      <c r="F408" s="1" t="str">
        <f>IFERROR(VLOOKUP(A408,[1]biopep_DB!$F$2:$L$1654,7,0),0)</f>
        <v/>
      </c>
      <c r="G408" s="5">
        <v>392.45</v>
      </c>
      <c r="H408" s="5">
        <v>5.53</v>
      </c>
      <c r="I408" s="5">
        <v>-0.24</v>
      </c>
      <c r="J408" s="6">
        <v>1.45</v>
      </c>
      <c r="K408" s="5">
        <v>7.5</v>
      </c>
      <c r="L408" s="6">
        <v>0.5</v>
      </c>
      <c r="M408" s="6">
        <v>-2.445</v>
      </c>
      <c r="N408" s="6">
        <v>0.25</v>
      </c>
      <c r="O408" s="6">
        <v>0.5</v>
      </c>
      <c r="P408" s="6">
        <v>0.5</v>
      </c>
      <c r="Q408" s="7"/>
      <c r="R408" s="7"/>
    </row>
    <row r="409" spans="1:18">
      <c r="A409" s="4" t="s">
        <v>588</v>
      </c>
      <c r="B409" s="4">
        <f t="shared" si="6"/>
        <v>3</v>
      </c>
      <c r="C409" s="4"/>
      <c r="D409" s="1" t="str">
        <f>IFERROR(VLOOKUP(A409,[1]biopep_DB!$F$2:$J$1654,5,0),)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409" s="1" t="str">
        <f>IFERROR(VLOOKUP(A409,[1]biopep_DB!$F$2:$L$1654,6,0),0)</f>
        <v>10.1002/psc.800; 10.1007/s00894-010-0862-x; 10.1016/j.foodchem.2013.05.140</v>
      </c>
      <c r="F409" s="1" t="str">
        <f>IFERROR(VLOOKUP(A409,[1]biopep_DB!$F$2:$L$1654,7,0),0)</f>
        <v>17117396 20941517 23871047</v>
      </c>
      <c r="G409" s="5">
        <v>245.28</v>
      </c>
      <c r="H409" s="5">
        <v>5.53</v>
      </c>
      <c r="I409" s="5">
        <v>-0.24</v>
      </c>
      <c r="J409" s="6">
        <v>1</v>
      </c>
      <c r="K409" s="5">
        <v>6.67</v>
      </c>
      <c r="L409" s="6">
        <v>0.3333</v>
      </c>
      <c r="M409" s="6">
        <v>-2.2667</v>
      </c>
      <c r="N409" s="6">
        <v>0.3333</v>
      </c>
      <c r="O409" s="6">
        <v>0.6667</v>
      </c>
      <c r="P409" s="6">
        <v>0.3333</v>
      </c>
      <c r="Q409" s="7"/>
      <c r="R409" s="7"/>
    </row>
    <row r="410" spans="1:18">
      <c r="A410" s="4" t="s">
        <v>589</v>
      </c>
      <c r="B410" s="4">
        <f t="shared" si="6"/>
        <v>3</v>
      </c>
      <c r="C410" s="4"/>
      <c r="D410" s="1" t="str">
        <f>IFERROR(VLOOKUP(A410,[1]biopep_DB!$F$2:$J$1654,5,0),)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410" s="1" t="str">
        <f>IFERROR(VLOOKUP(A410,[1]biopep_DB!$F$2:$L$1654,6,0),0)</f>
        <v>10.1002/psc.800; 10.1007/s00894-010-0862-x; 10.1016/j.foodchem.2013.05.140</v>
      </c>
      <c r="F410" s="1" t="str">
        <f>IFERROR(VLOOKUP(A410,[1]biopep_DB!$F$2:$L$1654,7,0),0)</f>
        <v>17117396 20941517 23871047</v>
      </c>
      <c r="G410" s="5">
        <v>301.38</v>
      </c>
      <c r="H410" s="5">
        <v>5.53</v>
      </c>
      <c r="I410" s="5">
        <v>-0.24</v>
      </c>
      <c r="J410" s="6">
        <v>2.4</v>
      </c>
      <c r="K410" s="5">
        <v>6.67</v>
      </c>
      <c r="L410" s="6">
        <v>0.6667</v>
      </c>
      <c r="M410" s="6">
        <v>-3.5933</v>
      </c>
      <c r="N410" s="6">
        <v>0.6667</v>
      </c>
      <c r="O410" s="6">
        <v>0.3333</v>
      </c>
      <c r="P410" s="6">
        <v>0.6667</v>
      </c>
      <c r="Q410" s="7"/>
      <c r="R410" s="7"/>
    </row>
    <row r="411" spans="1:18">
      <c r="A411" s="4" t="s">
        <v>590</v>
      </c>
      <c r="B411" s="4">
        <f t="shared" si="6"/>
        <v>3</v>
      </c>
      <c r="C411" s="4" t="s">
        <v>591</v>
      </c>
      <c r="D411" s="1" t="str">
        <f>IFERROR(VLOOKUP(A411,[1]biopep_DB!$F$2:$J$1654,5,0),)</f>
        <v>Structure and activity of angiotensin I converting enzyme inhibitory peptides derived from Alaskan pollack skin.</v>
      </c>
      <c r="E411" s="1" t="str">
        <f>IFERROR(VLOOKUP(A411,[1]biopep_DB!$F$2:$L$1654,6,0),0)</f>
        <v>10.5483/bmbrep.2002.35.2.239</v>
      </c>
      <c r="F411" s="1" t="str">
        <f>IFERROR(VLOOKUP(A411,[1]biopep_DB!$F$2:$L$1654,7,0),0)</f>
        <v>12297036</v>
      </c>
      <c r="G411" s="5">
        <v>285.34</v>
      </c>
      <c r="H411" s="5">
        <v>5.53</v>
      </c>
      <c r="I411" s="5">
        <v>-0.24</v>
      </c>
      <c r="J411" s="6">
        <v>0.6</v>
      </c>
      <c r="K411" s="5">
        <v>70.87</v>
      </c>
      <c r="L411" s="6">
        <v>0.6667</v>
      </c>
      <c r="M411" s="6">
        <v>-1.9533</v>
      </c>
      <c r="N411" s="6">
        <v>0.3333</v>
      </c>
      <c r="O411" s="6">
        <v>0.6667</v>
      </c>
      <c r="P411" s="6">
        <v>0.3333</v>
      </c>
      <c r="Q411" s="7"/>
      <c r="R411" s="7"/>
    </row>
    <row r="412" spans="1:18">
      <c r="A412" s="4" t="s">
        <v>592</v>
      </c>
      <c r="B412" s="4">
        <f t="shared" si="6"/>
        <v>13</v>
      </c>
      <c r="C412" s="4" t="s">
        <v>593</v>
      </c>
      <c r="D412" s="1" t="str">
        <f>IFERROR(VLOOKUP(A412,[1]biopep_DB!$F$2:$J$1654,5,0),)</f>
        <v>Angiotensin I-converting enzyme-inhibitory peptides obtained from chicken collagen hydrolysate.</v>
      </c>
      <c r="E412" s="1" t="str">
        <f>IFERROR(VLOOKUP(A412,[1]biopep_DB!$F$2:$L$1654,6,0),0)</f>
        <v>10.1021/jf072669w</v>
      </c>
      <c r="F412" s="1" t="str">
        <f>IFERROR(VLOOKUP(A412,[1]biopep_DB!$F$2:$L$1654,7,0),0)</f>
        <v>18808143</v>
      </c>
      <c r="G412" s="5">
        <v>1252.38</v>
      </c>
      <c r="H412" s="5">
        <v>9.6</v>
      </c>
      <c r="I412" s="5">
        <v>0.76</v>
      </c>
      <c r="J412" s="6">
        <v>-0.8385</v>
      </c>
      <c r="K412" s="5">
        <v>34.82</v>
      </c>
      <c r="L412" s="6">
        <v>0.3077</v>
      </c>
      <c r="M412" s="6">
        <v>-0.5092</v>
      </c>
      <c r="N412" s="6">
        <v>0.2308</v>
      </c>
      <c r="O412" s="6">
        <v>0.6154</v>
      </c>
      <c r="P412" s="6">
        <v>0.1538</v>
      </c>
      <c r="Q412" s="7"/>
      <c r="R412" s="7"/>
    </row>
    <row r="413" spans="1:18">
      <c r="A413" s="4" t="s">
        <v>594</v>
      </c>
      <c r="B413" s="4">
        <f t="shared" si="6"/>
        <v>8</v>
      </c>
      <c r="C413" s="4" t="s">
        <v>595</v>
      </c>
      <c r="D413" s="1" t="str">
        <f>IFERROR(VLOOKUP(A413,[1]biopep_DB!$F$2:$J$1654,5,0),)</f>
        <v>Antihypertensive peptides: production, bioavailability and incorporation into foods.</v>
      </c>
      <c r="E413" s="1" t="str">
        <f>IFERROR(VLOOKUP(A413,[1]biopep_DB!$F$2:$L$1654,6,0),0)</f>
        <v>10.1016/j.cis.2010.11.001</v>
      </c>
      <c r="F413" s="1" t="str">
        <f>IFERROR(VLOOKUP(A413,[1]biopep_DB!$F$2:$L$1654,7,0),0)</f>
        <v>21185549</v>
      </c>
      <c r="G413" s="5">
        <v>890.89</v>
      </c>
      <c r="H413" s="5">
        <v>4.05</v>
      </c>
      <c r="I413" s="5">
        <v>-2.24</v>
      </c>
      <c r="J413" s="6">
        <v>-1.15</v>
      </c>
      <c r="K413" s="5">
        <v>-19.46</v>
      </c>
      <c r="L413" s="6">
        <v>0.25</v>
      </c>
      <c r="M413" s="6">
        <v>-0.4512</v>
      </c>
      <c r="N413" s="6">
        <v>0.25</v>
      </c>
      <c r="O413" s="6">
        <v>0.5</v>
      </c>
      <c r="P413" s="6">
        <v>0.25</v>
      </c>
      <c r="Q413" s="7"/>
      <c r="R413" s="7"/>
    </row>
    <row r="414" spans="1:18">
      <c r="A414" s="4" t="s">
        <v>596</v>
      </c>
      <c r="B414" s="4">
        <f t="shared" si="6"/>
        <v>14</v>
      </c>
      <c r="C414" s="4"/>
      <c r="G414" s="5">
        <v>1310.42</v>
      </c>
      <c r="H414" s="5">
        <v>8.75</v>
      </c>
      <c r="I414" s="5">
        <v>0.76</v>
      </c>
      <c r="J414" s="6">
        <v>-1.1214</v>
      </c>
      <c r="K414" s="5">
        <v>24.67</v>
      </c>
      <c r="L414" s="6">
        <v>0.2857</v>
      </c>
      <c r="M414" s="6">
        <v>-0.2736</v>
      </c>
      <c r="N414" s="6">
        <v>0.2143</v>
      </c>
      <c r="O414" s="6">
        <v>0.5714</v>
      </c>
      <c r="P414" s="6">
        <v>0.1429</v>
      </c>
      <c r="Q414" s="7"/>
      <c r="R414" s="7"/>
    </row>
    <row r="415" spans="1:18">
      <c r="A415" s="4" t="s">
        <v>597</v>
      </c>
      <c r="B415" s="4">
        <f t="shared" si="6"/>
        <v>3</v>
      </c>
      <c r="C415" s="4" t="s">
        <v>36</v>
      </c>
      <c r="D415" s="1" t="str">
        <f>IFERROR(VLOOKUP(A415,[1]biopep_DB!$F$2:$J$1654,5,0),)</f>
        <v>Structural requirements of Angiotensin I-converting enzyme inhibitory peptides: quantitative structure-activity relationship study of di- and tripeptides.; Isolation and characterization of peptides with antihypertensive activity in foodstuffs.</v>
      </c>
      <c r="E415" s="1" t="str">
        <f>IFERROR(VLOOKUP(A415,[1]biopep_DB!$F$2:$L$1654,6,0),0)</f>
        <v>10.1021/jf051263l; 10.1080/10408398.2012.664829</v>
      </c>
      <c r="F415" s="1" t="str">
        <f>IFERROR(VLOOKUP(A415,[1]biopep_DB!$F$2:$L$1654,7,0),0)</f>
        <v>16448176 24915368</v>
      </c>
      <c r="G415" s="5">
        <v>351.4</v>
      </c>
      <c r="H415" s="5">
        <v>5.52</v>
      </c>
      <c r="I415" s="5">
        <v>-0.24</v>
      </c>
      <c r="J415" s="6">
        <v>0.7</v>
      </c>
      <c r="K415" s="5">
        <v>6.67</v>
      </c>
      <c r="L415" s="6">
        <v>0.3333</v>
      </c>
      <c r="M415" s="6">
        <v>-1.9067</v>
      </c>
      <c r="N415" s="6">
        <v>0.3333</v>
      </c>
      <c r="O415" s="6">
        <v>0.3333</v>
      </c>
      <c r="P415" s="6">
        <v>0.6667</v>
      </c>
      <c r="Q415" s="7"/>
      <c r="R415" s="7"/>
    </row>
    <row r="416" spans="1:18">
      <c r="A416" s="4" t="s">
        <v>598</v>
      </c>
      <c r="B416" s="4">
        <f t="shared" si="6"/>
        <v>2</v>
      </c>
      <c r="C416" s="4" t="s">
        <v>36</v>
      </c>
      <c r="D416" s="1" t="str">
        <f>IFERROR(VLOOKUP(A416,[1]biopep_DB!$F$2:$J$1654,5,0),)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v>
      </c>
      <c r="E416" s="1" t="str">
        <f>IFERROR(VLOOKUP(A416,[1]biopep_DB!$F$2:$L$1654,6,0),0)</f>
        <v>10.1021/jf051263l; 10.1002/psc.892; 10.1007/s00894-010-0862-x; 10.1016/j.jprot.2013.06.023</v>
      </c>
      <c r="F416" s="1" t="str">
        <f>IFERROR(VLOOKUP(A416,[1]biopep_DB!$F$2:$L$1654,7,0),0)</f>
        <v>6243277 16448176 17654623 20941517 23806758</v>
      </c>
      <c r="G416" s="5">
        <v>206.26</v>
      </c>
      <c r="H416" s="5">
        <v>5.53</v>
      </c>
      <c r="I416" s="5">
        <v>-0.24</v>
      </c>
      <c r="J416" s="6">
        <v>0.75</v>
      </c>
      <c r="K416" s="5">
        <v>5</v>
      </c>
      <c r="L416" s="6">
        <v>0.5</v>
      </c>
      <c r="M416" s="6">
        <v>-1.645</v>
      </c>
      <c r="N416" s="6">
        <v>0.5</v>
      </c>
      <c r="O416" s="6">
        <v>0.5</v>
      </c>
      <c r="P416" s="6">
        <v>0</v>
      </c>
      <c r="Q416" s="7"/>
      <c r="R416" s="7"/>
    </row>
    <row r="417" spans="1:18">
      <c r="A417" s="4" t="s">
        <v>599</v>
      </c>
      <c r="B417" s="4">
        <f t="shared" si="6"/>
        <v>4</v>
      </c>
      <c r="C417" s="4"/>
      <c r="D417" s="1" t="str">
        <f>IFERROR(VLOOKUP(A417,[1]biopep_DB!$F$2:$J$1654,5,0),)</f>
        <v/>
      </c>
      <c r="E417" s="1" t="str">
        <f>IFERROR(VLOOKUP(A417,[1]biopep_DB!$F$2:$L$1654,6,0),0)</f>
        <v/>
      </c>
      <c r="F417" s="1" t="str">
        <f>IFERROR(VLOOKUP(A417,[1]biopep_DB!$F$2:$L$1654,7,0),0)</f>
        <v/>
      </c>
      <c r="G417" s="5">
        <v>334.39</v>
      </c>
      <c r="H417" s="5">
        <v>5.53</v>
      </c>
      <c r="I417" s="5">
        <v>-0.24</v>
      </c>
      <c r="J417" s="6">
        <v>0.725</v>
      </c>
      <c r="K417" s="5">
        <v>-13.73</v>
      </c>
      <c r="L417" s="6">
        <v>0.5</v>
      </c>
      <c r="M417" s="6">
        <v>-1.51</v>
      </c>
      <c r="N417" s="6">
        <v>0.5</v>
      </c>
      <c r="O417" s="6">
        <v>0.5</v>
      </c>
      <c r="P417" s="6">
        <v>0</v>
      </c>
      <c r="Q417" s="7"/>
      <c r="R417" s="7"/>
    </row>
    <row r="418" spans="1:18">
      <c r="A418" s="4" t="s">
        <v>600</v>
      </c>
      <c r="B418" s="4">
        <f t="shared" si="6"/>
        <v>14</v>
      </c>
      <c r="C418" s="4"/>
      <c r="G418" s="5">
        <v>1210.25</v>
      </c>
      <c r="H418" s="5">
        <v>6.74</v>
      </c>
      <c r="I418" s="5">
        <v>-0.15</v>
      </c>
      <c r="J418" s="6">
        <v>-0.3143</v>
      </c>
      <c r="K418" s="5">
        <v>-13.99</v>
      </c>
      <c r="L418" s="6">
        <v>0.2143</v>
      </c>
      <c r="M418" s="6">
        <v>-0.7379</v>
      </c>
      <c r="N418" s="6">
        <v>0</v>
      </c>
      <c r="O418" s="6">
        <v>0.5714</v>
      </c>
      <c r="P418" s="6">
        <v>0.3571</v>
      </c>
      <c r="Q418" s="7"/>
      <c r="R418" s="7"/>
    </row>
    <row r="419" spans="1:18">
      <c r="A419" s="4" t="s">
        <v>601</v>
      </c>
      <c r="B419" s="4">
        <f t="shared" si="6"/>
        <v>2</v>
      </c>
      <c r="C419" s="4" t="s">
        <v>36</v>
      </c>
      <c r="D419" s="1" t="str">
        <f>IFERROR(VLOOKUP(A419,[1]biopep_DB!$F$2:$J$1654,5,0),)</f>
        <v>Structure and activity of angiotensin I converting enzyme inhibitory peptides derived from Alaskan pollack skin.; Angiotensin I-converting enzyme inhibitory activity and insulin secretion stimulative activity of fermented fish sauce.;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Assessing the dependence of (51)V A(z) value on the aromatic ring orientation of V(IV)O(2+) pyridine complexes.; QSAR study on angiotensin-converting enzyme inhibitor oligopeptides based on a novel set of sequence information descriptors.; What are the ideal properties for functional food peptides with antihypertensive effect? A computational peptidology approach.</v>
      </c>
      <c r="E419" s="1" t="str">
        <f>IFERROR(VLOOKUP(A419,[1]biopep_DB!$F$2:$L$1654,6,0),0)</f>
        <v>10.5483/bmbrep.2002.35.2.239; 10.1016/S1389-1723(03)70138-8; 10.1021/jf051263l; 10.1002/psc.800; 10.1002/psc.892; 10.1021/ic9001779; 10.1007/s00894-010-0862-x; 10.1016/j.foodchem.2013.05.140</v>
      </c>
      <c r="F419" s="1" t="str">
        <f>IFERROR(VLOOKUP(A419,[1]biopep_DB!$F$2:$L$1654,7,0),0)</f>
        <v>12297036 16233562 16448176 17117396 17654623 19449891 20941517 23871047</v>
      </c>
      <c r="G419" s="5">
        <v>172.18</v>
      </c>
      <c r="H419" s="5">
        <v>5.53</v>
      </c>
      <c r="I419" s="5">
        <v>-0.24</v>
      </c>
      <c r="J419" s="6">
        <v>-1</v>
      </c>
      <c r="K419" s="5">
        <v>5</v>
      </c>
      <c r="L419" s="6">
        <v>0.5</v>
      </c>
      <c r="M419" s="6">
        <v>-0.47</v>
      </c>
      <c r="N419" s="6">
        <v>0</v>
      </c>
      <c r="O419" s="6">
        <v>1</v>
      </c>
      <c r="P419" s="6">
        <v>0</v>
      </c>
      <c r="Q419" s="7"/>
      <c r="R419" s="7"/>
    </row>
    <row r="420" spans="1:18">
      <c r="A420" s="4" t="s">
        <v>602</v>
      </c>
      <c r="B420" s="4">
        <f t="shared" si="6"/>
        <v>3</v>
      </c>
      <c r="C420" s="4" t="s">
        <v>603</v>
      </c>
      <c r="D420" s="1" t="str">
        <f>IFERROR(VLOOKUP(A420,[1]biopep_DB!$F$2:$J$1654,5,0),)</f>
        <v>Peptide inhibitors of angiotensin I-converting enzyme in digests of gelatin by bacterial collagenase.; What are the ideal properties for functional food peptides with antihypertensive effect? A computational peptidology approach.</v>
      </c>
      <c r="E420" s="1" t="str">
        <f>IFERROR(VLOOKUP(A420,[1]biopep_DB!$F$2:$L$1654,6,0),0)</f>
        <v>10.1016/0005-2744(79)90255-9; 10.1016/j.foodchem.2013.05.140</v>
      </c>
      <c r="F420" s="1" t="str">
        <f>IFERROR(VLOOKUP(A420,[1]biopep_DB!$F$2:$L$1654,7,0),0)</f>
        <v>215231 23871047</v>
      </c>
      <c r="G420" s="5">
        <v>243.26</v>
      </c>
      <c r="H420" s="5">
        <v>5.53</v>
      </c>
      <c r="I420" s="5">
        <v>-0.24</v>
      </c>
      <c r="J420" s="6">
        <v>-0.0667</v>
      </c>
      <c r="K420" s="5">
        <v>70.87</v>
      </c>
      <c r="L420" s="6">
        <v>0.6667</v>
      </c>
      <c r="M420" s="6">
        <v>-0.9167</v>
      </c>
      <c r="N420" s="6">
        <v>0.3333</v>
      </c>
      <c r="O420" s="6">
        <v>0.6667</v>
      </c>
      <c r="P420" s="6">
        <v>0</v>
      </c>
      <c r="Q420" s="7"/>
      <c r="R420" s="7"/>
    </row>
    <row r="421" spans="1:18">
      <c r="A421" s="4" t="s">
        <v>604</v>
      </c>
      <c r="B421" s="4">
        <f t="shared" si="6"/>
        <v>6</v>
      </c>
      <c r="C421" s="4" t="s">
        <v>605</v>
      </c>
      <c r="D421" s="1" t="str">
        <f>IFERROR(VLOOKUP(A421,[1]biopep_DB!$F$2:$J$1654,5,0),)</f>
        <v>Peptide inhibitors of angiotensin I-converting enzyme in digests of gelatin by bacterial collagenase.</v>
      </c>
      <c r="E421" s="1" t="str">
        <f>IFERROR(VLOOKUP(A421,[1]biopep_DB!$F$2:$L$1654,6,0),0)</f>
        <v>10.1016/0005-2744(79)90255-9</v>
      </c>
      <c r="F421" s="1" t="str">
        <f>IFERROR(VLOOKUP(A421,[1]biopep_DB!$F$2:$L$1654,7,0),0)</f>
        <v>215231</v>
      </c>
      <c r="G421" s="5">
        <v>468.5</v>
      </c>
      <c r="H421" s="5">
        <v>5.53</v>
      </c>
      <c r="I421" s="5">
        <v>-0.24</v>
      </c>
      <c r="J421" s="6">
        <v>-0.0667</v>
      </c>
      <c r="K421" s="5">
        <v>58.38</v>
      </c>
      <c r="L421" s="6">
        <v>0.6667</v>
      </c>
      <c r="M421" s="6">
        <v>-0.9167</v>
      </c>
      <c r="N421" s="6">
        <v>0.3333</v>
      </c>
      <c r="O421" s="6">
        <v>0.6667</v>
      </c>
      <c r="P421" s="6">
        <v>0</v>
      </c>
      <c r="Q421" s="7"/>
      <c r="R421" s="7"/>
    </row>
    <row r="422" spans="1:18">
      <c r="A422" s="4" t="s">
        <v>606</v>
      </c>
      <c r="B422" s="4">
        <f t="shared" si="6"/>
        <v>9</v>
      </c>
      <c r="C422" s="4" t="s">
        <v>607</v>
      </c>
      <c r="D422" s="1" t="str">
        <f>IFERROR(VLOOKUP(A422,[1]biopep_DB!$F$2:$J$1654,5,0),)</f>
        <v>Peptide inhibitors of angiotensin I-converting enzyme in digests of gelatin by bacterial collagenase.; QSAR study on angiotensin-converting enzyme inhibitor oligopeptides based on a novel set of sequence information descriptors.</v>
      </c>
      <c r="E422" s="1" t="str">
        <f>IFERROR(VLOOKUP(A422,[1]biopep_DB!$F$2:$L$1654,6,0),0)</f>
        <v>10.1016/0005-2744(79)90255-9; 10.1007/s00894-010-0862-x</v>
      </c>
      <c r="F422" s="1" t="str">
        <f>IFERROR(VLOOKUP(A422,[1]biopep_DB!$F$2:$L$1654,7,0),0)</f>
        <v>215231 20941517</v>
      </c>
      <c r="G422" s="5">
        <v>667.71</v>
      </c>
      <c r="H422" s="5">
        <v>5.53</v>
      </c>
      <c r="I422" s="5">
        <v>-0.24</v>
      </c>
      <c r="J422" s="6">
        <v>0.3111</v>
      </c>
      <c r="K422" s="5">
        <v>32.82</v>
      </c>
      <c r="L422" s="6">
        <v>0.6667</v>
      </c>
      <c r="M422" s="6">
        <v>-1.1178</v>
      </c>
      <c r="N422" s="6">
        <v>0.4444</v>
      </c>
      <c r="O422" s="6">
        <v>0.5556</v>
      </c>
      <c r="P422" s="6">
        <v>0</v>
      </c>
      <c r="Q422" s="7"/>
      <c r="R422" s="7"/>
    </row>
    <row r="423" spans="1:18">
      <c r="A423" s="4" t="s">
        <v>608</v>
      </c>
      <c r="B423" s="4">
        <f t="shared" si="6"/>
        <v>4</v>
      </c>
      <c r="C423" s="4" t="s">
        <v>609</v>
      </c>
      <c r="D423" s="1" t="str">
        <f>IFERROR(VLOOKUP(A423,[1]biopep_DB!$F$2:$J$1654,5,0),)</f>
        <v/>
      </c>
      <c r="E423" s="1" t="str">
        <f>IFERROR(VLOOKUP(A423,[1]biopep_DB!$F$2:$L$1654,6,0),0)</f>
        <v/>
      </c>
      <c r="F423" s="1" t="str">
        <f>IFERROR(VLOOKUP(A423,[1]biopep_DB!$F$2:$L$1654,7,0),0)</f>
        <v/>
      </c>
      <c r="G423" s="5">
        <v>374.46</v>
      </c>
      <c r="H423" s="5">
        <v>5.53</v>
      </c>
      <c r="I423" s="5">
        <v>-0.24</v>
      </c>
      <c r="J423" s="6">
        <v>0.425</v>
      </c>
      <c r="K423" s="5">
        <v>55.65</v>
      </c>
      <c r="L423" s="6">
        <v>0.75</v>
      </c>
      <c r="M423" s="6">
        <v>-1.275</v>
      </c>
      <c r="N423" s="6">
        <v>0.5</v>
      </c>
      <c r="O423" s="6">
        <v>0.5</v>
      </c>
      <c r="P423" s="6">
        <v>0</v>
      </c>
      <c r="Q423" s="7"/>
      <c r="R423" s="7"/>
    </row>
    <row r="424" spans="1:18">
      <c r="A424" s="4" t="s">
        <v>610</v>
      </c>
      <c r="B424" s="4">
        <f t="shared" si="6"/>
        <v>5</v>
      </c>
      <c r="C424" s="4" t="s">
        <v>611</v>
      </c>
      <c r="D424" s="1" t="str">
        <f>IFERROR(VLOOKUP(A424,[1]biopep_DB!$F$2:$J$1654,5,0),)</f>
        <v>Novel angiotensin I-converting enzyme inhibitory peptides derived from an edible mushroom, Pleurotus cystidiosus O.K. Miller identified by LC-MS/MS.</v>
      </c>
      <c r="E424" s="1" t="str">
        <f>IFERROR(VLOOKUP(A424,[1]biopep_DB!$F$2:$L$1654,6,0),0)</f>
        <v>10.1186/1472-6882-13-313</v>
      </c>
      <c r="F424" s="1" t="str">
        <f>IFERROR(VLOOKUP(A424,[1]biopep_DB!$F$2:$L$1654,7,0),0)</f>
        <v>24215325</v>
      </c>
      <c r="G424" s="5">
        <v>518.59</v>
      </c>
      <c r="H424" s="5">
        <v>8.25</v>
      </c>
      <c r="I424" s="5">
        <v>0.75</v>
      </c>
      <c r="J424" s="6">
        <v>-0.96</v>
      </c>
      <c r="K424" s="5">
        <v>31.44</v>
      </c>
      <c r="L424" s="6">
        <v>0.2</v>
      </c>
      <c r="M424" s="6">
        <v>0.268</v>
      </c>
      <c r="N424" s="6">
        <v>0</v>
      </c>
      <c r="O424" s="6">
        <v>0.6</v>
      </c>
      <c r="P424" s="6">
        <v>0</v>
      </c>
      <c r="Q424" s="7"/>
      <c r="R424" s="7"/>
    </row>
    <row r="425" spans="1:18">
      <c r="A425" s="4" t="s">
        <v>612</v>
      </c>
      <c r="B425" s="4">
        <f t="shared" si="6"/>
        <v>9</v>
      </c>
      <c r="C425" s="4"/>
      <c r="G425" s="5">
        <v>810.86</v>
      </c>
      <c r="H425" s="5">
        <v>6</v>
      </c>
      <c r="I425" s="5">
        <v>-0.24</v>
      </c>
      <c r="J425" s="6">
        <v>-0.9778</v>
      </c>
      <c r="K425" s="5">
        <v>40.17</v>
      </c>
      <c r="L425" s="6">
        <v>0.4444</v>
      </c>
      <c r="M425" s="6">
        <v>-0.2311</v>
      </c>
      <c r="N425" s="6">
        <v>0.3333</v>
      </c>
      <c r="O425" s="6">
        <v>0.5556</v>
      </c>
      <c r="P425" s="6">
        <v>0</v>
      </c>
      <c r="Q425" s="7"/>
      <c r="R425" s="7"/>
    </row>
    <row r="426" spans="1:18">
      <c r="A426" s="4" t="s">
        <v>613</v>
      </c>
      <c r="B426" s="4">
        <f t="shared" si="6"/>
        <v>7</v>
      </c>
      <c r="C426" s="4" t="s">
        <v>62</v>
      </c>
      <c r="D426" s="1" t="str">
        <f>IFERROR(VLOOKUP(A426,[1]biopep_DB!$F$2:$J$1654,5,0),)</f>
        <v>Putting microbes to work: dairy fermentation, cell factories and bioactive peptides. Part I: overview.</v>
      </c>
      <c r="E426" s="1" t="str">
        <f>IFERROR(VLOOKUP(A426,[1]biopep_DB!$F$2:$L$1654,6,0),0)</f>
        <v>10.1002/biot.200600246</v>
      </c>
      <c r="F426" s="1" t="str">
        <f>IFERROR(VLOOKUP(A426,[1]biopep_DB!$F$2:$L$1654,7,0),0)</f>
        <v>17407210</v>
      </c>
      <c r="G426" s="5">
        <v>741.92</v>
      </c>
      <c r="H426" s="5">
        <v>5.53</v>
      </c>
      <c r="I426" s="5">
        <v>-0.24</v>
      </c>
      <c r="J426" s="6">
        <v>1.7714</v>
      </c>
      <c r="K426" s="5">
        <v>51.47</v>
      </c>
      <c r="L426" s="6">
        <v>0.8571</v>
      </c>
      <c r="M426" s="6">
        <v>-2.5429</v>
      </c>
      <c r="N426" s="6">
        <v>0</v>
      </c>
      <c r="O426" s="6">
        <v>0.4286</v>
      </c>
      <c r="P426" s="6">
        <v>0.5714</v>
      </c>
      <c r="Q426" s="7"/>
      <c r="R426" s="7"/>
    </row>
    <row r="427" spans="1:18">
      <c r="A427" s="4" t="s">
        <v>614</v>
      </c>
      <c r="B427" s="4">
        <f t="shared" si="6"/>
        <v>7</v>
      </c>
      <c r="C427" s="4" t="s">
        <v>615</v>
      </c>
      <c r="G427" s="5">
        <v>741.92</v>
      </c>
      <c r="H427" s="5">
        <v>5.53</v>
      </c>
      <c r="I427" s="5">
        <v>-0.24</v>
      </c>
      <c r="J427" s="6">
        <v>1.6714</v>
      </c>
      <c r="K427" s="5">
        <v>91.11</v>
      </c>
      <c r="L427" s="6">
        <v>0.8571</v>
      </c>
      <c r="M427" s="6">
        <v>-2.5429</v>
      </c>
      <c r="N427" s="6">
        <v>0.1429</v>
      </c>
      <c r="O427" s="6">
        <v>0.4286</v>
      </c>
      <c r="P427" s="6">
        <v>0.5714</v>
      </c>
      <c r="Q427" s="7"/>
      <c r="R427" s="7"/>
    </row>
    <row r="428" spans="1:18">
      <c r="A428" s="4" t="s">
        <v>616</v>
      </c>
      <c r="B428" s="4">
        <f t="shared" si="6"/>
        <v>3</v>
      </c>
      <c r="C428" s="4"/>
      <c r="D428" s="1" t="str">
        <f>IFERROR(VLOOKUP(A428,[1]biopep_DB!$F$2:$J$1654,5,0),)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428" s="1" t="str">
        <f>IFERROR(VLOOKUP(A428,[1]biopep_DB!$F$2:$L$1654,6,0),0)</f>
        <v>10.1002/psc.800; 10.1007/s00894-010-0862-x; 10.1016/j.foodchem.2013.05.140</v>
      </c>
      <c r="F428" s="1" t="str">
        <f>IFERROR(VLOOKUP(A428,[1]biopep_DB!$F$2:$L$1654,7,0),0)</f>
        <v>17117396 20941517 23871047</v>
      </c>
      <c r="G428" s="5">
        <v>229.23</v>
      </c>
      <c r="H428" s="5">
        <v>5.53</v>
      </c>
      <c r="I428" s="5">
        <v>-0.24</v>
      </c>
      <c r="J428" s="6">
        <v>-0.8</v>
      </c>
      <c r="K428" s="5">
        <v>6.67</v>
      </c>
      <c r="L428" s="6">
        <v>0.3333</v>
      </c>
      <c r="M428" s="6">
        <v>-0.6267</v>
      </c>
      <c r="N428" s="6">
        <v>0</v>
      </c>
      <c r="O428" s="6">
        <v>1</v>
      </c>
      <c r="P428" s="6">
        <v>0</v>
      </c>
      <c r="Q428" s="7"/>
      <c r="R428" s="7"/>
    </row>
    <row r="429" spans="1:18">
      <c r="A429" s="4" t="s">
        <v>617</v>
      </c>
      <c r="B429" s="4">
        <f t="shared" si="6"/>
        <v>6</v>
      </c>
      <c r="C429" s="4" t="s">
        <v>618</v>
      </c>
      <c r="D429" s="1" t="str">
        <f>IFERROR(VLOOKUP(A429,[1]biopep_DB!$F$2:$J$1654,5,0),)</f>
        <v>Peptide inhibitors of angiotensin I-converting enzyme in digests of gelatin by bacterial collagenase.</v>
      </c>
      <c r="E429" s="1" t="str">
        <f>IFERROR(VLOOKUP(A429,[1]biopep_DB!$F$2:$L$1654,6,0),0)</f>
        <v>10.1016/0005-2744(79)90255-9</v>
      </c>
      <c r="F429" s="1" t="str">
        <f>IFERROR(VLOOKUP(A429,[1]biopep_DB!$F$2:$L$1654,7,0),0)</f>
        <v>215231</v>
      </c>
      <c r="G429" s="5">
        <v>536.62</v>
      </c>
      <c r="H429" s="5">
        <v>5.53</v>
      </c>
      <c r="I429" s="5">
        <v>-0.24</v>
      </c>
      <c r="J429" s="6">
        <v>-0.1833</v>
      </c>
      <c r="K429" s="5">
        <v>40.43</v>
      </c>
      <c r="L429" s="6">
        <v>0.6667</v>
      </c>
      <c r="M429" s="6">
        <v>-1.1333</v>
      </c>
      <c r="N429" s="6">
        <v>0</v>
      </c>
      <c r="O429" s="6">
        <v>0.8333</v>
      </c>
      <c r="P429" s="6">
        <v>0.1667</v>
      </c>
      <c r="Q429" s="7"/>
      <c r="R429" s="7"/>
    </row>
    <row r="430" spans="1:18">
      <c r="A430" s="4" t="s">
        <v>619</v>
      </c>
      <c r="B430" s="4">
        <f t="shared" si="6"/>
        <v>9</v>
      </c>
      <c r="C430" s="4" t="s">
        <v>620</v>
      </c>
      <c r="D430" s="1" t="str">
        <f>IFERROR(VLOOKUP(A430,[1]biopep_DB!$F$2:$J$1654,5,0),)</f>
        <v>Peptide inhibitors of angiotensin I-converting enzyme in digests of gelatin by bacterial collagenase.</v>
      </c>
      <c r="E430" s="1" t="str">
        <f>IFERROR(VLOOKUP(A430,[1]biopep_DB!$F$2:$L$1654,6,0),0)</f>
        <v>10.1016/0005-2744(79)90255-9</v>
      </c>
      <c r="F430" s="1" t="str">
        <f>IFERROR(VLOOKUP(A430,[1]biopep_DB!$F$2:$L$1654,7,0),0)</f>
        <v>215231</v>
      </c>
      <c r="G430" s="5">
        <v>753.84</v>
      </c>
      <c r="H430" s="5">
        <v>5.53</v>
      </c>
      <c r="I430" s="5">
        <v>-0.24</v>
      </c>
      <c r="J430" s="6">
        <v>0.5889</v>
      </c>
      <c r="K430" s="5">
        <v>11.42</v>
      </c>
      <c r="L430" s="6">
        <v>0.5556</v>
      </c>
      <c r="M430" s="6">
        <v>-1.4167</v>
      </c>
      <c r="N430" s="6">
        <v>0.1111</v>
      </c>
      <c r="O430" s="6">
        <v>0.6667</v>
      </c>
      <c r="P430" s="6">
        <v>0.2222</v>
      </c>
      <c r="Q430" s="7"/>
      <c r="R430" s="7"/>
    </row>
    <row r="431" spans="1:18">
      <c r="A431" s="4" t="s">
        <v>621</v>
      </c>
      <c r="B431" s="4">
        <f t="shared" si="6"/>
        <v>3</v>
      </c>
      <c r="C431" s="4" t="s">
        <v>36</v>
      </c>
      <c r="D431" s="1" t="str">
        <f>IFERROR(VLOOKUP(A431,[1]biopep_DB!$F$2:$J$1654,5,0),)</f>
        <v>Structure and activity of angiotensin I converting enzyme inhibitory peptides derived from Alaskan pollack skin.; Structural requirements of Angiotensin I-converting enzyme inhibitory peptides: quantitative structure-activity relationship study of di- and tripeptides.; Review on the angiotensin-I-converting enzyme (ACE) inhibitor peptides from marine proteins.; Rational design of angiotensin-I-converting enzyme inhibitory peptides by integrating in silico modeling and an in vitro assay.; What are the ideal properties for functional food peptides with antihypertensive effect? A computational peptidology approach.; Glycinyl-histidinyl-serine (GHS), a novel rapeseed protein-derived peptide has blood pressure-lowering effect in spontaneously hypertensive rats.</v>
      </c>
      <c r="E431" s="1" t="str">
        <f>IFERROR(VLOOKUP(A431,[1]biopep_DB!$F$2:$L$1654,6,0),0)</f>
        <v>10.5483/bmbrep.2002.35.2.239; 10.1021/jf051263l; 10.1007/s12010-012-0024-y; 10.1002/cmdc.201300132; 10.1016/j.foodchem.2013.05.140; 10.1021/jf400865m</v>
      </c>
      <c r="F431" s="1" t="str">
        <f>IFERROR(VLOOKUP(A431,[1]biopep_DB!$F$2:$L$1654,7,0),0)</f>
        <v>12297036 16448176 23271625 23740817 23871047 23919612</v>
      </c>
      <c r="G431" s="5">
        <v>285.34</v>
      </c>
      <c r="H431" s="5">
        <v>5.53</v>
      </c>
      <c r="I431" s="5">
        <v>-0.24</v>
      </c>
      <c r="J431" s="6">
        <v>0.6</v>
      </c>
      <c r="K431" s="5">
        <v>6.67</v>
      </c>
      <c r="L431" s="6">
        <v>0.6667</v>
      </c>
      <c r="M431" s="6">
        <v>-1.9533</v>
      </c>
      <c r="N431" s="6">
        <v>0.3333</v>
      </c>
      <c r="O431" s="6">
        <v>0.6667</v>
      </c>
      <c r="P431" s="6">
        <v>0.3333</v>
      </c>
      <c r="Q431" s="7"/>
      <c r="R431" s="7"/>
    </row>
    <row r="432" spans="1:18">
      <c r="A432" s="4" t="s">
        <v>622</v>
      </c>
      <c r="B432" s="4">
        <f t="shared" si="6"/>
        <v>15</v>
      </c>
      <c r="C432" s="4" t="s">
        <v>623</v>
      </c>
      <c r="D432" s="1" t="str">
        <f>IFERROR(VLOOKUP(A432,[1]biopep_DB!$F$2:$J$1654,5,0),)</f>
        <v>A new QSAR model, for angiotensin I-converting enzyme inhibitory oligopeptides.; Review on the angiotensin-I-converting enzyme (ACE) inhibitor peptides from marine proteins.</v>
      </c>
      <c r="E432" s="1" t="str">
        <f>IFERROR(VLOOKUP(A432,[1]biopep_DB!$F$2:$L$1654,6,0),0)</f>
        <v>10.1016/j.foodchem.2012.09.092; 10.1007/s12010-012-0024-y</v>
      </c>
      <c r="F432" s="1" t="str">
        <f>IFERROR(VLOOKUP(A432,[1]biopep_DB!$F$2:$L$1654,7,0),0)</f>
        <v>23194537 23271625</v>
      </c>
      <c r="G432" s="5">
        <v>1410.7</v>
      </c>
      <c r="H432" s="5">
        <v>5.53</v>
      </c>
      <c r="I432" s="5">
        <v>-0.24</v>
      </c>
      <c r="J432" s="6">
        <v>1.3067</v>
      </c>
      <c r="K432" s="5">
        <v>9.33</v>
      </c>
      <c r="L432" s="6">
        <v>0.6</v>
      </c>
      <c r="M432" s="6">
        <v>-2.424</v>
      </c>
      <c r="N432" s="6">
        <v>0.4</v>
      </c>
      <c r="O432" s="6">
        <v>0.5333</v>
      </c>
      <c r="P432" s="6">
        <v>0.4667</v>
      </c>
      <c r="Q432" s="7"/>
      <c r="R432" s="7"/>
    </row>
    <row r="433" spans="1:18">
      <c r="A433" s="4" t="s">
        <v>624</v>
      </c>
      <c r="B433" s="4">
        <f t="shared" si="6"/>
        <v>3</v>
      </c>
      <c r="C433" s="4" t="s">
        <v>36</v>
      </c>
      <c r="D433" s="1" t="str">
        <f>IFERROR(VLOOKUP(A433,[1]biopep_DB!$F$2:$J$1654,5,0),)</f>
        <v>Structural requirements of Angiotensin I-converting enzyme inhibitory peptides: quantitative structure-activity relationship study of di- and tripeptides.; Review on the angiotensin-I-converting enzyme (ACE) inhibitor peptides from marine proteins.; What are the ideal properties for functional food peptides with antihypertensive effect? A computational peptidology approach.; Glycinyl-histidinyl-serine (GHS), a novel rapeseed protein-derived peptide has blood pressure-lowering effect in spontaneously hypertensive rats.; Isolation and characterization of peptides with antihypertensive activity in foodstuffs.</v>
      </c>
      <c r="E433" s="1" t="str">
        <f>IFERROR(VLOOKUP(A433,[1]biopep_DB!$F$2:$L$1654,6,0),0)</f>
        <v>10.1021/jf051263l; 10.1007/s12010-012-0024-y; 10.1016/j.foodchem.2013.05.140; 10.1021/jf400865m; 10.1080/10408398.2012.664829</v>
      </c>
      <c r="F433" s="1" t="str">
        <f>IFERROR(VLOOKUP(A433,[1]biopep_DB!$F$2:$L$1654,7,0),0)</f>
        <v>16448176 23271625 23871047 23919612 24915368</v>
      </c>
      <c r="G433" s="5">
        <v>303.38</v>
      </c>
      <c r="H433" s="5">
        <v>5.53</v>
      </c>
      <c r="I433" s="5">
        <v>-0.24</v>
      </c>
      <c r="J433" s="6">
        <v>-0.0333</v>
      </c>
      <c r="K433" s="5">
        <v>-18.47</v>
      </c>
      <c r="L433" s="6">
        <v>0.6667</v>
      </c>
      <c r="M433" s="6">
        <v>-1.0967</v>
      </c>
      <c r="N433" s="6">
        <v>0.3333</v>
      </c>
      <c r="O433" s="6">
        <v>0.6667</v>
      </c>
      <c r="P433" s="6">
        <v>0</v>
      </c>
      <c r="Q433" s="7"/>
      <c r="R433" s="7"/>
    </row>
    <row r="434" spans="1:18">
      <c r="A434" s="4" t="s">
        <v>625</v>
      </c>
      <c r="B434" s="4">
        <f t="shared" si="6"/>
        <v>3</v>
      </c>
      <c r="C434" s="4" t="s">
        <v>36</v>
      </c>
      <c r="D434" s="1" t="str">
        <f>IFERROR(VLOOKUP(A434,[1]biopep_DB!$F$2:$J$1654,5,0),)</f>
        <v>Structural requirements of Angiotensin I-converting enzyme inhibitory peptides: quantitative structure-activity relationship study of di- and tripeptides.; Angiotensin converting enzyme inhibitory peptides derived from food proteins: biochemistry, bioactivity and production.; Sex pheromone of the longtailed mealybug: a new class of monoterpene structure.; Vegetable foods: a cheap source of proteins and peptides with antihypertensive, antioxidant, and other less occurrence bioactivities.</v>
      </c>
      <c r="E434" s="1" t="str">
        <f>IFERROR(VLOOKUP(A434,[1]biopep_DB!$F$2:$L$1654,6,0),0)</f>
        <v>10.1021/jf051263l; 10.2174/138161207780363068; 10.1021/ol802164v; 10.1016/j.talanta.2012.12.041</v>
      </c>
      <c r="F434" s="1" t="str">
        <f>IFERROR(VLOOKUP(A434,[1]biopep_DB!$F$2:$L$1654,7,0),0)</f>
        <v>16448176 17430180 19449888 23598136</v>
      </c>
      <c r="G434" s="5">
        <v>269.3</v>
      </c>
      <c r="H434" s="5">
        <v>5.53</v>
      </c>
      <c r="I434" s="5">
        <v>-0.24</v>
      </c>
      <c r="J434" s="6">
        <v>-1.2</v>
      </c>
      <c r="K434" s="5">
        <v>70.87</v>
      </c>
      <c r="L434" s="6">
        <v>0.6667</v>
      </c>
      <c r="M434" s="6">
        <v>-0.3133</v>
      </c>
      <c r="N434" s="6">
        <v>0</v>
      </c>
      <c r="O434" s="6">
        <v>1</v>
      </c>
      <c r="P434" s="6">
        <v>0</v>
      </c>
      <c r="Q434" s="7"/>
      <c r="R434" s="7"/>
    </row>
    <row r="435" spans="1:18">
      <c r="A435" s="4" t="s">
        <v>626</v>
      </c>
      <c r="B435" s="4">
        <f t="shared" si="6"/>
        <v>6</v>
      </c>
      <c r="C435" s="4" t="s">
        <v>627</v>
      </c>
      <c r="D435" s="1" t="str">
        <f>IFERROR(VLOOKUP(A435,[1]biopep_DB!$F$2:$J$1654,5,0),)</f>
        <v>Peptide inhibitors of angiotensin I-converting enzyme in digests of gelatin by bacterial collagenase.</v>
      </c>
      <c r="E435" s="1" t="str">
        <f>IFERROR(VLOOKUP(A435,[1]biopep_DB!$F$2:$L$1654,6,0),0)</f>
        <v>10.1016/0005-2744(79)90255-9</v>
      </c>
      <c r="F435" s="1" t="str">
        <f>IFERROR(VLOOKUP(A435,[1]biopep_DB!$F$2:$L$1654,7,0),0)</f>
        <v>215231</v>
      </c>
      <c r="G435" s="5">
        <v>494.54</v>
      </c>
      <c r="H435" s="5">
        <v>5.53</v>
      </c>
      <c r="I435" s="5">
        <v>-0.24</v>
      </c>
      <c r="J435" s="6">
        <v>-0.6333</v>
      </c>
      <c r="K435" s="5">
        <v>58.38</v>
      </c>
      <c r="L435" s="6">
        <v>0.6667</v>
      </c>
      <c r="M435" s="6">
        <v>-0.615</v>
      </c>
      <c r="N435" s="6">
        <v>0.1667</v>
      </c>
      <c r="O435" s="6">
        <v>0.8333</v>
      </c>
      <c r="P435" s="6">
        <v>0</v>
      </c>
      <c r="Q435" s="7"/>
      <c r="R435" s="7"/>
    </row>
    <row r="436" spans="1:18">
      <c r="A436" s="4" t="s">
        <v>628</v>
      </c>
      <c r="B436" s="4">
        <f t="shared" si="6"/>
        <v>6</v>
      </c>
      <c r="C436" s="4" t="s">
        <v>629</v>
      </c>
      <c r="D436" s="1" t="str">
        <f>IFERROR(VLOOKUP(A436,[1]biopep_DB!$F$2:$J$1654,5,0),)</f>
        <v>Peptide inhibitors of angiotensin I-converting enzyme in digests of gelatin by bacterial collagenase.</v>
      </c>
      <c r="E436" s="1" t="str">
        <f>IFERROR(VLOOKUP(A436,[1]biopep_DB!$F$2:$L$1654,6,0),0)</f>
        <v>10.1016/0005-2744(79)90255-9</v>
      </c>
      <c r="F436" s="1" t="str">
        <f>IFERROR(VLOOKUP(A436,[1]biopep_DB!$F$2:$L$1654,7,0),0)</f>
        <v>215231</v>
      </c>
      <c r="G436" s="5">
        <v>520.58</v>
      </c>
      <c r="H436" s="5">
        <v>5.53</v>
      </c>
      <c r="I436" s="5">
        <v>-0.24</v>
      </c>
      <c r="J436" s="6">
        <v>-1.2</v>
      </c>
      <c r="K436" s="5">
        <v>72.53</v>
      </c>
      <c r="L436" s="6">
        <v>0.6667</v>
      </c>
      <c r="M436" s="6">
        <v>-0.3133</v>
      </c>
      <c r="N436" s="6">
        <v>0</v>
      </c>
      <c r="O436" s="6">
        <v>1</v>
      </c>
      <c r="P436" s="6">
        <v>0</v>
      </c>
      <c r="Q436" s="7"/>
      <c r="R436" s="7"/>
    </row>
    <row r="437" spans="1:18">
      <c r="A437" s="4" t="s">
        <v>630</v>
      </c>
      <c r="B437" s="4">
        <f t="shared" si="6"/>
        <v>9</v>
      </c>
      <c r="C437" s="4" t="s">
        <v>631</v>
      </c>
      <c r="D437" s="1" t="str">
        <f>IFERROR(VLOOKUP(A437,[1]biopep_DB!$F$2:$J$1654,5,0),)</f>
        <v>Peptide inhibitors of angiotensin I-converting enzyme in digests of gelatin by bacterial collagenase.</v>
      </c>
      <c r="E437" s="1" t="str">
        <f>IFERROR(VLOOKUP(A437,[1]biopep_DB!$F$2:$L$1654,6,0),0)</f>
        <v>10.1016/0005-2744(79)90255-9</v>
      </c>
      <c r="F437" s="1" t="str">
        <f>IFERROR(VLOOKUP(A437,[1]biopep_DB!$F$2:$L$1654,7,0),0)</f>
        <v>215231</v>
      </c>
      <c r="G437" s="5">
        <v>767.78</v>
      </c>
      <c r="H437" s="5">
        <v>4.05</v>
      </c>
      <c r="I437" s="5">
        <v>-1.24</v>
      </c>
      <c r="J437" s="6">
        <v>-0.9333</v>
      </c>
      <c r="K437" s="5">
        <v>32.82</v>
      </c>
      <c r="L437" s="6">
        <v>0.4444</v>
      </c>
      <c r="M437" s="6">
        <v>-0.2989</v>
      </c>
      <c r="N437" s="6">
        <v>0.1111</v>
      </c>
      <c r="O437" s="6">
        <v>0.7778</v>
      </c>
      <c r="P437" s="6">
        <v>0.1111</v>
      </c>
      <c r="Q437" s="7"/>
      <c r="R437" s="7"/>
    </row>
    <row r="438" spans="1:18">
      <c r="A438" s="4" t="s">
        <v>632</v>
      </c>
      <c r="B438" s="4">
        <f t="shared" si="6"/>
        <v>4</v>
      </c>
      <c r="C438" s="4" t="s">
        <v>633</v>
      </c>
      <c r="D438" s="1" t="str">
        <f>IFERROR(VLOOKUP(A438,[1]biopep_DB!$F$2:$J$1654,5,0),)</f>
        <v/>
      </c>
      <c r="E438" s="1" t="str">
        <f>IFERROR(VLOOKUP(A438,[1]biopep_DB!$F$2:$L$1654,6,0),0)</f>
        <v/>
      </c>
      <c r="F438" s="1" t="str">
        <f>IFERROR(VLOOKUP(A438,[1]biopep_DB!$F$2:$L$1654,7,0),0)</f>
        <v/>
      </c>
      <c r="G438" s="5">
        <v>366.41</v>
      </c>
      <c r="H438" s="5">
        <v>5.53</v>
      </c>
      <c r="I438" s="5">
        <v>-0.24</v>
      </c>
      <c r="J438" s="6">
        <v>-1.3</v>
      </c>
      <c r="K438" s="5">
        <v>103.8</v>
      </c>
      <c r="L438" s="6">
        <v>0.75</v>
      </c>
      <c r="M438" s="6">
        <v>-0.235</v>
      </c>
      <c r="N438" s="6">
        <v>0</v>
      </c>
      <c r="O438" s="6">
        <v>1</v>
      </c>
      <c r="P438" s="6">
        <v>0</v>
      </c>
      <c r="Q438" s="7"/>
      <c r="R438" s="7"/>
    </row>
    <row r="439" spans="1:18">
      <c r="A439" s="4" t="s">
        <v>634</v>
      </c>
      <c r="B439" s="4">
        <f t="shared" si="6"/>
        <v>3</v>
      </c>
      <c r="C439" s="4" t="s">
        <v>51</v>
      </c>
      <c r="D439" s="1" t="str">
        <f>IFERROR(VLOOKUP(A439,[1]biopep_DB!$F$2:$J$1654,5,0),)</f>
        <v>Isolation and characterization of peptides with antihypertensive activity in foodstuffs.</v>
      </c>
      <c r="E439" s="1" t="str">
        <f>IFERROR(VLOOKUP(A439,[1]biopep_DB!$F$2:$L$1654,6,0),0)</f>
        <v>10.1080/10408398.2012.664829</v>
      </c>
      <c r="F439" s="1" t="str">
        <f>IFERROR(VLOOKUP(A439,[1]biopep_DB!$F$2:$L$1654,7,0),0)</f>
        <v>24915368</v>
      </c>
      <c r="G439" s="5">
        <v>328.37</v>
      </c>
      <c r="H439" s="5">
        <v>9.75</v>
      </c>
      <c r="I439" s="5">
        <v>0.76</v>
      </c>
      <c r="J439" s="6">
        <v>-2.1667</v>
      </c>
      <c r="K439" s="5">
        <v>-18.47</v>
      </c>
      <c r="L439" s="6">
        <v>0.3333</v>
      </c>
      <c r="M439" s="6">
        <v>0.5933</v>
      </c>
      <c r="N439" s="6">
        <v>0</v>
      </c>
      <c r="O439" s="6">
        <v>0.6667</v>
      </c>
      <c r="P439" s="6">
        <v>0</v>
      </c>
      <c r="Q439" s="7"/>
      <c r="R439" s="7"/>
    </row>
    <row r="440" spans="1:18">
      <c r="A440" s="4" t="s">
        <v>635</v>
      </c>
      <c r="B440" s="4">
        <f t="shared" si="6"/>
        <v>5</v>
      </c>
      <c r="C440" s="4" t="s">
        <v>636</v>
      </c>
      <c r="D440" s="1" t="str">
        <f>IFERROR(VLOOKUP(A440,[1]biopep_DB!$F$2:$J$1654,5,0),)</f>
        <v>Novel angiotensin I-converting enzyme inhibitory peptides derived from an edible mushroom, Pleurotus cystidiosus O.K. Miller identified by LC-MS/MS.</v>
      </c>
      <c r="E440" s="1" t="str">
        <f>IFERROR(VLOOKUP(A440,[1]biopep_DB!$F$2:$L$1654,6,0),0)</f>
        <v>10.1186/1472-6882-13-313</v>
      </c>
      <c r="F440" s="1" t="str">
        <f>IFERROR(VLOOKUP(A440,[1]biopep_DB!$F$2:$L$1654,7,0),0)</f>
        <v>24215325</v>
      </c>
      <c r="G440" s="5">
        <v>546.64</v>
      </c>
      <c r="H440" s="5">
        <v>9.75</v>
      </c>
      <c r="I440" s="5">
        <v>0.76</v>
      </c>
      <c r="J440" s="6">
        <v>-1.08</v>
      </c>
      <c r="K440" s="5">
        <v>31.44</v>
      </c>
      <c r="L440" s="6">
        <v>0.4</v>
      </c>
      <c r="M440" s="6">
        <v>0.054</v>
      </c>
      <c r="N440" s="6">
        <v>0.2</v>
      </c>
      <c r="O440" s="6">
        <v>0.6</v>
      </c>
      <c r="P440" s="6">
        <v>0</v>
      </c>
      <c r="Q440" s="7"/>
      <c r="R440" s="7"/>
    </row>
    <row r="441" spans="1:18">
      <c r="A441" s="4" t="s">
        <v>637</v>
      </c>
      <c r="B441" s="4">
        <f t="shared" si="6"/>
        <v>8</v>
      </c>
      <c r="C441" s="4"/>
      <c r="G441" s="5">
        <v>652.7</v>
      </c>
      <c r="H441" s="5">
        <v>5.53</v>
      </c>
      <c r="I441" s="5">
        <v>-0.24</v>
      </c>
      <c r="J441" s="6">
        <v>-0.6125</v>
      </c>
      <c r="K441" s="5">
        <v>22.21</v>
      </c>
      <c r="L441" s="6">
        <v>0.5</v>
      </c>
      <c r="M441" s="6">
        <v>-0.5462</v>
      </c>
      <c r="N441" s="6">
        <v>0.125</v>
      </c>
      <c r="O441" s="6">
        <v>0.75</v>
      </c>
      <c r="P441" s="6">
        <v>0.125</v>
      </c>
      <c r="Q441" s="7"/>
      <c r="R441" s="7"/>
    </row>
    <row r="442" spans="1:18">
      <c r="A442" s="4" t="s">
        <v>638</v>
      </c>
      <c r="B442" s="4">
        <f t="shared" si="6"/>
        <v>3</v>
      </c>
      <c r="C442" s="4" t="s">
        <v>36</v>
      </c>
      <c r="D442" s="1" t="str">
        <f>IFERROR(VLOOKUP(A442,[1]biopep_DB!$F$2:$J$1654,5,0),)</f>
        <v>Structural requirements of Angiotensin I-converting enzyme inhibitory peptides: quantitative structure-activity relationship study of di- and tripeptides.</v>
      </c>
      <c r="E442" s="1" t="str">
        <f>IFERROR(VLOOKUP(A442,[1]biopep_DB!$F$2:$L$1654,6,0),0)</f>
        <v>10.1021/jf051263l</v>
      </c>
      <c r="F442" s="1" t="str">
        <f>IFERROR(VLOOKUP(A442,[1]biopep_DB!$F$2:$L$1654,7,0),0)</f>
        <v>16448176</v>
      </c>
      <c r="G442" s="5">
        <v>271.31</v>
      </c>
      <c r="H442" s="5">
        <v>5.53</v>
      </c>
      <c r="I442" s="5">
        <v>-0.24</v>
      </c>
      <c r="J442" s="6">
        <v>0.7333</v>
      </c>
      <c r="K442" s="5">
        <v>70.87</v>
      </c>
      <c r="L442" s="6">
        <v>0.6667</v>
      </c>
      <c r="M442" s="6">
        <v>-1.66</v>
      </c>
      <c r="N442" s="6">
        <v>0</v>
      </c>
      <c r="O442" s="6">
        <v>0.6667</v>
      </c>
      <c r="P442" s="6">
        <v>0.3333</v>
      </c>
      <c r="Q442" s="7"/>
      <c r="R442" s="7"/>
    </row>
    <row r="443" spans="1:18">
      <c r="A443" s="4" t="s">
        <v>639</v>
      </c>
      <c r="B443" s="4">
        <f t="shared" si="6"/>
        <v>6</v>
      </c>
      <c r="C443" s="4" t="s">
        <v>618</v>
      </c>
      <c r="D443" s="1" t="str">
        <f>IFERROR(VLOOKUP(A443,[1]biopep_DB!$F$2:$J$1654,5,0),)</f>
        <v>Peptide inhibitors of angiotensin I-converting enzyme in digests of gelatin by bacterial collagenase.</v>
      </c>
      <c r="E443" s="1" t="str">
        <f>IFERROR(VLOOKUP(A443,[1]biopep_DB!$F$2:$L$1654,6,0),0)</f>
        <v>10.1016/0005-2744(79)90255-9</v>
      </c>
      <c r="F443" s="1" t="str">
        <f>IFERROR(VLOOKUP(A443,[1]biopep_DB!$F$2:$L$1654,7,0),0)</f>
        <v>215231</v>
      </c>
      <c r="G443" s="5">
        <v>496.56</v>
      </c>
      <c r="H443" s="5">
        <v>5.53</v>
      </c>
      <c r="I443" s="5">
        <v>-0.24</v>
      </c>
      <c r="J443" s="6">
        <v>0.3333</v>
      </c>
      <c r="K443" s="5">
        <v>58.38</v>
      </c>
      <c r="L443" s="6">
        <v>0.6667</v>
      </c>
      <c r="M443" s="6">
        <v>-1.2883</v>
      </c>
      <c r="N443" s="6">
        <v>0.1667</v>
      </c>
      <c r="O443" s="6">
        <v>0.6667</v>
      </c>
      <c r="P443" s="6">
        <v>0.1667</v>
      </c>
      <c r="Q443" s="7"/>
      <c r="R443" s="7"/>
    </row>
    <row r="444" spans="1:18">
      <c r="A444" s="4" t="s">
        <v>640</v>
      </c>
      <c r="B444" s="4">
        <f t="shared" si="6"/>
        <v>7</v>
      </c>
      <c r="C444" s="4"/>
      <c r="D444" s="1" t="str">
        <f>IFERROR(VLOOKUP(A444,[1]biopep_DB!$F$2:$J$1654,5,0),)</f>
        <v/>
      </c>
      <c r="E444" s="1" t="str">
        <f>IFERROR(VLOOKUP(A444,[1]biopep_DB!$F$2:$L$1654,6,0),0)</f>
        <v/>
      </c>
      <c r="F444" s="1" t="str">
        <f>IFERROR(VLOOKUP(A444,[1]biopep_DB!$F$2:$L$1654,7,0),0)</f>
        <v/>
      </c>
      <c r="G444" s="5">
        <v>728.84</v>
      </c>
      <c r="H444" s="5">
        <v>9.75</v>
      </c>
      <c r="I444" s="5">
        <v>0.76</v>
      </c>
      <c r="J444" s="6">
        <v>-0.2143</v>
      </c>
      <c r="K444" s="5">
        <v>51.47</v>
      </c>
      <c r="L444" s="6">
        <v>0.5714</v>
      </c>
      <c r="M444" s="6">
        <v>-0.8829</v>
      </c>
      <c r="N444" s="6">
        <v>0</v>
      </c>
      <c r="O444" s="6">
        <v>0.5714</v>
      </c>
      <c r="P444" s="6">
        <v>0.2857</v>
      </c>
      <c r="Q444" s="7"/>
      <c r="R444" s="7"/>
    </row>
    <row r="445" spans="1:18">
      <c r="A445" s="4" t="s">
        <v>641</v>
      </c>
      <c r="B445" s="4">
        <f t="shared" si="6"/>
        <v>8</v>
      </c>
      <c r="C445" s="4"/>
      <c r="D445" s="1" t="str">
        <f>IFERROR(VLOOKUP(A445,[1]biopep_DB!$F$2:$J$1654,5,0),)</f>
        <v/>
      </c>
      <c r="E445" s="1" t="str">
        <f>IFERROR(VLOOKUP(A445,[1]biopep_DB!$F$2:$L$1654,6,0),0)</f>
        <v/>
      </c>
      <c r="F445" s="1" t="str">
        <f>IFERROR(VLOOKUP(A445,[1]biopep_DB!$F$2:$L$1654,7,0),0)</f>
        <v/>
      </c>
      <c r="G445" s="5">
        <v>825.95</v>
      </c>
      <c r="H445" s="5">
        <v>9.75</v>
      </c>
      <c r="I445" s="5">
        <v>0.76</v>
      </c>
      <c r="J445" s="6">
        <v>-0.3875</v>
      </c>
      <c r="K445" s="5">
        <v>70.36</v>
      </c>
      <c r="L445" s="6">
        <v>0.625</v>
      </c>
      <c r="M445" s="6">
        <v>-0.7725</v>
      </c>
      <c r="N445" s="6">
        <v>0</v>
      </c>
      <c r="O445" s="6">
        <v>0.625</v>
      </c>
      <c r="P445" s="6">
        <v>0.25</v>
      </c>
      <c r="Q445" s="7"/>
      <c r="R445" s="7"/>
    </row>
    <row r="446" spans="1:18">
      <c r="A446" s="4" t="s">
        <v>642</v>
      </c>
      <c r="B446" s="4">
        <f t="shared" si="6"/>
        <v>10</v>
      </c>
      <c r="C446" s="4" t="s">
        <v>62</v>
      </c>
      <c r="D446" s="1" t="str">
        <f>IFERROR(VLOOKUP(A446,[1]biopep_DB!$F$2:$J$1654,5,0),)</f>
        <v>Angiotensin converting enzyme inhibitory activity in commercial fermented products. Formation of peptides under simulated gastrointestinal digestion.</v>
      </c>
      <c r="E446" s="1" t="str">
        <f>IFERROR(VLOOKUP(A446,[1]biopep_DB!$F$2:$L$1654,6,0),0)</f>
        <v>10.1021/jf034997b</v>
      </c>
      <c r="F446" s="1" t="str">
        <f>IFERROR(VLOOKUP(A446,[1]biopep_DB!$F$2:$L$1654,7,0),0)</f>
        <v>15030202</v>
      </c>
      <c r="G446" s="5">
        <v>1052.27</v>
      </c>
      <c r="H446" s="5">
        <v>9.75</v>
      </c>
      <c r="I446" s="5">
        <v>0.76</v>
      </c>
      <c r="J446" s="6">
        <v>0.59</v>
      </c>
      <c r="K446" s="5">
        <v>58.29</v>
      </c>
      <c r="L446" s="6">
        <v>0.7</v>
      </c>
      <c r="M446" s="6">
        <v>-1.602</v>
      </c>
      <c r="N446" s="6">
        <v>0</v>
      </c>
      <c r="O446" s="6">
        <v>0.5</v>
      </c>
      <c r="P446" s="6">
        <v>0.4</v>
      </c>
      <c r="Q446" s="7"/>
      <c r="R446" s="7"/>
    </row>
    <row r="447" spans="1:18">
      <c r="A447" s="4" t="s">
        <v>643</v>
      </c>
      <c r="B447" s="4">
        <f t="shared" si="6"/>
        <v>11</v>
      </c>
      <c r="C447" s="4"/>
      <c r="D447" s="1" t="str">
        <f>IFERROR(VLOOKUP(A447,[1]biopep_DB!$F$2:$J$1654,5,0),)</f>
        <v/>
      </c>
      <c r="E447" s="1" t="str">
        <f>IFERROR(VLOOKUP(A447,[1]biopep_DB!$F$2:$L$1654,6,0),0)</f>
        <v/>
      </c>
      <c r="F447" s="1" t="str">
        <f>IFERROR(VLOOKUP(A447,[1]biopep_DB!$F$2:$L$1654,7,0),0)</f>
        <v/>
      </c>
      <c r="G447" s="5">
        <v>1151.4</v>
      </c>
      <c r="H447" s="5">
        <v>9.75</v>
      </c>
      <c r="I447" s="5">
        <v>0.76</v>
      </c>
      <c r="J447" s="6">
        <v>0.9182</v>
      </c>
      <c r="K447" s="5">
        <v>46.18</v>
      </c>
      <c r="L447" s="6">
        <v>0.7273</v>
      </c>
      <c r="M447" s="6">
        <v>-1.8236</v>
      </c>
      <c r="N447" s="6">
        <v>0</v>
      </c>
      <c r="O447" s="6">
        <v>0.4545</v>
      </c>
      <c r="P447" s="6">
        <v>0.4545</v>
      </c>
      <c r="Q447" s="7"/>
      <c r="R447" s="7"/>
    </row>
    <row r="448" spans="1:18">
      <c r="A448" s="4" t="s">
        <v>644</v>
      </c>
      <c r="B448" s="4">
        <f t="shared" si="6"/>
        <v>2</v>
      </c>
      <c r="C448" s="4" t="s">
        <v>36</v>
      </c>
      <c r="D448" s="1" t="str">
        <f>IFERROR(VLOOKUP(A448,[1]biopep_DB!$F$2:$J$1654,5,0),)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448" s="1" t="str">
        <f>IFERROR(VLOOKUP(A448,[1]biopep_DB!$F$2:$L$1654,6,0),0)</f>
        <v>10.1021/jf051263l; 10.1002/psc.892; 10.1007/s00894-010-0862-x; 10.1016/j.jprot.2013.06.023; 10.1016/j.foodchem.2013.05.140</v>
      </c>
      <c r="F448" s="1" t="str">
        <f>IFERROR(VLOOKUP(A448,[1]biopep_DB!$F$2:$L$1654,7,0),0)</f>
        <v>6243277 16448176 17654623 20941517 23806758 23871047</v>
      </c>
      <c r="G448" s="5">
        <v>203.2</v>
      </c>
      <c r="H448" s="5">
        <v>5.53</v>
      </c>
      <c r="I448" s="5">
        <v>-0.24</v>
      </c>
      <c r="J448" s="6">
        <v>-1.95</v>
      </c>
      <c r="K448" s="5">
        <v>5</v>
      </c>
      <c r="L448" s="6">
        <v>0</v>
      </c>
      <c r="M448" s="6">
        <v>0.21</v>
      </c>
      <c r="N448" s="6">
        <v>0</v>
      </c>
      <c r="O448" s="6">
        <v>0.5</v>
      </c>
      <c r="P448" s="6">
        <v>0</v>
      </c>
      <c r="Q448" s="7"/>
      <c r="R448" s="7"/>
    </row>
    <row r="449" spans="1:18">
      <c r="A449" s="4" t="s">
        <v>645</v>
      </c>
      <c r="B449" s="4">
        <f t="shared" si="6"/>
        <v>12</v>
      </c>
      <c r="C449" s="4"/>
      <c r="G449" s="5">
        <v>1070.14</v>
      </c>
      <c r="H449" s="5">
        <v>5.24</v>
      </c>
      <c r="I449" s="5">
        <v>-1.15</v>
      </c>
      <c r="J449" s="6">
        <v>-0.425</v>
      </c>
      <c r="K449" s="5">
        <v>-8.83</v>
      </c>
      <c r="L449" s="6">
        <v>0.25</v>
      </c>
      <c r="M449" s="6">
        <v>-0.8942</v>
      </c>
      <c r="N449" s="6">
        <v>0.3333</v>
      </c>
      <c r="O449" s="6">
        <v>0.5</v>
      </c>
      <c r="P449" s="6">
        <v>0.0833</v>
      </c>
      <c r="Q449" s="7"/>
      <c r="R449" s="7"/>
    </row>
    <row r="450" spans="1:18">
      <c r="A450" s="4" t="s">
        <v>646</v>
      </c>
      <c r="B450" s="4">
        <f t="shared" si="6"/>
        <v>7</v>
      </c>
      <c r="C450" s="4"/>
      <c r="E450" s="1" t="str">
        <f>IFERROR(VLOOKUP(A450,[1]biopep_DB!$F$2:$L$1654,6,0),0)</f>
        <v/>
      </c>
      <c r="F450" s="1" t="str">
        <f>IFERROR(VLOOKUP(A450,[1]biopep_DB!$F$2:$L$1654,7,0),0)</f>
        <v/>
      </c>
      <c r="G450" s="5">
        <v>828.98</v>
      </c>
      <c r="H450" s="5">
        <v>9.75</v>
      </c>
      <c r="I450" s="5">
        <v>0.76</v>
      </c>
      <c r="J450" s="6">
        <v>-1.0143</v>
      </c>
      <c r="K450" s="5">
        <v>52.83</v>
      </c>
      <c r="L450" s="6">
        <v>0.4286</v>
      </c>
      <c r="M450" s="6">
        <v>-0.3957</v>
      </c>
      <c r="N450" s="6">
        <v>0.1429</v>
      </c>
      <c r="O450" s="6">
        <v>0.2857</v>
      </c>
      <c r="P450" s="6">
        <v>0.1429</v>
      </c>
      <c r="Q450" s="7"/>
      <c r="R450" s="7"/>
    </row>
    <row r="451" spans="1:18">
      <c r="A451" s="4" t="s">
        <v>647</v>
      </c>
      <c r="B451" s="4">
        <f t="shared" si="6"/>
        <v>3</v>
      </c>
      <c r="C451" s="4" t="s">
        <v>36</v>
      </c>
      <c r="D451" s="1" t="str">
        <f>IFERROR(VLOOKUP(A451,[1]biopep_DB!$F$2:$J$1654,5,0),)</f>
        <v>Structural requirements of Angiotensin I-converting enzyme inhibitory peptides: quantitative structure-activity relationship study of di- and tripeptides.</v>
      </c>
      <c r="E451" s="1" t="str">
        <f>IFERROR(VLOOKUP(A451,[1]biopep_DB!$F$2:$L$1654,6,0),0)</f>
        <v>10.1021/jf051263l</v>
      </c>
      <c r="F451" s="1" t="str">
        <f>IFERROR(VLOOKUP(A451,[1]biopep_DB!$F$2:$L$1654,7,0),0)</f>
        <v>16448176</v>
      </c>
      <c r="G451" s="5">
        <v>300.31</v>
      </c>
      <c r="H451" s="5">
        <v>5.53</v>
      </c>
      <c r="I451" s="5">
        <v>-0.24</v>
      </c>
      <c r="J451" s="6">
        <v>-1.8333</v>
      </c>
      <c r="K451" s="5">
        <v>70.87</v>
      </c>
      <c r="L451" s="6">
        <v>0.3333</v>
      </c>
      <c r="M451" s="6">
        <v>0.14</v>
      </c>
      <c r="N451" s="6">
        <v>0</v>
      </c>
      <c r="O451" s="6">
        <v>0.6667</v>
      </c>
      <c r="P451" s="6">
        <v>0</v>
      </c>
      <c r="Q451" s="7"/>
      <c r="R451" s="7"/>
    </row>
    <row r="452" spans="1:18">
      <c r="A452" s="4" t="s">
        <v>648</v>
      </c>
      <c r="B452" s="4">
        <f t="shared" si="6"/>
        <v>3</v>
      </c>
      <c r="C452" s="4" t="s">
        <v>649</v>
      </c>
      <c r="D452" s="1" t="str">
        <f>IFERROR(VLOOKUP(A452,[1]biopep_DB!$F$2:$J$1654,5,0),)</f>
        <v/>
      </c>
      <c r="E452" s="1" t="str">
        <f>IFERROR(VLOOKUP(A452,[1]biopep_DB!$F$2:$L$1654,6,0),0)</f>
        <v/>
      </c>
      <c r="F452" s="1" t="str">
        <f>IFERROR(VLOOKUP(A452,[1]biopep_DB!$F$2:$L$1654,7,0),0)</f>
        <v/>
      </c>
      <c r="G452" s="5">
        <v>366.37</v>
      </c>
      <c r="H452" s="5">
        <v>5.52</v>
      </c>
      <c r="I452" s="5">
        <v>-0.24</v>
      </c>
      <c r="J452" s="6">
        <v>-1.7333</v>
      </c>
      <c r="K452" s="5">
        <v>-18.47</v>
      </c>
      <c r="L452" s="6">
        <v>0</v>
      </c>
      <c r="M452" s="6">
        <v>0.1867</v>
      </c>
      <c r="N452" s="6">
        <v>0</v>
      </c>
      <c r="O452" s="6">
        <v>0.3333</v>
      </c>
      <c r="P452" s="6">
        <v>0.3333</v>
      </c>
      <c r="Q452" s="7"/>
      <c r="R452" s="7"/>
    </row>
    <row r="453" spans="1:18">
      <c r="A453" s="4" t="s">
        <v>650</v>
      </c>
      <c r="B453" s="4">
        <f t="shared" si="6"/>
        <v>2</v>
      </c>
      <c r="C453" s="4" t="s">
        <v>36</v>
      </c>
      <c r="D453" s="1" t="str">
        <f>IFERROR(VLOOKUP(A453,[1]biopep_DB!$F$2:$J$1654,5,0),)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453" s="1" t="str">
        <f>IFERROR(VLOOKUP(A453,[1]biopep_DB!$F$2:$L$1654,6,0),0)</f>
        <v>10.1021/jf051263l; 10.1002/psc.800; 10.1002/psc.892; 10.1007/s00894-010-0862-x; 10.1016/j.jprot.2013.06.023; 10.1016/j.foodchem.2013.05.140</v>
      </c>
      <c r="F453" s="1" t="str">
        <f>IFERROR(VLOOKUP(A453,[1]biopep_DB!$F$2:$L$1654,7,0),0)</f>
        <v>6243277 16448176 17117396 17654623 20941517 23806758 23871047</v>
      </c>
      <c r="G453" s="5">
        <v>231.25</v>
      </c>
      <c r="H453" s="5">
        <v>9.75</v>
      </c>
      <c r="I453" s="5">
        <v>0.76</v>
      </c>
      <c r="J453" s="6">
        <v>-2.45</v>
      </c>
      <c r="K453" s="5">
        <v>5</v>
      </c>
      <c r="L453" s="6">
        <v>0</v>
      </c>
      <c r="M453" s="6">
        <v>0.89</v>
      </c>
      <c r="N453" s="6">
        <v>0</v>
      </c>
      <c r="O453" s="6">
        <v>0.5</v>
      </c>
      <c r="P453" s="6">
        <v>0</v>
      </c>
      <c r="Q453" s="7"/>
      <c r="R453" s="7"/>
    </row>
    <row r="454" spans="1:18">
      <c r="A454" s="4" t="s">
        <v>651</v>
      </c>
      <c r="B454" s="4">
        <f t="shared" ref="B454:B517" si="7">LEN(A454)</f>
        <v>3</v>
      </c>
      <c r="C454" s="4" t="s">
        <v>31</v>
      </c>
      <c r="D454" s="1" t="str">
        <f>IFERROR(VLOOKUP(A454,[1]biopep_DB!$F$2:$J$1654,5,0),)</f>
        <v/>
      </c>
      <c r="E454" s="1" t="str">
        <f>IFERROR(VLOOKUP(A454,[1]biopep_DB!$F$2:$L$1654,6,0),0)</f>
        <v/>
      </c>
      <c r="F454" s="1" t="str">
        <f>IFERROR(VLOOKUP(A454,[1]biopep_DB!$F$2:$L$1654,7,0),0)</f>
        <v/>
      </c>
      <c r="G454" s="5">
        <v>334.4</v>
      </c>
      <c r="H454" s="5">
        <v>8.25</v>
      </c>
      <c r="I454" s="5">
        <v>0.75</v>
      </c>
      <c r="J454" s="6">
        <v>-0.8</v>
      </c>
      <c r="K454" s="5">
        <v>6.67</v>
      </c>
      <c r="L454" s="6">
        <v>0</v>
      </c>
      <c r="M454" s="6">
        <v>0.1667</v>
      </c>
      <c r="N454" s="6">
        <v>0</v>
      </c>
      <c r="O454" s="6">
        <v>0.3333</v>
      </c>
      <c r="P454" s="6">
        <v>0</v>
      </c>
      <c r="Q454" s="7"/>
      <c r="R454" s="7"/>
    </row>
    <row r="455" spans="1:18">
      <c r="A455" s="4" t="s">
        <v>652</v>
      </c>
      <c r="B455" s="4">
        <f t="shared" si="7"/>
        <v>3</v>
      </c>
      <c r="C455" s="4" t="s">
        <v>36</v>
      </c>
      <c r="D455" s="1" t="str">
        <f>IFERROR(VLOOKUP(A455,[1]biopep_DB!$F$2:$J$1654,5,0),)</f>
        <v>Angiotensin I-converting enzyme inhibitory peptides in an alkaline protease hydrolyzate derived from sardine muscle.;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Bioactive peptides in amaranth (Amaranthus hypochondriacus) seed.; QSAR study on angiotensin-converting enzyme inhibitor oligopeptides based on a novel set of sequence information descriptors.; Review on the angiotensin-I-converting enzyme (ACE) inhibitor peptides from marine proteins.; Rational design of angiotensin-I-converting enzyme inhibitory peptides by integrating in silico modeling and an in vitro assay.;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455" s="1" t="str">
        <f>IFERROR(VLOOKUP(A455,[1]biopep_DB!$F$2:$L$1654,6,0),0)</f>
        <v>10.1271/bbb.58.2244; 10.1021/jf051263l; 10.1002/psc.800; 10.1021/jf072911z; 10.1007/s00894-010-0862-x; 10.1007/s12010-012-0024-y; 10.1002/cmdc.201300132; 10.1016/j.jprot.2013.06.023; 10.1016/j.foodchem.2013.05.140</v>
      </c>
      <c r="F455" s="1" t="str">
        <f>IFERROR(VLOOKUP(A455,[1]biopep_DB!$F$2:$L$1654,7,0),0)</f>
        <v>7765718 16448176 17117396 18211015 20941517 23271625 23740817 23806758 23871047</v>
      </c>
      <c r="G455" s="5">
        <v>328.37</v>
      </c>
      <c r="H455" s="5">
        <v>9.75</v>
      </c>
      <c r="I455" s="5">
        <v>0.76</v>
      </c>
      <c r="J455" s="6">
        <v>-2.1667</v>
      </c>
      <c r="K455" s="5">
        <v>70.87</v>
      </c>
      <c r="L455" s="6">
        <v>0.3333</v>
      </c>
      <c r="M455" s="6">
        <v>0.5933</v>
      </c>
      <c r="N455" s="6">
        <v>0</v>
      </c>
      <c r="O455" s="6">
        <v>0.6667</v>
      </c>
      <c r="P455" s="6">
        <v>0</v>
      </c>
      <c r="Q455" s="7"/>
      <c r="R455" s="7"/>
    </row>
    <row r="456" spans="1:18">
      <c r="A456" s="4" t="s">
        <v>653</v>
      </c>
      <c r="B456" s="4">
        <f t="shared" si="7"/>
        <v>5</v>
      </c>
      <c r="C456" s="4" t="s">
        <v>654</v>
      </c>
      <c r="D456" s="1" t="str">
        <f>IFERROR(VLOOKUP(A456,[1]biopep_DB!$F$2:$J$1654,5,0),)</f>
        <v>Inhibition of angiotensin-converting enzyme by synthetic peptide fragments of various beta-caseins.</v>
      </c>
      <c r="E456" s="1" t="str">
        <f>IFERROR(VLOOKUP(A456,[1]biopep_DB!$F$2:$L$1654,6,0),0)</f>
        <v/>
      </c>
      <c r="F456" s="1" t="str">
        <f>IFERROR(VLOOKUP(A456,[1]biopep_DB!$F$2:$L$1654,7,0),0)</f>
        <v>1368548</v>
      </c>
      <c r="G456" s="5">
        <v>558.69</v>
      </c>
      <c r="H456" s="5">
        <v>9.75</v>
      </c>
      <c r="I456" s="5">
        <v>0.76</v>
      </c>
      <c r="J456" s="6">
        <v>-0.08</v>
      </c>
      <c r="K456" s="5">
        <v>95.88</v>
      </c>
      <c r="L456" s="6">
        <v>0.6</v>
      </c>
      <c r="M456" s="6">
        <v>-0.922</v>
      </c>
      <c r="N456" s="6">
        <v>0.2</v>
      </c>
      <c r="O456" s="6">
        <v>0.4</v>
      </c>
      <c r="P456" s="6">
        <v>0.2</v>
      </c>
      <c r="Q456" s="7"/>
      <c r="R456" s="7"/>
    </row>
    <row r="457" spans="1:18">
      <c r="A457" s="4" t="s">
        <v>655</v>
      </c>
      <c r="B457" s="4">
        <f t="shared" si="7"/>
        <v>3</v>
      </c>
      <c r="C457" s="4" t="s">
        <v>31</v>
      </c>
      <c r="D457" s="1" t="str">
        <f>IFERROR(VLOOKUP(A457,[1]biopep_DB!$F$2:$J$1654,5,0),)</f>
        <v/>
      </c>
      <c r="E457" s="1" t="str">
        <f>IFERROR(VLOOKUP(A457,[1]biopep_DB!$F$2:$L$1654,6,0),0)</f>
        <v/>
      </c>
      <c r="F457" s="1" t="str">
        <f>IFERROR(VLOOKUP(A457,[1]biopep_DB!$F$2:$L$1654,7,0),0)</f>
        <v/>
      </c>
      <c r="G457" s="5">
        <v>394.43</v>
      </c>
      <c r="H457" s="5">
        <v>8.75</v>
      </c>
      <c r="I457" s="5">
        <v>0.76</v>
      </c>
      <c r="J457" s="6">
        <v>-2.0667</v>
      </c>
      <c r="K457" s="5">
        <v>-18.47</v>
      </c>
      <c r="L457" s="6">
        <v>0</v>
      </c>
      <c r="M457" s="6">
        <v>0.64</v>
      </c>
      <c r="N457" s="6">
        <v>0</v>
      </c>
      <c r="O457" s="6">
        <v>0.3333</v>
      </c>
      <c r="P457" s="6">
        <v>0.3333</v>
      </c>
      <c r="Q457" s="7"/>
      <c r="R457" s="7"/>
    </row>
    <row r="458" spans="1:18">
      <c r="A458" s="4" t="s">
        <v>656</v>
      </c>
      <c r="B458" s="4">
        <f t="shared" si="7"/>
        <v>2</v>
      </c>
      <c r="C458" s="4" t="s">
        <v>36</v>
      </c>
      <c r="D458" s="1" t="str">
        <f>IFERROR(VLOOKUP(A458,[1]biopep_DB!$F$2:$J$1654,5,0),)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Assessing the dependence of (51)V A(z) value on the aromatic ring orientation of V(IV)O(2+) pyridine complexes.;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458" s="1" t="str">
        <f>IFERROR(VLOOKUP(A458,[1]biopep_DB!$F$2:$L$1654,6,0),0)</f>
        <v>10.1021/jf051263l; 10.1021/ic9001779; 10.1007/s00894-010-0862-x; 10.1016/j.jprot.2013.06.023; 10.1016/j.foodchem.2013.05.140</v>
      </c>
      <c r="F458" s="1" t="str">
        <f>IFERROR(VLOOKUP(A458,[1]biopep_DB!$F$2:$L$1654,7,0),0)</f>
        <v>6243277 16448176 19449891 20941517 23806758 23871047</v>
      </c>
      <c r="G458" s="5">
        <v>162.14</v>
      </c>
      <c r="H458" s="5">
        <v>5.53</v>
      </c>
      <c r="I458" s="5">
        <v>-0.24</v>
      </c>
      <c r="J458" s="6">
        <v>-0.6</v>
      </c>
      <c r="K458" s="5">
        <v>5</v>
      </c>
      <c r="L458" s="6">
        <v>0</v>
      </c>
      <c r="M458" s="6">
        <v>-0.05</v>
      </c>
      <c r="N458" s="6">
        <v>0</v>
      </c>
      <c r="O458" s="6">
        <v>1</v>
      </c>
      <c r="P458" s="6">
        <v>0</v>
      </c>
      <c r="Q458" s="7"/>
      <c r="R458" s="7"/>
    </row>
    <row r="459" spans="1:18">
      <c r="A459" s="4" t="s">
        <v>657</v>
      </c>
      <c r="B459" s="4">
        <f t="shared" si="7"/>
        <v>14</v>
      </c>
      <c r="C459" s="4"/>
      <c r="G459" s="5">
        <v>1164.23</v>
      </c>
      <c r="H459" s="5">
        <v>9.75</v>
      </c>
      <c r="I459" s="5">
        <v>0.76</v>
      </c>
      <c r="J459" s="6">
        <v>-0.7786</v>
      </c>
      <c r="K459" s="5">
        <v>25.35</v>
      </c>
      <c r="L459" s="6">
        <v>0.4286</v>
      </c>
      <c r="M459" s="6">
        <v>-0.28</v>
      </c>
      <c r="N459" s="6">
        <v>0.1429</v>
      </c>
      <c r="O459" s="6">
        <v>0.7857</v>
      </c>
      <c r="P459" s="6">
        <v>0</v>
      </c>
      <c r="Q459" s="7"/>
      <c r="R459" s="7"/>
    </row>
    <row r="460" spans="1:18">
      <c r="A460" s="4" t="s">
        <v>658</v>
      </c>
      <c r="B460" s="4">
        <f t="shared" si="7"/>
        <v>3</v>
      </c>
      <c r="C460" s="4" t="s">
        <v>36</v>
      </c>
      <c r="D460" s="1" t="str">
        <f>IFERROR(VLOOKUP(A460,[1]biopep_DB!$F$2:$J$1654,5,0),)</f>
        <v>Structural requirements of Angiotensin I-converting enzyme inhibitory peptides: quantitative structure-activity relationship study of di- and tripeptides.</v>
      </c>
      <c r="E460" s="1" t="str">
        <f>IFERROR(VLOOKUP(A460,[1]biopep_DB!$F$2:$L$1654,6,0),0)</f>
        <v>10.1021/jf051263l</v>
      </c>
      <c r="F460" s="1" t="str">
        <f>IFERROR(VLOOKUP(A460,[1]biopep_DB!$F$2:$L$1654,7,0),0)</f>
        <v>16448176</v>
      </c>
      <c r="G460" s="5">
        <v>299.28</v>
      </c>
      <c r="H460" s="5">
        <v>6.74</v>
      </c>
      <c r="I460" s="5">
        <v>-0.15</v>
      </c>
      <c r="J460" s="6">
        <v>-1.4667</v>
      </c>
      <c r="K460" s="5">
        <v>6.67</v>
      </c>
      <c r="L460" s="6">
        <v>0</v>
      </c>
      <c r="M460" s="6">
        <v>0.2967</v>
      </c>
      <c r="N460" s="6">
        <v>0</v>
      </c>
      <c r="O460" s="6">
        <v>0.6667</v>
      </c>
      <c r="P460" s="6">
        <v>0</v>
      </c>
      <c r="Q460" s="7"/>
      <c r="R460" s="7"/>
    </row>
    <row r="461" spans="1:18">
      <c r="A461" s="4" t="s">
        <v>659</v>
      </c>
      <c r="B461" s="4">
        <f t="shared" si="7"/>
        <v>2</v>
      </c>
      <c r="C461" s="4" t="s">
        <v>36</v>
      </c>
      <c r="D461" s="1" t="str">
        <f>IFERROR(VLOOKUP(A461,[1]biopep_DB!$F$2:$J$1654,5,0),)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v>
      </c>
      <c r="E461" s="1" t="str">
        <f>IFERROR(VLOOKUP(A461,[1]biopep_DB!$F$2:$L$1654,6,0),0)</f>
        <v>10.1021/jf051263l; 10.1002/psc.892; 10.1007/s00894-010-0862-x; 10.1016/j.jprot.2013.06.023</v>
      </c>
      <c r="F461" s="1" t="str">
        <f>IFERROR(VLOOKUP(A461,[1]biopep_DB!$F$2:$L$1654,7,0),0)</f>
        <v>6243277 16448176 17654623 20941517 23806758</v>
      </c>
      <c r="G461" s="5">
        <v>176.17</v>
      </c>
      <c r="H461" s="5">
        <v>5.53</v>
      </c>
      <c r="I461" s="5">
        <v>-0.24</v>
      </c>
      <c r="J461" s="6">
        <v>-0.55</v>
      </c>
      <c r="K461" s="5">
        <v>-37.45</v>
      </c>
      <c r="L461" s="6">
        <v>0</v>
      </c>
      <c r="M461" s="6">
        <v>-0.34</v>
      </c>
      <c r="N461" s="6">
        <v>0</v>
      </c>
      <c r="O461" s="6">
        <v>0.5</v>
      </c>
      <c r="P461" s="6">
        <v>0.5</v>
      </c>
      <c r="Q461" s="7"/>
      <c r="R461" s="7"/>
    </row>
    <row r="462" spans="1:18">
      <c r="A462" s="4" t="s">
        <v>660</v>
      </c>
      <c r="B462" s="4">
        <f t="shared" si="7"/>
        <v>5</v>
      </c>
      <c r="C462" s="4" t="s">
        <v>611</v>
      </c>
      <c r="D462" s="1" t="str">
        <f>IFERROR(VLOOKUP(A462,[1]biopep_DB!$F$2:$J$1654,5,0),)</f>
        <v>Novel angiotensin I-converting enzyme inhibitory peptides derived from an edible mushroom, Pleurotus cystidiosus O.K. Miller identified by LC-MS/MS.</v>
      </c>
      <c r="E462" s="1" t="str">
        <f>IFERROR(VLOOKUP(A462,[1]biopep_DB!$F$2:$L$1654,6,0),0)</f>
        <v>10.1186/1472-6882-13-313</v>
      </c>
      <c r="F462" s="1" t="str">
        <f>IFERROR(VLOOKUP(A462,[1]biopep_DB!$F$2:$L$1654,7,0),0)</f>
        <v>24215325</v>
      </c>
      <c r="G462" s="5">
        <v>536.6</v>
      </c>
      <c r="H462" s="5">
        <v>5.99</v>
      </c>
      <c r="I462" s="5">
        <v>-0.25</v>
      </c>
      <c r="J462" s="6">
        <v>-1.2</v>
      </c>
      <c r="K462" s="5">
        <v>29.54</v>
      </c>
      <c r="L462" s="6">
        <v>0</v>
      </c>
      <c r="M462" s="6">
        <v>0.252</v>
      </c>
      <c r="N462" s="6">
        <v>0.4</v>
      </c>
      <c r="O462" s="6">
        <v>0.2</v>
      </c>
      <c r="P462" s="6">
        <v>0.2</v>
      </c>
      <c r="Q462" s="7"/>
      <c r="R462" s="7"/>
    </row>
    <row r="463" spans="1:18">
      <c r="A463" s="4" t="s">
        <v>661</v>
      </c>
      <c r="B463" s="4">
        <f t="shared" si="7"/>
        <v>3</v>
      </c>
      <c r="C463" s="4" t="s">
        <v>662</v>
      </c>
      <c r="D463" s="1" t="str">
        <f>IFERROR(VLOOKUP(A463,[1]biopep_DB!$F$2:$J$1654,5,0),)</f>
        <v>Review on the angiotensin-I-converting enzyme (ACE) inhibitor peptides from marine proteins.; Glycinyl-histidinyl-serine (GHS), a novel rapeseed protein-derived peptide has blood pressure-lowering effect in spontaneously hypertensive rats.; Isolation and characterization of peptides with antihypertensive activity in foodstuffs.</v>
      </c>
      <c r="E463" s="1" t="str">
        <f>IFERROR(VLOOKUP(A463,[1]biopep_DB!$F$2:$L$1654,6,0),0)</f>
        <v>10.1007/s12010-012-0024-y; 10.1021/jf400865m; 10.1080/10408398.2012.664829</v>
      </c>
      <c r="F463" s="1" t="str">
        <f>IFERROR(VLOOKUP(A463,[1]biopep_DB!$F$2:$L$1654,7,0),0)</f>
        <v>23271625 23919612 24915368</v>
      </c>
      <c r="G463" s="5">
        <v>233.22</v>
      </c>
      <c r="H463" s="5">
        <v>5.53</v>
      </c>
      <c r="I463" s="5">
        <v>-0.24</v>
      </c>
      <c r="J463" s="6">
        <v>-0.5</v>
      </c>
      <c r="K463" s="5">
        <v>-49.93</v>
      </c>
      <c r="L463" s="6">
        <v>0</v>
      </c>
      <c r="M463" s="6">
        <v>-0.54</v>
      </c>
      <c r="N463" s="6">
        <v>0</v>
      </c>
      <c r="O463" s="6">
        <v>0.6667</v>
      </c>
      <c r="P463" s="6">
        <v>0.3333</v>
      </c>
      <c r="Q463" s="7"/>
      <c r="R463" s="7"/>
    </row>
    <row r="464" spans="1:18">
      <c r="A464" s="4" t="s">
        <v>663</v>
      </c>
      <c r="B464" s="4">
        <f t="shared" si="7"/>
        <v>3</v>
      </c>
      <c r="C464" s="4" t="s">
        <v>664</v>
      </c>
      <c r="D464" s="1" t="str">
        <f>IFERROR(VLOOKUP(A464,[1]biopep_DB!$F$2:$J$1654,5,0),)</f>
        <v>Antihypertensive peptides from food proteins: a review.; What are the ideal properties for functional food peptides with antihypertensive effect? A computational peptidology approach.</v>
      </c>
      <c r="E464" s="1" t="str">
        <f>IFERROR(VLOOKUP(A464,[1]biopep_DB!$F$2:$L$1654,6,0),0)</f>
        <v>10.1039/c2fo10192k; 10.1016/j.foodchem.2013.05.140</v>
      </c>
      <c r="F464" s="1" t="str">
        <f>IFERROR(VLOOKUP(A464,[1]biopep_DB!$F$2:$L$1654,7,0),0)</f>
        <v>22249830 23871047</v>
      </c>
      <c r="G464" s="5">
        <v>362.38</v>
      </c>
      <c r="H464" s="5">
        <v>5.53</v>
      </c>
      <c r="I464" s="5">
        <v>-0.24</v>
      </c>
      <c r="J464" s="6">
        <v>-0.6667</v>
      </c>
      <c r="K464" s="5">
        <v>-71.73</v>
      </c>
      <c r="L464" s="6">
        <v>0.3333</v>
      </c>
      <c r="M464" s="6">
        <v>-1.0033</v>
      </c>
      <c r="N464" s="6">
        <v>0</v>
      </c>
      <c r="O464" s="6">
        <v>0.3333</v>
      </c>
      <c r="P464" s="6">
        <v>0.6667</v>
      </c>
      <c r="Q464" s="7"/>
      <c r="R464" s="7"/>
    </row>
    <row r="465" spans="1:18">
      <c r="A465" s="4" t="s">
        <v>665</v>
      </c>
      <c r="B465" s="4">
        <f t="shared" si="7"/>
        <v>2</v>
      </c>
      <c r="C465" s="4" t="s">
        <v>36</v>
      </c>
      <c r="D465" s="1" t="str">
        <f>IFERROR(VLOOKUP(A465,[1]biopep_DB!$F$2:$J$1654,5,0),)</f>
        <v>Binding of peptide substrates and inhibitors of angiotensin-converting enzyme. Importance of the COOH-terminal dipeptide sequence.; Angiotensin I-converting enzyme inhibitory activity and insulin secretion stimulative activity of fermented fish sauce.;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465" s="1" t="str">
        <f>IFERROR(VLOOKUP(A465,[1]biopep_DB!$F$2:$L$1654,6,0),0)</f>
        <v>10.1016/S1389-1723(03)70138-8; 10.1021/jf051263l; 10.1002/psc.800; 10.1002/psc.892; 10.1007/s00894-010-0862-x; 10.1016/j.jprot.2013.06.023; 10.1016/j.foodchem.2013.05.140</v>
      </c>
      <c r="F465" s="1" t="str">
        <f>IFERROR(VLOOKUP(A465,[1]biopep_DB!$F$2:$L$1654,7,0),0)</f>
        <v>6243277 16233562 16448176 17117396 17654623 20941517 23806758 23871047</v>
      </c>
      <c r="G465" s="5">
        <v>174.2</v>
      </c>
      <c r="H465" s="5">
        <v>5.53</v>
      </c>
      <c r="I465" s="5">
        <v>-0.24</v>
      </c>
      <c r="J465" s="6">
        <v>1.9</v>
      </c>
      <c r="K465" s="5">
        <v>5</v>
      </c>
      <c r="L465" s="6">
        <v>0.5</v>
      </c>
      <c r="M465" s="6">
        <v>-2.49</v>
      </c>
      <c r="N465" s="6">
        <v>0</v>
      </c>
      <c r="O465" s="6">
        <v>0.5</v>
      </c>
      <c r="P465" s="6">
        <v>0.5</v>
      </c>
      <c r="Q465" s="7"/>
      <c r="R465" s="7"/>
    </row>
    <row r="466" spans="1:18">
      <c r="A466" s="4" t="s">
        <v>666</v>
      </c>
      <c r="B466" s="4">
        <f t="shared" si="7"/>
        <v>6</v>
      </c>
      <c r="C466" s="4" t="s">
        <v>667</v>
      </c>
      <c r="D466" s="1" t="str">
        <f>IFERROR(VLOOKUP(A466,[1]biopep_DB!$F$2:$J$1654,5,0),)</f>
        <v>A new QSAR model, for angiotensin I-converting enzyme inhibitory oligopeptides.</v>
      </c>
      <c r="E466" s="1" t="str">
        <f>IFERROR(VLOOKUP(A466,[1]biopep_DB!$F$2:$L$1654,6,0),0)</f>
        <v>10.1016/j.foodchem.2012.09.092</v>
      </c>
      <c r="F466" s="1" t="str">
        <f>IFERROR(VLOOKUP(A466,[1]biopep_DB!$F$2:$L$1654,7,0),0)</f>
        <v>23194537</v>
      </c>
      <c r="G466" s="5">
        <v>522.55</v>
      </c>
      <c r="H466" s="5">
        <v>5.52</v>
      </c>
      <c r="I466" s="5">
        <v>-0.24</v>
      </c>
      <c r="J466" s="6">
        <v>0.5833</v>
      </c>
      <c r="K466" s="5">
        <v>-34.12</v>
      </c>
      <c r="L466" s="6">
        <v>0.3333</v>
      </c>
      <c r="M466" s="6">
        <v>-1.4217</v>
      </c>
      <c r="N466" s="6">
        <v>0.1667</v>
      </c>
      <c r="O466" s="6">
        <v>0.5</v>
      </c>
      <c r="P466" s="6">
        <v>0.3333</v>
      </c>
      <c r="Q466" s="7"/>
      <c r="R466" s="7"/>
    </row>
    <row r="467" spans="1:18">
      <c r="A467" s="4" t="s">
        <v>668</v>
      </c>
      <c r="B467" s="4">
        <f t="shared" si="7"/>
        <v>4</v>
      </c>
      <c r="C467" s="4" t="s">
        <v>669</v>
      </c>
      <c r="D467" s="1" t="str">
        <f>IFERROR(VLOOKUP(A467,[1]biopep_DB!$F$2:$J$1654,5,0),)</f>
        <v>What are the ideal properties for functional food peptides with antihypertensive effect? A computational peptidology approach.</v>
      </c>
      <c r="E467" s="1" t="str">
        <f>IFERROR(VLOOKUP(A467,[1]biopep_DB!$F$2:$L$1654,6,0),0)</f>
        <v>10.1016/j.foodchem.2013.05.140</v>
      </c>
      <c r="F467" s="1" t="str">
        <f>IFERROR(VLOOKUP(A467,[1]biopep_DB!$F$2:$L$1654,7,0),0)</f>
        <v>23871047</v>
      </c>
      <c r="G467" s="5">
        <v>394.42</v>
      </c>
      <c r="H467" s="5">
        <v>5.52</v>
      </c>
      <c r="I467" s="5">
        <v>-0.24</v>
      </c>
      <c r="J467" s="6">
        <v>0.525</v>
      </c>
      <c r="K467" s="5">
        <v>-34.95</v>
      </c>
      <c r="L467" s="6">
        <v>0.25</v>
      </c>
      <c r="M467" s="6">
        <v>-1.445</v>
      </c>
      <c r="N467" s="6">
        <v>0</v>
      </c>
      <c r="O467" s="6">
        <v>0.5</v>
      </c>
      <c r="P467" s="6">
        <v>0.5</v>
      </c>
      <c r="Q467" s="7"/>
      <c r="R467" s="7"/>
    </row>
    <row r="468" spans="1:18">
      <c r="A468" s="4" t="s">
        <v>670</v>
      </c>
      <c r="B468" s="4">
        <f t="shared" si="7"/>
        <v>5</v>
      </c>
      <c r="C468" s="4" t="s">
        <v>577</v>
      </c>
      <c r="D468" s="1" t="str">
        <f>IFERROR(VLOOKUP(A468,[1]biopep_DB!$F$2:$J$1654,5,0),)</f>
        <v>Angiotensin converting enzyme inhibitory peptides derived from food proteins: biochemistry, bioactivity and production.; A new QSAR model, for angiotensin I-converting enzyme inhibitory oligopeptides.</v>
      </c>
      <c r="E468" s="1" t="str">
        <f>IFERROR(VLOOKUP(A468,[1]biopep_DB!$F$2:$L$1654,6,0),0)</f>
        <v>10.2174/138161207780363068; 10.1016/j.foodchem.2012.09.092</v>
      </c>
      <c r="F468" s="1" t="str">
        <f>IFERROR(VLOOKUP(A468,[1]biopep_DB!$F$2:$L$1654,7,0),0)</f>
        <v>17430180 23194537</v>
      </c>
      <c r="G468" s="5">
        <v>467.52</v>
      </c>
      <c r="H468" s="5">
        <v>6.74</v>
      </c>
      <c r="I468" s="5">
        <v>-0.15</v>
      </c>
      <c r="J468" s="6">
        <v>0.88</v>
      </c>
      <c r="K468" s="5">
        <v>-12.74</v>
      </c>
      <c r="L468" s="6">
        <v>0.4</v>
      </c>
      <c r="M468" s="6">
        <v>-1.794</v>
      </c>
      <c r="N468" s="6">
        <v>0</v>
      </c>
      <c r="O468" s="6">
        <v>0.4</v>
      </c>
      <c r="P468" s="6">
        <v>0.4</v>
      </c>
      <c r="Q468" s="7"/>
      <c r="R468" s="7"/>
    </row>
    <row r="469" spans="1:18">
      <c r="A469" s="4" t="s">
        <v>671</v>
      </c>
      <c r="B469" s="4">
        <f t="shared" si="7"/>
        <v>5</v>
      </c>
      <c r="C469" s="4" t="s">
        <v>672</v>
      </c>
      <c r="D469" s="1" t="str">
        <f>IFERROR(VLOOKUP(A469,[1]biopep_DB!$F$2:$J$1654,5,0),)</f>
        <v>Analysis of novel angiotensin I-converting enzyme inhibitory peptides from enzymatic hydrolysates of cuttlefish (Sepia officinalis) muscle proteins.</v>
      </c>
      <c r="E469" s="1" t="str">
        <f>IFERROR(VLOOKUP(A469,[1]biopep_DB!$F$2:$L$1654,6,0),0)</f>
        <v>10.1021/jf904300q</v>
      </c>
      <c r="F469" s="1" t="str">
        <f>IFERROR(VLOOKUP(A469,[1]biopep_DB!$F$2:$L$1654,7,0),0)</f>
        <v>20180574</v>
      </c>
      <c r="G469" s="5">
        <v>519.55</v>
      </c>
      <c r="H469" s="5">
        <v>6.92</v>
      </c>
      <c r="I469" s="5">
        <v>-0.07</v>
      </c>
      <c r="J469" s="6">
        <v>-0.16</v>
      </c>
      <c r="K469" s="5">
        <v>8</v>
      </c>
      <c r="L469" s="6">
        <v>0.4</v>
      </c>
      <c r="M469" s="6">
        <v>-0.962</v>
      </c>
      <c r="N469" s="6">
        <v>0.2</v>
      </c>
      <c r="O469" s="6">
        <v>0.2</v>
      </c>
      <c r="P469" s="6">
        <v>0.2</v>
      </c>
      <c r="Q469" s="7"/>
      <c r="R469" s="7"/>
    </row>
    <row r="470" spans="1:18">
      <c r="A470" s="4" t="s">
        <v>673</v>
      </c>
      <c r="B470" s="4">
        <f t="shared" si="7"/>
        <v>10</v>
      </c>
      <c r="C470" s="4"/>
      <c r="D470" s="1" t="str">
        <f>IFERROR(VLOOKUP(A470,[1]biopep_DB!$F$2:$J$1654,5,0),)</f>
        <v>Angiotensin I-converting enzyme inhibitory peptides in a hydrolyzed chicken breast muscle extract.</v>
      </c>
      <c r="E470" s="1" t="str">
        <f>IFERROR(VLOOKUP(A470,[1]biopep_DB!$F$2:$L$1654,6,0),0)</f>
        <v>10.1021/jf020604h</v>
      </c>
      <c r="F470" s="1" t="str">
        <f>IFERROR(VLOOKUP(A470,[1]biopep_DB!$F$2:$L$1654,7,0),0)</f>
        <v>12617616</v>
      </c>
      <c r="G470" s="5">
        <v>913.93</v>
      </c>
      <c r="H470" s="5">
        <v>4.05</v>
      </c>
      <c r="I470" s="5">
        <v>-2.23</v>
      </c>
      <c r="J470" s="6">
        <v>-0.53</v>
      </c>
      <c r="K470" s="5">
        <v>38.29</v>
      </c>
      <c r="L470" s="6">
        <v>0.3</v>
      </c>
      <c r="M470" s="6">
        <v>-0.694</v>
      </c>
      <c r="N470" s="6">
        <v>0.2</v>
      </c>
      <c r="O470" s="6">
        <v>0.6</v>
      </c>
      <c r="P470" s="6">
        <v>0.2</v>
      </c>
      <c r="Q470" s="7"/>
      <c r="R470" s="7"/>
    </row>
    <row r="471" spans="1:18">
      <c r="A471" s="4" t="s">
        <v>674</v>
      </c>
      <c r="B471" s="4">
        <f t="shared" si="7"/>
        <v>4</v>
      </c>
      <c r="C471" s="4"/>
      <c r="D471" s="1" t="str">
        <f>IFERROR(VLOOKUP(A471,[1]biopep_DB!$F$2:$J$1654,5,0),)</f>
        <v/>
      </c>
      <c r="E471" s="1" t="str">
        <f>IFERROR(VLOOKUP(A471,[1]biopep_DB!$F$2:$L$1654,6,0),0)</f>
        <v/>
      </c>
      <c r="F471" s="1" t="str">
        <f>IFERROR(VLOOKUP(A471,[1]biopep_DB!$F$2:$L$1654,7,0),0)</f>
        <v/>
      </c>
      <c r="G471" s="5">
        <v>399.49</v>
      </c>
      <c r="H471" s="5">
        <v>8.75</v>
      </c>
      <c r="I471" s="5">
        <v>0.76</v>
      </c>
      <c r="J471" s="6">
        <v>-0.425</v>
      </c>
      <c r="K471" s="5">
        <v>55.65</v>
      </c>
      <c r="L471" s="6">
        <v>0.5</v>
      </c>
      <c r="M471" s="6">
        <v>-0.85</v>
      </c>
      <c r="N471" s="6">
        <v>0.25</v>
      </c>
      <c r="O471" s="6">
        <v>0.5</v>
      </c>
      <c r="P471" s="6">
        <v>0.25</v>
      </c>
      <c r="Q471" s="7"/>
      <c r="R471" s="7"/>
    </row>
    <row r="472" spans="1:18">
      <c r="A472" s="4" t="s">
        <v>675</v>
      </c>
      <c r="B472" s="4">
        <f t="shared" si="7"/>
        <v>12</v>
      </c>
      <c r="C472" s="4" t="s">
        <v>676</v>
      </c>
      <c r="D472" s="1" t="str">
        <f>IFERROR(VLOOKUP(A472,[1]biopep_DB!$F$2:$J$1654,5,0),)</f>
        <v>Angiotensin-converting enzyme inhibitory activity of peptides derived from caprine kefir.</v>
      </c>
      <c r="E472" s="1" t="str">
        <f>IFERROR(VLOOKUP(A472,[1]biopep_DB!$F$2:$L$1654,6,0),0)</f>
        <v>10.3168/jds.S0022-0302(05)73032-0</v>
      </c>
      <c r="F472" s="1" t="str">
        <f>IFERROR(VLOOKUP(A472,[1]biopep_DB!$F$2:$L$1654,7,0),0)</f>
        <v>16162521</v>
      </c>
      <c r="G472" s="5">
        <v>1312.62</v>
      </c>
      <c r="H472" s="5">
        <v>9.7</v>
      </c>
      <c r="I472" s="5">
        <v>1.76</v>
      </c>
      <c r="J472" s="6">
        <v>-0.4167</v>
      </c>
      <c r="K472" s="5">
        <v>31.79</v>
      </c>
      <c r="L472" s="6">
        <v>0.5</v>
      </c>
      <c r="M472" s="6">
        <v>-0.7308</v>
      </c>
      <c r="N472" s="6">
        <v>0.4167</v>
      </c>
      <c r="O472" s="6">
        <v>0.25</v>
      </c>
      <c r="P472" s="6">
        <v>0.3333</v>
      </c>
      <c r="Q472" s="7"/>
      <c r="R472" s="7"/>
    </row>
    <row r="473" spans="1:18">
      <c r="A473" s="4" t="s">
        <v>677</v>
      </c>
      <c r="B473" s="4">
        <f t="shared" si="7"/>
        <v>13</v>
      </c>
      <c r="C473" s="4" t="s">
        <v>678</v>
      </c>
      <c r="D473" s="1" t="str">
        <f>IFERROR(VLOOKUP(A473,[1]biopep_DB!$F$2:$J$1654,5,0),)</f>
        <v>Angiotensin-converting enzyme inhibitory activity of peptides derived from caprine kefir.</v>
      </c>
      <c r="E473" s="1" t="str">
        <f>IFERROR(VLOOKUP(A473,[1]biopep_DB!$F$2:$L$1654,6,0),0)</f>
        <v>10.3168/jds.S0022-0302(05)73032-0</v>
      </c>
      <c r="F473" s="1" t="str">
        <f>IFERROR(VLOOKUP(A473,[1]biopep_DB!$F$2:$L$1654,7,0),0)</f>
        <v>16162521</v>
      </c>
      <c r="G473" s="5">
        <v>1449.76</v>
      </c>
      <c r="H473" s="5">
        <v>9.7</v>
      </c>
      <c r="I473" s="5">
        <v>1.85</v>
      </c>
      <c r="J473" s="6">
        <v>-0.6308</v>
      </c>
      <c r="K473" s="5">
        <v>30.12</v>
      </c>
      <c r="L473" s="6">
        <v>0.4615</v>
      </c>
      <c r="M473" s="6">
        <v>-0.5985</v>
      </c>
      <c r="N473" s="6">
        <v>0.3846</v>
      </c>
      <c r="O473" s="6">
        <v>0.2308</v>
      </c>
      <c r="P473" s="6">
        <v>0.3077</v>
      </c>
      <c r="Q473" s="7"/>
      <c r="R473" s="7"/>
    </row>
    <row r="474" spans="1:18">
      <c r="A474" s="4" t="s">
        <v>679</v>
      </c>
      <c r="B474" s="4">
        <f t="shared" si="7"/>
        <v>6</v>
      </c>
      <c r="C474" s="4" t="s">
        <v>680</v>
      </c>
      <c r="D474" s="1" t="str">
        <f>IFERROR(VLOOKUP(A474,[1]biopep_DB!$F$2:$J$1654,5,0),)</f>
        <v>Novel angiotensin I-converting enzyme inhibitory peptides derived from edible mushroom Agaricus bisporus (J.E. Lange) Imbach identified by LC-MS/MS.</v>
      </c>
      <c r="E474" s="1" t="str">
        <f>IFERROR(VLOOKUP(A474,[1]biopep_DB!$F$2:$L$1654,6,0),0)</f>
        <v>10.1016/j.foodchem.2013.10.053</v>
      </c>
      <c r="F474" s="1" t="str">
        <f>IFERROR(VLOOKUP(A474,[1]biopep_DB!$F$2:$L$1654,7,0),0)</f>
        <v>24262574</v>
      </c>
      <c r="G474" s="5">
        <v>587.69</v>
      </c>
      <c r="H474" s="5">
        <v>5.53</v>
      </c>
      <c r="I474" s="5">
        <v>-0.24</v>
      </c>
      <c r="J474" s="6">
        <v>0.0333</v>
      </c>
      <c r="K474" s="5">
        <v>-4.23</v>
      </c>
      <c r="L474" s="6">
        <v>0.5</v>
      </c>
      <c r="M474" s="6">
        <v>-1.1517</v>
      </c>
      <c r="N474" s="6">
        <v>0.1667</v>
      </c>
      <c r="O474" s="6">
        <v>0.5</v>
      </c>
      <c r="P474" s="6">
        <v>0.1667</v>
      </c>
      <c r="Q474" s="7"/>
      <c r="R474" s="7"/>
    </row>
    <row r="475" spans="1:18">
      <c r="A475" s="4" t="s">
        <v>681</v>
      </c>
      <c r="B475" s="4">
        <f t="shared" si="7"/>
        <v>7</v>
      </c>
      <c r="C475" s="4" t="s">
        <v>682</v>
      </c>
      <c r="D475" s="1" t="str">
        <f>IFERROR(VLOOKUP(A475,[1]biopep_DB!$F$2:$J$1654,5,0),)</f>
        <v/>
      </c>
      <c r="E475" s="1" t="str">
        <f>IFERROR(VLOOKUP(A475,[1]biopep_DB!$F$2:$L$1654,6,0),0)</f>
        <v/>
      </c>
      <c r="F475" s="1" t="str">
        <f>IFERROR(VLOOKUP(A475,[1]biopep_DB!$F$2:$L$1654,7,0),0)</f>
        <v/>
      </c>
      <c r="G475" s="5">
        <v>786.87</v>
      </c>
      <c r="H475" s="5">
        <v>4.05</v>
      </c>
      <c r="I475" s="5">
        <v>-1.24</v>
      </c>
      <c r="J475" s="6">
        <v>0.1143</v>
      </c>
      <c r="K475" s="5">
        <v>39.44</v>
      </c>
      <c r="L475" s="6">
        <v>0.5714</v>
      </c>
      <c r="M475" s="6">
        <v>-1.3929</v>
      </c>
      <c r="N475" s="6">
        <v>0.2857</v>
      </c>
      <c r="O475" s="6">
        <v>0.4286</v>
      </c>
      <c r="P475" s="6">
        <v>0.4286</v>
      </c>
      <c r="Q475" s="7"/>
      <c r="R475" s="7"/>
    </row>
    <row r="476" spans="1:18">
      <c r="A476" s="4" t="s">
        <v>683</v>
      </c>
      <c r="B476" s="4">
        <f t="shared" si="7"/>
        <v>3</v>
      </c>
      <c r="C476" s="4"/>
      <c r="D476" s="1" t="str">
        <f>IFERROR(VLOOKUP(A476,[1]biopep_DB!$F$2:$J$1654,5,0),)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476" s="1" t="str">
        <f>IFERROR(VLOOKUP(A476,[1]biopep_DB!$F$2:$L$1654,6,0),0)</f>
        <v>10.1002/psc.800; 10.1007/s00894-010-0862-x; 10.1016/j.foodchem.2013.05.140</v>
      </c>
      <c r="F476" s="1" t="str">
        <f>IFERROR(VLOOKUP(A476,[1]biopep_DB!$F$2:$L$1654,7,0),0)</f>
        <v>17117396 20941517 23871047</v>
      </c>
      <c r="G476" s="5">
        <v>273.33</v>
      </c>
      <c r="H476" s="5">
        <v>5.53</v>
      </c>
      <c r="I476" s="5">
        <v>-0.24</v>
      </c>
      <c r="J476" s="6">
        <v>2.6667</v>
      </c>
      <c r="K476" s="5">
        <v>6.67</v>
      </c>
      <c r="L476" s="6">
        <v>0.6667</v>
      </c>
      <c r="M476" s="6">
        <v>-3.0067</v>
      </c>
      <c r="N476" s="6">
        <v>0</v>
      </c>
      <c r="O476" s="6">
        <v>0.3333</v>
      </c>
      <c r="P476" s="6">
        <v>0.6667</v>
      </c>
      <c r="Q476" s="7"/>
      <c r="R476" s="7"/>
    </row>
    <row r="477" spans="1:18">
      <c r="A477" s="4" t="s">
        <v>684</v>
      </c>
      <c r="B477" s="4">
        <f t="shared" si="7"/>
        <v>3</v>
      </c>
      <c r="C477" s="4" t="s">
        <v>525</v>
      </c>
      <c r="D477" s="1" t="str">
        <f>IFERROR(VLOOKUP(A477,[1]biopep_DB!$F$2:$J$1654,5,0),)</f>
        <v>Antihypertensive peptides from food proteins: a review.; What are the ideal properties for functional food peptides with antihypertensive effect? A computational peptidology approach.</v>
      </c>
      <c r="E477" s="1" t="str">
        <f>IFERROR(VLOOKUP(A477,[1]biopep_DB!$F$2:$L$1654,6,0),0)</f>
        <v>10.1039/c2fo10192k; 10.1016/j.foodchem.2013.05.140</v>
      </c>
      <c r="F477" s="1" t="str">
        <f>IFERROR(VLOOKUP(A477,[1]biopep_DB!$F$2:$L$1654,7,0),0)</f>
        <v>22249830 23871047</v>
      </c>
      <c r="G477" s="5">
        <v>360.41</v>
      </c>
      <c r="H477" s="5">
        <v>5.53</v>
      </c>
      <c r="I477" s="5">
        <v>-0.24</v>
      </c>
      <c r="J477" s="6">
        <v>0.9667</v>
      </c>
      <c r="K477" s="5">
        <v>6.67</v>
      </c>
      <c r="L477" s="6">
        <v>0.6667</v>
      </c>
      <c r="M477" s="6">
        <v>-2.4367</v>
      </c>
      <c r="N477" s="6">
        <v>0</v>
      </c>
      <c r="O477" s="6">
        <v>0.3333</v>
      </c>
      <c r="P477" s="6">
        <v>0.6667</v>
      </c>
      <c r="Q477" s="7"/>
      <c r="R477" s="7"/>
    </row>
    <row r="478" spans="1:18">
      <c r="A478" s="4" t="s">
        <v>685</v>
      </c>
      <c r="B478" s="4">
        <f t="shared" si="7"/>
        <v>3</v>
      </c>
      <c r="C478" s="4" t="s">
        <v>36</v>
      </c>
      <c r="D478" s="1" t="str">
        <f>IFERROR(VLOOKUP(A478,[1]biopep_DB!$F$2:$J$1654,5,0),)</f>
        <v>Structural requirements of Angiotensin I-converting enzyme inhibitory peptides: quantitative structure-activity relationship study of di- and tripeptides.</v>
      </c>
      <c r="E478" s="1" t="str">
        <f>IFERROR(VLOOKUP(A478,[1]biopep_DB!$F$2:$L$1654,6,0),0)</f>
        <v>10.1021/jf051263l</v>
      </c>
      <c r="F478" s="1" t="str">
        <f>IFERROR(VLOOKUP(A478,[1]biopep_DB!$F$2:$L$1654,7,0),0)</f>
        <v>16448176</v>
      </c>
      <c r="G478" s="5">
        <v>337.37</v>
      </c>
      <c r="H478" s="5">
        <v>5.52</v>
      </c>
      <c r="I478" s="5">
        <v>-0.24</v>
      </c>
      <c r="J478" s="6">
        <v>0.8333</v>
      </c>
      <c r="K478" s="5">
        <v>-18.47</v>
      </c>
      <c r="L478" s="6">
        <v>0.3333</v>
      </c>
      <c r="M478" s="6">
        <v>-1.6133</v>
      </c>
      <c r="N478" s="6">
        <v>0</v>
      </c>
      <c r="O478" s="6">
        <v>0.3333</v>
      </c>
      <c r="P478" s="6">
        <v>0.6667</v>
      </c>
      <c r="Q478" s="7"/>
      <c r="R478" s="7"/>
    </row>
    <row r="479" spans="1:18">
      <c r="A479" s="4" t="s">
        <v>686</v>
      </c>
      <c r="B479" s="4">
        <f t="shared" si="7"/>
        <v>5</v>
      </c>
      <c r="C479" s="4" t="s">
        <v>687</v>
      </c>
      <c r="D479" s="1" t="str">
        <f>IFERROR(VLOOKUP(A479,[1]biopep_DB!$F$2:$J$1654,5,0),)</f>
        <v>A new QSAR model, for angiotensin I-converting enzyme inhibitory oligopeptides.</v>
      </c>
      <c r="E479" s="1" t="str">
        <f>IFERROR(VLOOKUP(A479,[1]biopep_DB!$F$2:$L$1654,6,0),0)</f>
        <v>10.1016/j.foodchem.2012.09.092</v>
      </c>
      <c r="F479" s="1" t="str">
        <f>IFERROR(VLOOKUP(A479,[1]biopep_DB!$F$2:$L$1654,7,0),0)</f>
        <v>23194537</v>
      </c>
      <c r="G479" s="5">
        <v>571.63</v>
      </c>
      <c r="H479" s="5">
        <v>6.74</v>
      </c>
      <c r="I479" s="5">
        <v>-0.15</v>
      </c>
      <c r="J479" s="6">
        <v>-0.46</v>
      </c>
      <c r="K479" s="5">
        <v>17.6</v>
      </c>
      <c r="L479" s="6">
        <v>0.4</v>
      </c>
      <c r="M479" s="6">
        <v>-0.77</v>
      </c>
      <c r="N479" s="6">
        <v>0</v>
      </c>
      <c r="O479" s="6">
        <v>0.4</v>
      </c>
      <c r="P479" s="6">
        <v>0.4</v>
      </c>
      <c r="Q479" s="7"/>
      <c r="R479" s="7"/>
    </row>
    <row r="480" spans="1:18">
      <c r="A480" s="4" t="s">
        <v>688</v>
      </c>
      <c r="B480" s="4">
        <f t="shared" si="7"/>
        <v>6</v>
      </c>
      <c r="C480" s="4" t="s">
        <v>689</v>
      </c>
      <c r="D480" s="1" t="str">
        <f>IFERROR(VLOOKUP(A480,[1]biopep_DB!$F$2:$J$1654,5,0),)</f>
        <v>Isolation and characterization of angiotensin I-converting enzyme inhibitory peptides derived from bonito bowels.</v>
      </c>
      <c r="E480" s="1" t="str">
        <f>IFERROR(VLOOKUP(A480,[1]biopep_DB!$F$2:$L$1654,6,0),0)</f>
        <v>10.1271/bbb.57.1743</v>
      </c>
      <c r="F480" s="1" t="str">
        <f>IFERROR(VLOOKUP(A480,[1]biopep_DB!$F$2:$L$1654,7,0),0)</f>
        <v>7764272</v>
      </c>
      <c r="G480" s="5">
        <v>699.8</v>
      </c>
      <c r="H480" s="5">
        <v>8.6</v>
      </c>
      <c r="I480" s="5">
        <v>0.85</v>
      </c>
      <c r="J480" s="6">
        <v>-1.0333</v>
      </c>
      <c r="K480" s="5">
        <v>55.8</v>
      </c>
      <c r="L480" s="6">
        <v>0.3333</v>
      </c>
      <c r="M480" s="6">
        <v>-0.3783</v>
      </c>
      <c r="N480" s="6">
        <v>0.1667</v>
      </c>
      <c r="O480" s="6">
        <v>0.3333</v>
      </c>
      <c r="P480" s="6">
        <v>0.3333</v>
      </c>
      <c r="Q480" s="7"/>
      <c r="R480" s="7"/>
    </row>
    <row r="481" spans="1:18">
      <c r="A481" s="4" t="s">
        <v>690</v>
      </c>
      <c r="B481" s="4">
        <f t="shared" si="7"/>
        <v>2</v>
      </c>
      <c r="C481" s="4" t="s">
        <v>36</v>
      </c>
      <c r="D481" s="1" t="str">
        <f>IFERROR(VLOOKUP(A481,[1]biopep_DB!$F$2:$J$1654,5,0),)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Antihypertensive effect of peptide-enriched soy sauce-like seasoning and identification of its angiotensin I-converting enzyme inhibitory substances.; QSAR study on angiotensin-converting enzyme inhibitor oligopeptides based on a novel set of sequence information descriptors.; Inhibition strength of short peptides derived from an ACE inhibitory peptide.; Vegetable foods: a cheap source of proteins and peptides with antihypertensive, antioxidant, and other less occurrence bioactivities.; Isolation and characterization of peptides with antihypertensive activity in foodstuffs.</v>
      </c>
      <c r="E481" s="1" t="str">
        <f>IFERROR(VLOOKUP(A481,[1]biopep_DB!$F$2:$L$1654,6,0),0)</f>
        <v>10.1021/jf051263l; 10.1002/psc.892; 10.1021/jf903261h; 10.1007/s00894-010-0862-x; 10.1021/jf202902r; 10.1016/j.talanta.2012.12.041; 10.1080/10408398.2012.664829</v>
      </c>
      <c r="F481" s="1" t="str">
        <f>IFERROR(VLOOKUP(A481,[1]biopep_DB!$F$2:$L$1654,7,0),0)</f>
        <v>6243277 16448176 17654623 19994857 20941517 21923188 23598136 24915368</v>
      </c>
      <c r="G481" s="5">
        <v>261.28</v>
      </c>
      <c r="H481" s="5">
        <v>5.53</v>
      </c>
      <c r="I481" s="5">
        <v>-0.24</v>
      </c>
      <c r="J481" s="6">
        <v>-0.65</v>
      </c>
      <c r="K481" s="5">
        <v>66.7</v>
      </c>
      <c r="L481" s="6">
        <v>0.5</v>
      </c>
      <c r="M481" s="6">
        <v>-1.635</v>
      </c>
      <c r="N481" s="6">
        <v>0</v>
      </c>
      <c r="O481" s="6">
        <v>0.5</v>
      </c>
      <c r="P481" s="6">
        <v>0.5</v>
      </c>
      <c r="Q481" s="7"/>
      <c r="R481" s="7"/>
    </row>
    <row r="482" spans="1:18">
      <c r="A482" s="4" t="s">
        <v>691</v>
      </c>
      <c r="B482" s="4">
        <f t="shared" si="7"/>
        <v>4</v>
      </c>
      <c r="C482" s="4" t="s">
        <v>692</v>
      </c>
      <c r="D482" s="1" t="str">
        <f>IFERROR(VLOOKUP(A482,[1]biopep_DB!$F$2:$J$1654,5,0),)</f>
        <v>Angiotensin I-converting enzyme inhibitory peptides in an alkaline protease hydrolyzate derived from sardine muscle.; Review on the angiotensin-I-converting enzyme (ACE) inhibitor peptides from marine proteins.; What are the ideal properties for functional food peptides with antihypertensive effect? A computational peptidology approach.</v>
      </c>
      <c r="E482" s="1" t="str">
        <f>IFERROR(VLOOKUP(A482,[1]biopep_DB!$F$2:$L$1654,6,0),0)</f>
        <v>10.1271/bbb.58.2244; 10.1007/s12010-012-0024-y; 10.1016/j.foodchem.2013.05.140</v>
      </c>
      <c r="F482" s="1" t="str">
        <f>IFERROR(VLOOKUP(A482,[1]biopep_DB!$F$2:$L$1654,7,0),0)</f>
        <v>7765718 23271625 23871047</v>
      </c>
      <c r="G482" s="5">
        <v>429.47</v>
      </c>
      <c r="H482" s="5">
        <v>5.53</v>
      </c>
      <c r="I482" s="5">
        <v>-0.24</v>
      </c>
      <c r="J482" s="6">
        <v>-0.275</v>
      </c>
      <c r="K482" s="5">
        <v>48.92</v>
      </c>
      <c r="L482" s="6">
        <v>0.75</v>
      </c>
      <c r="M482" s="6">
        <v>-1.27</v>
      </c>
      <c r="N482" s="6">
        <v>0.25</v>
      </c>
      <c r="O482" s="6">
        <v>0.5</v>
      </c>
      <c r="P482" s="6">
        <v>0.25</v>
      </c>
      <c r="Q482" s="7"/>
      <c r="R482" s="7"/>
    </row>
    <row r="483" spans="1:18">
      <c r="A483" s="4" t="s">
        <v>693</v>
      </c>
      <c r="B483" s="4">
        <f t="shared" si="7"/>
        <v>2</v>
      </c>
      <c r="C483" s="4" t="s">
        <v>36</v>
      </c>
      <c r="D483" s="1" t="str">
        <f>IFERROR(VLOOKUP(A483,[1]biopep_DB!$F$2:$J$1654,5,0),)</f>
        <v>The inhibitory actions of dopamine, hydroxyamphetamine and phenylephrine on aqueous humor formation.;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Bioactive peptides in amaranth (Amaranthus hypochondriacus) seed.; Max-E47, a designed minimalist protein that targets the E-box DNA site in vivo and in vitro.; Antihypertensive effect of peptide-enriched soy sauce-like seasoning and identification of its angiotensin I-converting enzyme inhibitory substances.; QSAR study on angiotensin-converting enzyme inhibitor oligopeptides based on a novel set of sequence information descriptors.; Antihypertensive peptides from food proteins: a review.; Review on the angiotensin-I-converting enzyme (ACE) inhibitor peptides from marine proteins.;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
      <c r="E483" s="1" t="str">
        <f>IFERROR(VLOOKUP(A483,[1]biopep_DB!$F$2:$L$1654,6,0),0)</f>
        <v>10.1016/0014-4835(78)90155-0; 10.1021/jf051263l; 10.1002/psc.800; 10.1002/psc.892; 10.1021/jf072911z; 10.1021/ja901306q; 10.1021/jf903261h; 10.1007/s00894-010-0862-x; 10.1039/c2fo10192k; 10.1007/s12010-012-0024-y; 10.1016/j.talanta.2012.12.041; 10.1016/j.jprot.2013.06.023; 10.1016/j.foodchem.2013.05.140; 10.1080/10408398.2012.664829</v>
      </c>
      <c r="F483" s="1" t="str">
        <f>IFERROR(VLOOKUP(A483,[1]biopep_DB!$F$2:$L$1654,7,0),0)</f>
        <v>624327 16448176 17117396 17654623 18211015 19449889 19994857 20941517 22249830 23271625 23598136 23806758 23871047 24915368</v>
      </c>
      <c r="G483" s="5">
        <v>238.24</v>
      </c>
      <c r="H483" s="5">
        <v>5.52</v>
      </c>
      <c r="I483" s="5">
        <v>-0.24</v>
      </c>
      <c r="J483" s="6">
        <v>-0.85</v>
      </c>
      <c r="K483" s="5">
        <v>-37.45</v>
      </c>
      <c r="L483" s="6">
        <v>0</v>
      </c>
      <c r="M483" s="6">
        <v>-0.4</v>
      </c>
      <c r="N483" s="6">
        <v>0</v>
      </c>
      <c r="O483" s="6">
        <v>0.5</v>
      </c>
      <c r="P483" s="6">
        <v>0.5</v>
      </c>
      <c r="Q483" s="7"/>
      <c r="R483" s="7"/>
    </row>
    <row r="484" spans="1:18">
      <c r="A484" s="4" t="s">
        <v>694</v>
      </c>
      <c r="B484" s="4">
        <f t="shared" si="7"/>
        <v>7</v>
      </c>
      <c r="C484" s="4" t="s">
        <v>695</v>
      </c>
      <c r="D484" s="1" t="str">
        <f>IFERROR(VLOOKUP(A484,[1]biopep_DB!$F$2:$J$1654,5,0),)</f>
        <v>Angiotensin I-converting enzyme inhibitors in autolysates of squid liver and mantle muscle.</v>
      </c>
      <c r="E484" s="1" t="str">
        <f>IFERROR(VLOOKUP(A484,[1]biopep_DB!$F$2:$L$1654,6,0),0)</f>
        <v>10.1271/bbb.60.1353</v>
      </c>
      <c r="F484" s="1" t="str">
        <f>IFERROR(VLOOKUP(A484,[1]biopep_DB!$F$2:$L$1654,7,0),0)</f>
        <v>8987556</v>
      </c>
      <c r="G484" s="5">
        <v>727.81</v>
      </c>
      <c r="H484" s="5">
        <v>6.74</v>
      </c>
      <c r="I484" s="5">
        <v>-0.15</v>
      </c>
      <c r="J484" s="6">
        <v>0.1286</v>
      </c>
      <c r="K484" s="5">
        <v>57.79</v>
      </c>
      <c r="L484" s="6">
        <v>0.5714</v>
      </c>
      <c r="M484" s="6">
        <v>-1.1929</v>
      </c>
      <c r="N484" s="6">
        <v>0.4286</v>
      </c>
      <c r="O484" s="6">
        <v>0.2857</v>
      </c>
      <c r="P484" s="6">
        <v>0.2857</v>
      </c>
      <c r="Q484" s="7"/>
      <c r="R484" s="7"/>
    </row>
    <row r="485" spans="1:18">
      <c r="A485" s="4" t="s">
        <v>696</v>
      </c>
      <c r="B485" s="4">
        <f t="shared" si="7"/>
        <v>3</v>
      </c>
      <c r="C485" s="4"/>
      <c r="D485" s="1" t="str">
        <f>IFERROR(VLOOKUP(A485,[1]biopep_DB!$F$2:$J$1654,5,0),)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485" s="1" t="str">
        <f>IFERROR(VLOOKUP(A485,[1]biopep_DB!$F$2:$L$1654,6,0),0)</f>
        <v>10.1002/psc.800; 10.1007/s00894-010-0862-x; 10.1016/j.foodchem.2013.05.140</v>
      </c>
      <c r="F485" s="1" t="str">
        <f>IFERROR(VLOOKUP(A485,[1]biopep_DB!$F$2:$L$1654,7,0),0)</f>
        <v>17117396 20941517 23871047</v>
      </c>
      <c r="G485" s="5">
        <v>295.29</v>
      </c>
      <c r="H485" s="5">
        <v>5.52</v>
      </c>
      <c r="I485" s="5">
        <v>-0.24</v>
      </c>
      <c r="J485" s="6">
        <v>-0.7</v>
      </c>
      <c r="K485" s="5">
        <v>-49.93</v>
      </c>
      <c r="L485" s="6">
        <v>0</v>
      </c>
      <c r="M485" s="6">
        <v>-0.58</v>
      </c>
      <c r="N485" s="6">
        <v>0</v>
      </c>
      <c r="O485" s="6">
        <v>0.6667</v>
      </c>
      <c r="P485" s="6">
        <v>0.3333</v>
      </c>
      <c r="Q485" s="7"/>
      <c r="R485" s="7"/>
    </row>
    <row r="486" spans="1:18">
      <c r="A486" s="4" t="s">
        <v>697</v>
      </c>
      <c r="B486" s="4">
        <f t="shared" si="7"/>
        <v>3</v>
      </c>
      <c r="C486" s="4" t="s">
        <v>698</v>
      </c>
      <c r="D486" s="1" t="str">
        <f>IFERROR(VLOOKUP(A486,[1]biopep_DB!$F$2:$J$1654,5,0),)</f>
        <v>Model of the exofacial substrate-binding site and helical folding of the human Glut1 glucose transporter based on scanning mutagenesis.</v>
      </c>
      <c r="E486" s="1" t="str">
        <f>IFERROR(VLOOKUP(A486,[1]biopep_DB!$F$2:$L$1654,6,0),0)</f>
        <v>10.1021/bi900521n</v>
      </c>
      <c r="F486" s="1" t="str">
        <f>IFERROR(VLOOKUP(A486,[1]biopep_DB!$F$2:$L$1654,7,0),0)</f>
        <v>19449892</v>
      </c>
      <c r="G486" s="5">
        <v>366.41</v>
      </c>
      <c r="H486" s="5">
        <v>8.59</v>
      </c>
      <c r="I486" s="5">
        <v>0.76</v>
      </c>
      <c r="J486" s="6">
        <v>-1.8667</v>
      </c>
      <c r="K486" s="5">
        <v>-21.63</v>
      </c>
      <c r="L486" s="6">
        <v>0</v>
      </c>
      <c r="M486" s="6">
        <v>0.26</v>
      </c>
      <c r="N486" s="6">
        <v>0.3333</v>
      </c>
      <c r="O486" s="6">
        <v>0.3333</v>
      </c>
      <c r="P486" s="6">
        <v>0.3333</v>
      </c>
      <c r="Q486" s="7"/>
      <c r="R486" s="7"/>
    </row>
    <row r="487" spans="1:18">
      <c r="A487" s="4" t="s">
        <v>699</v>
      </c>
      <c r="B487" s="4">
        <f t="shared" si="7"/>
        <v>3</v>
      </c>
      <c r="C487" s="4"/>
      <c r="D487" s="1" t="str">
        <f>IFERROR(VLOOKUP(A487,[1]biopep_DB!$F$2:$J$1654,5,0),)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487" s="1" t="str">
        <f>IFERROR(VLOOKUP(A487,[1]biopep_DB!$F$2:$L$1654,6,0),0)</f>
        <v>10.1002/psc.800; 10.1007/s00894-010-0862-x; 10.1016/j.foodchem.2013.05.140</v>
      </c>
      <c r="F487" s="1" t="str">
        <f>IFERROR(VLOOKUP(A487,[1]biopep_DB!$F$2:$L$1654,7,0),0)</f>
        <v>17117396 20941517 23871047</v>
      </c>
      <c r="G487" s="5">
        <v>401.41</v>
      </c>
      <c r="H487" s="5">
        <v>5.52</v>
      </c>
      <c r="I487" s="5">
        <v>-0.24</v>
      </c>
      <c r="J487" s="6">
        <v>-1</v>
      </c>
      <c r="K487" s="5">
        <v>19.5</v>
      </c>
      <c r="L487" s="6">
        <v>0</v>
      </c>
      <c r="M487" s="6">
        <v>-0.22</v>
      </c>
      <c r="N487" s="6">
        <v>0</v>
      </c>
      <c r="O487" s="6">
        <v>0.3333</v>
      </c>
      <c r="P487" s="6">
        <v>0.6667</v>
      </c>
      <c r="Q487" s="7"/>
      <c r="R487" s="7"/>
    </row>
    <row r="488" spans="1:18">
      <c r="A488" s="4" t="s">
        <v>700</v>
      </c>
      <c r="B488" s="4">
        <f t="shared" si="7"/>
        <v>5</v>
      </c>
      <c r="C488" s="4"/>
      <c r="D488" s="1" t="str">
        <f>IFERROR(VLOOKUP(A488,[1]biopep_DB!$F$2:$J$1654,5,0),)</f>
        <v/>
      </c>
      <c r="E488" s="1" t="str">
        <f>IFERROR(VLOOKUP(A488,[1]biopep_DB!$F$2:$L$1654,6,0),0)</f>
        <v/>
      </c>
      <c r="F488" s="1" t="str">
        <f>IFERROR(VLOOKUP(A488,[1]biopep_DB!$F$2:$L$1654,7,0),0)</f>
        <v/>
      </c>
      <c r="G488" s="5">
        <v>582.61</v>
      </c>
      <c r="H488" s="5">
        <v>5.24</v>
      </c>
      <c r="I488" s="5">
        <v>-1.15</v>
      </c>
      <c r="J488" s="6">
        <v>-0.78</v>
      </c>
      <c r="K488" s="5">
        <v>46.52</v>
      </c>
      <c r="L488" s="6">
        <v>0.4</v>
      </c>
      <c r="M488" s="6">
        <v>-0.496</v>
      </c>
      <c r="N488" s="6">
        <v>0.4</v>
      </c>
      <c r="O488" s="6">
        <v>0.2</v>
      </c>
      <c r="P488" s="6">
        <v>0.2</v>
      </c>
      <c r="Q488" s="7"/>
      <c r="R488" s="7"/>
    </row>
    <row r="489" spans="1:18">
      <c r="A489" s="4" t="s">
        <v>701</v>
      </c>
      <c r="B489" s="4">
        <f t="shared" si="7"/>
        <v>7</v>
      </c>
      <c r="C489" s="4"/>
      <c r="D489" s="1" t="str">
        <f>IFERROR(VLOOKUP(A489,[1]biopep_DB!$F$2:$J$1654,5,0),)</f>
        <v/>
      </c>
      <c r="E489" s="1" t="str">
        <f>IFERROR(VLOOKUP(A489,[1]biopep_DB!$F$2:$L$1654,6,0),0)</f>
        <v/>
      </c>
      <c r="F489" s="1" t="str">
        <f>IFERROR(VLOOKUP(A489,[1]biopep_DB!$F$2:$L$1654,7,0),0)</f>
        <v/>
      </c>
      <c r="G489" s="5">
        <v>843.88</v>
      </c>
      <c r="H489" s="5">
        <v>5.24</v>
      </c>
      <c r="I489" s="5">
        <v>-1.15</v>
      </c>
      <c r="J489" s="6">
        <v>-0.6571</v>
      </c>
      <c r="K489" s="5">
        <v>71.34</v>
      </c>
      <c r="L489" s="6">
        <v>0.4286</v>
      </c>
      <c r="M489" s="6">
        <v>-0.5486</v>
      </c>
      <c r="N489" s="6">
        <v>0.2857</v>
      </c>
      <c r="O489" s="6">
        <v>0.2857</v>
      </c>
      <c r="P489" s="6">
        <v>0.2857</v>
      </c>
      <c r="Q489" s="7"/>
      <c r="R489" s="7"/>
    </row>
    <row r="490" spans="1:18">
      <c r="A490" s="4" t="s">
        <v>702</v>
      </c>
      <c r="B490" s="4">
        <f t="shared" si="7"/>
        <v>4</v>
      </c>
      <c r="C490" s="4" t="s">
        <v>703</v>
      </c>
      <c r="D490" s="1" t="str">
        <f>IFERROR(VLOOKUP(A490,[1]biopep_DB!$F$2:$J$1654,5,0),)</f>
        <v/>
      </c>
      <c r="E490" s="1" t="str">
        <f>IFERROR(VLOOKUP(A490,[1]biopep_DB!$F$2:$L$1654,6,0),0)</f>
        <v/>
      </c>
      <c r="F490" s="1" t="str">
        <f>IFERROR(VLOOKUP(A490,[1]biopep_DB!$F$2:$L$1654,7,0),0)</f>
        <v/>
      </c>
      <c r="G490" s="5">
        <v>538.58</v>
      </c>
      <c r="H490" s="5">
        <v>5.97</v>
      </c>
      <c r="I490" s="5">
        <v>-1.06</v>
      </c>
      <c r="J490" s="6">
        <v>-2</v>
      </c>
      <c r="K490" s="5">
        <v>7.5</v>
      </c>
      <c r="L490" s="6">
        <v>0.25</v>
      </c>
      <c r="M490" s="6">
        <v>0.3275</v>
      </c>
      <c r="N490" s="6">
        <v>0.25</v>
      </c>
      <c r="O490" s="6">
        <v>0.25</v>
      </c>
      <c r="P490" s="6">
        <v>0</v>
      </c>
      <c r="Q490" s="7"/>
      <c r="R490" s="7"/>
    </row>
    <row r="491" spans="1:18">
      <c r="A491" s="4" t="s">
        <v>704</v>
      </c>
      <c r="B491" s="4">
        <f t="shared" si="7"/>
        <v>12</v>
      </c>
      <c r="C491" s="4" t="s">
        <v>705</v>
      </c>
      <c r="D491" s="1" t="str">
        <f>IFERROR(VLOOKUP(A491,[1]biopep_DB!$F$2:$J$1654,5,0),)</f>
        <v>Review on the angiotensin-I-converting enzyme (ACE) inhibitor peptides from marine proteins.</v>
      </c>
      <c r="E491" s="1" t="str">
        <f>IFERROR(VLOOKUP(A491,[1]biopep_DB!$F$2:$L$1654,6,0),0)</f>
        <v>10.1007/s12010-012-0024-y</v>
      </c>
      <c r="F491" s="1" t="str">
        <f>IFERROR(VLOOKUP(A491,[1]biopep_DB!$F$2:$L$1654,7,0),0)</f>
        <v>23271625</v>
      </c>
      <c r="G491" s="5">
        <v>1490.58</v>
      </c>
      <c r="H491" s="5">
        <v>6.02</v>
      </c>
      <c r="I491" s="5">
        <v>-1.06</v>
      </c>
      <c r="J491" s="6">
        <v>-2.0333</v>
      </c>
      <c r="K491" s="5">
        <v>30.07</v>
      </c>
      <c r="L491" s="6">
        <v>0.25</v>
      </c>
      <c r="M491" s="6">
        <v>0.2792</v>
      </c>
      <c r="N491" s="6">
        <v>0.1667</v>
      </c>
      <c r="O491" s="6">
        <v>0.3333</v>
      </c>
      <c r="P491" s="6">
        <v>0.25</v>
      </c>
      <c r="Q491" s="7"/>
      <c r="R491" s="7"/>
    </row>
    <row r="492" spans="1:18">
      <c r="A492" s="4" t="s">
        <v>706</v>
      </c>
      <c r="B492" s="4">
        <f t="shared" si="7"/>
        <v>2</v>
      </c>
      <c r="C492" s="4" t="s">
        <v>36</v>
      </c>
      <c r="D492" s="1" t="str">
        <f>IFERROR(VLOOKUP(A492,[1]biopep_DB!$F$2:$J$1654,5,0),)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492" s="1" t="str">
        <f>IFERROR(VLOOKUP(A492,[1]biopep_DB!$F$2:$L$1654,6,0),0)</f>
        <v>10.1021/jf051263l; 10.1007/s00894-010-0862-x; 10.1016/j.jprot.2013.06.023; 10.1016/j.foodchem.2013.05.140</v>
      </c>
      <c r="F492" s="1" t="str">
        <f>IFERROR(VLOOKUP(A492,[1]biopep_DB!$F$2:$L$1654,7,0),0)</f>
        <v>6243277 16448176 20941517 23806758 23871047</v>
      </c>
      <c r="G492" s="5">
        <v>212.21</v>
      </c>
      <c r="H492" s="5">
        <v>6.74</v>
      </c>
      <c r="I492" s="5">
        <v>-0.15</v>
      </c>
      <c r="J492" s="6">
        <v>-1.8</v>
      </c>
      <c r="K492" s="5">
        <v>-46.85</v>
      </c>
      <c r="L492" s="6">
        <v>0</v>
      </c>
      <c r="M492" s="6">
        <v>0.025</v>
      </c>
      <c r="N492" s="6">
        <v>0</v>
      </c>
      <c r="O492" s="6">
        <v>0.5</v>
      </c>
      <c r="P492" s="6">
        <v>0</v>
      </c>
      <c r="Q492" s="7"/>
      <c r="R492" s="7"/>
    </row>
    <row r="493" spans="1:18">
      <c r="A493" s="4" t="s">
        <v>707</v>
      </c>
      <c r="B493" s="4">
        <f t="shared" si="7"/>
        <v>4</v>
      </c>
      <c r="C493" s="4" t="s">
        <v>25</v>
      </c>
      <c r="D493" s="1" t="str">
        <f>IFERROR(VLOOKUP(A493,[1]biopep_DB!$F$2:$J$1654,5,0),)</f>
        <v>Synthetic peptides corresponding to alpha-lactalbumin and beta-lactoglobulin sequences with angiotensin-I-converting enzyme inhibitory activity.</v>
      </c>
      <c r="E493" s="1" t="str">
        <f>IFERROR(VLOOKUP(A493,[1]biopep_DB!$F$2:$L$1654,6,0),0)</f>
        <v>10.1515/bchm3.1996.377.4.259</v>
      </c>
      <c r="F493" s="1" t="str">
        <f>IFERROR(VLOOKUP(A493,[1]biopep_DB!$F$2:$L$1654,7,0),0)</f>
        <v>8737991</v>
      </c>
      <c r="G493" s="5">
        <v>472.54</v>
      </c>
      <c r="H493" s="5">
        <v>6.74</v>
      </c>
      <c r="I493" s="5">
        <v>-0.15</v>
      </c>
      <c r="J493" s="6">
        <v>0.75</v>
      </c>
      <c r="K493" s="5">
        <v>-18.42</v>
      </c>
      <c r="L493" s="6">
        <v>0.5</v>
      </c>
      <c r="M493" s="6">
        <v>-1.9625</v>
      </c>
      <c r="N493" s="6">
        <v>0.25</v>
      </c>
      <c r="O493" s="6">
        <v>0.25</v>
      </c>
      <c r="P493" s="6">
        <v>0.5</v>
      </c>
      <c r="Q493" s="7"/>
      <c r="R493" s="7"/>
    </row>
    <row r="494" spans="1:18">
      <c r="A494" s="4" t="s">
        <v>708</v>
      </c>
      <c r="B494" s="4">
        <f t="shared" si="7"/>
        <v>3</v>
      </c>
      <c r="C494" s="4" t="s">
        <v>36</v>
      </c>
      <c r="D494" s="1" t="str">
        <f>IFERROR(VLOOKUP(A494,[1]biopep_DB!$F$2:$J$1654,5,0),)</f>
        <v>His-His-Leu, an angiotensin I converting enzyme inhibitory peptide derived from Korean soybean paste, exerts antihypertensive activity in vivo.; Structural requirements of Angiotensin I-converting enzyme inhibitory peptides: quantitative structure-activity relationship study of di- and tripeptides.; A molecular keypad lock based on the thiacalix[4]arene of 1,3-alternate conformation.; Vegetable foods: a cheap source of proteins and peptides with antihypertensive, antioxidant, and other less occurrence bioactivities.; Isolation and characterization of peptides with antihypertensive activity in foodstuffs.</v>
      </c>
      <c r="E494" s="1" t="str">
        <f>IFERROR(VLOOKUP(A494,[1]biopep_DB!$F$2:$L$1654,6,0),0)</f>
        <v>10.1021/jf001135r; 10.1021/jf051263l; 10.1021/ol900845g; 10.1016/j.talanta.2012.12.041; 10.1080/10408398.2012.664829</v>
      </c>
      <c r="F494" s="1" t="str">
        <f>IFERROR(VLOOKUP(A494,[1]biopep_DB!$F$2:$L$1654,7,0),0)</f>
        <v>11410001 16448176 19449894 23598136 24915368</v>
      </c>
      <c r="G494" s="5">
        <v>405.45</v>
      </c>
      <c r="H494" s="5">
        <v>6.92</v>
      </c>
      <c r="I494" s="5">
        <v>-0.07</v>
      </c>
      <c r="J494" s="6">
        <v>-0.8667</v>
      </c>
      <c r="K494" s="5">
        <v>6.67</v>
      </c>
      <c r="L494" s="6">
        <v>0.3333</v>
      </c>
      <c r="M494" s="6">
        <v>-0.98</v>
      </c>
      <c r="N494" s="6">
        <v>0.3333</v>
      </c>
      <c r="O494" s="6">
        <v>0</v>
      </c>
      <c r="P494" s="6">
        <v>0.3333</v>
      </c>
      <c r="Q494" s="7"/>
      <c r="R494" s="7"/>
    </row>
    <row r="495" spans="1:18">
      <c r="A495" s="4" t="s">
        <v>709</v>
      </c>
      <c r="B495" s="4">
        <f t="shared" si="7"/>
        <v>3</v>
      </c>
      <c r="C495" s="4" t="s">
        <v>36</v>
      </c>
      <c r="D495" s="1" t="str">
        <f>IFERROR(VLOOKUP(A495,[1]biopep_DB!$F$2:$J$1654,5,0),)</f>
        <v>Structural requirements of Angiotensin I-converting enzyme inhibitory peptides: quantitative structure-activity relationship study of di- and tripeptides.</v>
      </c>
      <c r="E495" s="1" t="str">
        <f>IFERROR(VLOOKUP(A495,[1]biopep_DB!$F$2:$L$1654,6,0),0)</f>
        <v>10.1021/jf051263l</v>
      </c>
      <c r="F495" s="1" t="str">
        <f>IFERROR(VLOOKUP(A495,[1]biopep_DB!$F$2:$L$1654,7,0),0)</f>
        <v>16448176</v>
      </c>
      <c r="G495" s="5">
        <v>393.4</v>
      </c>
      <c r="H495" s="5">
        <v>6.92</v>
      </c>
      <c r="I495" s="5">
        <v>-0.07</v>
      </c>
      <c r="J495" s="6">
        <v>-2.3667</v>
      </c>
      <c r="K495" s="5">
        <v>-18.47</v>
      </c>
      <c r="L495" s="6">
        <v>0</v>
      </c>
      <c r="M495" s="6">
        <v>0.7467</v>
      </c>
      <c r="N495" s="6">
        <v>0</v>
      </c>
      <c r="O495" s="6">
        <v>0</v>
      </c>
      <c r="P495" s="6">
        <v>0.3333</v>
      </c>
      <c r="Q495" s="7"/>
      <c r="R495" s="7"/>
    </row>
    <row r="496" spans="1:18">
      <c r="A496" s="4" t="s">
        <v>710</v>
      </c>
      <c r="B496" s="4">
        <f t="shared" si="7"/>
        <v>3</v>
      </c>
      <c r="C496" s="4" t="s">
        <v>711</v>
      </c>
      <c r="D496" s="1" t="str">
        <f>IFERROR(VLOOKUP(A496,[1]biopep_DB!$F$2:$J$1654,5,0),)</f>
        <v>Potent synthetic analogues of angiotensin-converting enzyme inhibitor derived from Tuna muscle.; Inhibition strength of short peptides derived from an ACE inhibitory peptide.</v>
      </c>
      <c r="E496" s="1" t="str">
        <f>IFERROR(VLOOKUP(A496,[1]biopep_DB!$F$2:$L$1654,6,0),0)</f>
        <v>10.1021/jf202902r</v>
      </c>
      <c r="F496" s="1" t="str">
        <f>IFERROR(VLOOKUP(A496,[1]biopep_DB!$F$2:$L$1654,7,0),0)</f>
        <v>1368734 21923188</v>
      </c>
      <c r="G496" s="5">
        <v>396.48</v>
      </c>
      <c r="H496" s="5">
        <v>8.76</v>
      </c>
      <c r="I496" s="5">
        <v>0.85</v>
      </c>
      <c r="J496" s="6">
        <v>-0.8667</v>
      </c>
      <c r="K496" s="5">
        <v>124.83</v>
      </c>
      <c r="L496" s="6">
        <v>0.3333</v>
      </c>
      <c r="M496" s="6">
        <v>-0.7833</v>
      </c>
      <c r="N496" s="6">
        <v>0.3333</v>
      </c>
      <c r="O496" s="6">
        <v>0</v>
      </c>
      <c r="P496" s="6">
        <v>0.3333</v>
      </c>
      <c r="Q496" s="7"/>
      <c r="R496" s="7"/>
    </row>
    <row r="497" spans="1:18">
      <c r="A497" s="4" t="s">
        <v>712</v>
      </c>
      <c r="B497" s="4">
        <f t="shared" si="7"/>
        <v>4</v>
      </c>
      <c r="C497" s="4" t="s">
        <v>711</v>
      </c>
      <c r="D497" s="1" t="str">
        <f>IFERROR(VLOOKUP(A497,[1]biopep_DB!$F$2:$J$1654,5,0),)</f>
        <v>Potent synthetic analogues of angiotensin-converting enzyme inhibitor derived from Tuna muscle.</v>
      </c>
      <c r="E497" s="1" t="str">
        <f>IFERROR(VLOOKUP(A497,[1]biopep_DB!$F$2:$L$1654,6,0),0)</f>
        <v/>
      </c>
      <c r="F497" s="1" t="str">
        <f>IFERROR(VLOOKUP(A497,[1]biopep_DB!$F$2:$L$1654,7,0),0)</f>
        <v>1368734</v>
      </c>
      <c r="G497" s="5">
        <v>582.69</v>
      </c>
      <c r="H497" s="5">
        <v>8.76</v>
      </c>
      <c r="I497" s="5">
        <v>0.85</v>
      </c>
      <c r="J497" s="6">
        <v>-0.875</v>
      </c>
      <c r="K497" s="5">
        <v>96.12</v>
      </c>
      <c r="L497" s="6">
        <v>0.5</v>
      </c>
      <c r="M497" s="6">
        <v>-1.17</v>
      </c>
      <c r="N497" s="6">
        <v>0.25</v>
      </c>
      <c r="O497" s="6">
        <v>0</v>
      </c>
      <c r="P497" s="6">
        <v>0.5</v>
      </c>
      <c r="Q497" s="7"/>
      <c r="R497" s="7"/>
    </row>
    <row r="498" spans="1:18">
      <c r="A498" s="4" t="s">
        <v>713</v>
      </c>
      <c r="B498" s="4">
        <f t="shared" si="7"/>
        <v>6</v>
      </c>
      <c r="C498" s="4" t="s">
        <v>714</v>
      </c>
      <c r="D498" s="1" t="str">
        <f>IFERROR(VLOOKUP(A498,[1]biopep_DB!$F$2:$J$1654,5,0),)</f>
        <v>Potent synthetic analogues of angiotensin-converting enzyme inhibitor derived from Tuna muscle.</v>
      </c>
      <c r="E498" s="1" t="str">
        <f>IFERROR(VLOOKUP(A498,[1]biopep_DB!$F$2:$L$1654,6,0),0)</f>
        <v/>
      </c>
      <c r="F498" s="1" t="str">
        <f>IFERROR(VLOOKUP(A498,[1]biopep_DB!$F$2:$L$1654,7,0),0)</f>
        <v>1368734</v>
      </c>
      <c r="G498" s="5">
        <v>754.83</v>
      </c>
      <c r="H498" s="5">
        <v>6.75</v>
      </c>
      <c r="I498" s="5">
        <v>-0.15</v>
      </c>
      <c r="J498" s="6">
        <v>-1.2333</v>
      </c>
      <c r="K498" s="5">
        <v>50.13</v>
      </c>
      <c r="L498" s="6">
        <v>0.3333</v>
      </c>
      <c r="M498" s="6">
        <v>-0.6567</v>
      </c>
      <c r="N498" s="6">
        <v>0.1667</v>
      </c>
      <c r="O498" s="6">
        <v>0.3333</v>
      </c>
      <c r="P498" s="6">
        <v>0.3333</v>
      </c>
      <c r="Q498" s="7"/>
      <c r="R498" s="7"/>
    </row>
    <row r="499" spans="1:18">
      <c r="A499" s="4" t="s">
        <v>715</v>
      </c>
      <c r="B499" s="4">
        <f t="shared" si="7"/>
        <v>3</v>
      </c>
      <c r="C499" s="4" t="s">
        <v>36</v>
      </c>
      <c r="D499" s="1" t="str">
        <f>IFERROR(VLOOKUP(A499,[1]biopep_DB!$F$2:$J$1654,5,0),)</f>
        <v>Structural requirements of Angiotensin I-converting enzyme inhibitory peptides: quantitative structure-activity relationship study of di- and tripeptides.; Bioactive peptides in amaranth (Amaranthus hypochondriacus) seed.; Quality and acceptability of a set-type yogurt made from camel milk.</v>
      </c>
      <c r="E499" s="1" t="str">
        <f>IFERROR(VLOOKUP(A499,[1]biopep_DB!$F$2:$L$1654,6,0),0)</f>
        <v>10.1021/jf051263l; 10.1021/jf072911z; 10.3168/jds.2008-1408</v>
      </c>
      <c r="F499" s="1" t="str">
        <f>IFERROR(VLOOKUP(A499,[1]biopep_DB!$F$2:$L$1654,7,0),0)</f>
        <v>16448176 18211015 19233778</v>
      </c>
      <c r="G499" s="5">
        <v>424.5</v>
      </c>
      <c r="H499" s="5">
        <v>9.76</v>
      </c>
      <c r="I499" s="5">
        <v>0.85</v>
      </c>
      <c r="J499" s="6">
        <v>-1.0667</v>
      </c>
      <c r="K499" s="5">
        <v>153.13</v>
      </c>
      <c r="L499" s="6">
        <v>0.3333</v>
      </c>
      <c r="M499" s="6">
        <v>-0.4033</v>
      </c>
      <c r="N499" s="6">
        <v>0</v>
      </c>
      <c r="O499" s="6">
        <v>0</v>
      </c>
      <c r="P499" s="6">
        <v>0.3333</v>
      </c>
      <c r="Q499" s="7"/>
      <c r="R499" s="7"/>
    </row>
    <row r="500" spans="1:18">
      <c r="A500" s="4" t="s">
        <v>716</v>
      </c>
      <c r="B500" s="4">
        <f t="shared" si="7"/>
        <v>4</v>
      </c>
      <c r="C500" s="4"/>
      <c r="D500" s="1" t="str">
        <f>IFERROR(VLOOKUP(A500,[1]biopep_DB!$F$2:$J$1654,5,0),)</f>
        <v>Quality and acceptability of a set-type yogurt made from camel milk.; What are the ideal properties for functional food peptides with antihypertensive effect? A computational peptidology approach.</v>
      </c>
      <c r="E500" s="1" t="str">
        <f>IFERROR(VLOOKUP(A500,[1]biopep_DB!$F$2:$L$1654,6,0),0)</f>
        <v>10.3168/jds.2008-1408; 10.1016/j.foodchem.2013.05.140</v>
      </c>
      <c r="F500" s="1" t="str">
        <f>IFERROR(VLOOKUP(A500,[1]biopep_DB!$F$2:$L$1654,7,0),0)</f>
        <v>19233778 23871047</v>
      </c>
      <c r="G500" s="5">
        <v>537.66</v>
      </c>
      <c r="H500" s="5">
        <v>9.76</v>
      </c>
      <c r="I500" s="5">
        <v>0.85</v>
      </c>
      <c r="J500" s="6">
        <v>0.15</v>
      </c>
      <c r="K500" s="5">
        <v>117.35</v>
      </c>
      <c r="L500" s="6">
        <v>0.5</v>
      </c>
      <c r="M500" s="6">
        <v>-1.5325</v>
      </c>
      <c r="N500" s="6">
        <v>0.25</v>
      </c>
      <c r="O500" s="6">
        <v>0</v>
      </c>
      <c r="P500" s="6">
        <v>0.5</v>
      </c>
      <c r="Q500" s="7"/>
      <c r="R500" s="7"/>
    </row>
    <row r="501" spans="1:18">
      <c r="A501" s="4" t="s">
        <v>717</v>
      </c>
      <c r="B501" s="4">
        <f t="shared" si="7"/>
        <v>2</v>
      </c>
      <c r="C501" s="4" t="s">
        <v>62</v>
      </c>
      <c r="D501" s="1" t="str">
        <f>IFERROR(VLOOKUP(A501,[1]biopep_DB!$F$2:$J$1654,5,0),)</f>
        <v>Application of at-line two-dimensional liquid chromatography-mass spectrometry for identification of small hydrophilic angiotensin I-inhibiting peptides in milk hydrolysates.</v>
      </c>
      <c r="E501" s="1" t="str">
        <f>IFERROR(VLOOKUP(A501,[1]biopep_DB!$F$2:$L$1654,6,0),0)</f>
        <v>10.1007/s00216-008-1990-3</v>
      </c>
      <c r="F501" s="1" t="str">
        <f>IFERROR(VLOOKUP(A501,[1]biopep_DB!$F$2:$L$1654,7,0),0)</f>
        <v>18392815</v>
      </c>
      <c r="G501" s="5">
        <v>283.33</v>
      </c>
      <c r="H501" s="5">
        <v>8.76</v>
      </c>
      <c r="I501" s="5">
        <v>0.85</v>
      </c>
      <c r="J501" s="6">
        <v>-3.55</v>
      </c>
      <c r="K501" s="5">
        <v>123.4</v>
      </c>
      <c r="L501" s="6">
        <v>0</v>
      </c>
      <c r="M501" s="6">
        <v>1.285</v>
      </c>
      <c r="N501" s="6">
        <v>0.5</v>
      </c>
      <c r="O501" s="6">
        <v>0</v>
      </c>
      <c r="P501" s="6">
        <v>0</v>
      </c>
      <c r="Q501" s="7"/>
      <c r="R501" s="7"/>
    </row>
    <row r="502" spans="1:18">
      <c r="A502" s="4" t="s">
        <v>718</v>
      </c>
      <c r="B502" s="4">
        <f t="shared" si="7"/>
        <v>8</v>
      </c>
      <c r="C502" s="4"/>
      <c r="G502" s="5">
        <v>1013.21</v>
      </c>
      <c r="H502" s="5">
        <v>8.6</v>
      </c>
      <c r="I502" s="5">
        <v>0.85</v>
      </c>
      <c r="J502" s="6">
        <v>-1.625</v>
      </c>
      <c r="K502" s="5">
        <v>141.43</v>
      </c>
      <c r="L502" s="6">
        <v>0.5</v>
      </c>
      <c r="M502" s="6">
        <v>0.0575</v>
      </c>
      <c r="N502" s="6">
        <v>0.5</v>
      </c>
      <c r="O502" s="6">
        <v>0.25</v>
      </c>
      <c r="P502" s="6">
        <v>0.125</v>
      </c>
      <c r="Q502" s="7"/>
      <c r="R502" s="7"/>
    </row>
    <row r="503" spans="1:18">
      <c r="A503" s="4" t="s">
        <v>719</v>
      </c>
      <c r="B503" s="4">
        <f t="shared" si="7"/>
        <v>14</v>
      </c>
      <c r="C503" s="4"/>
      <c r="D503" s="1" t="str">
        <f>IFERROR(VLOOKUP(A503,[1]biopep_DB!$F$2:$J$1654,5,0),)</f>
        <v>Identification of angiotensin-I-converting enzyme inhibitory peptides derived from sodium caseinate hydrolysates produced by Lactobacillus helveticus NCC 2765.</v>
      </c>
      <c r="E503" s="1" t="str">
        <f>IFERROR(VLOOKUP(A503,[1]biopep_DB!$F$2:$L$1654,6,0),0)</f>
        <v>10.1021/jf049510t</v>
      </c>
      <c r="F503" s="1" t="str">
        <f>IFERROR(VLOOKUP(A503,[1]biopep_DB!$F$2:$L$1654,7,0),0)</f>
        <v>15537298</v>
      </c>
      <c r="G503" s="5">
        <v>1746.04</v>
      </c>
      <c r="H503" s="5">
        <v>6.76</v>
      </c>
      <c r="I503" s="5">
        <v>-0.15</v>
      </c>
      <c r="J503" s="6">
        <v>-1</v>
      </c>
      <c r="K503" s="5">
        <v>135.19</v>
      </c>
      <c r="L503" s="6">
        <v>0.5714</v>
      </c>
      <c r="M503" s="6">
        <v>-0.3414</v>
      </c>
      <c r="N503" s="6">
        <v>0.3571</v>
      </c>
      <c r="O503" s="6">
        <v>0.2857</v>
      </c>
      <c r="P503" s="6">
        <v>0.2857</v>
      </c>
      <c r="Q503" s="7"/>
      <c r="R503" s="7"/>
    </row>
    <row r="504" spans="1:18">
      <c r="A504" s="4" t="s">
        <v>720</v>
      </c>
      <c r="B504" s="4">
        <f t="shared" si="7"/>
        <v>2</v>
      </c>
      <c r="C504" s="4" t="s">
        <v>721</v>
      </c>
      <c r="D504" s="1" t="str">
        <f>IFERROR(VLOOKUP(A504,[1]biopep_DB!$F$2:$J$1654,5,0),)</f>
        <v>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504" s="1" t="str">
        <f>IFERROR(VLOOKUP(A504,[1]biopep_DB!$F$2:$L$1654,6,0),0)</f>
        <v>10.1002/psc.892; 10.1007/s00894-010-0862-x; 10.1016/j.jprot.2013.06.023; 10.1016/j.foodchem.2013.05.140</v>
      </c>
      <c r="F504" s="1" t="str">
        <f>IFERROR(VLOOKUP(A504,[1]biopep_DB!$F$2:$L$1654,7,0),0)</f>
        <v>17654623 20941517 23806758 23871047</v>
      </c>
      <c r="G504" s="5">
        <v>268.31</v>
      </c>
      <c r="H504" s="5">
        <v>6.74</v>
      </c>
      <c r="I504" s="5">
        <v>-0.15</v>
      </c>
      <c r="J504" s="6">
        <v>0.3</v>
      </c>
      <c r="K504" s="5">
        <v>5</v>
      </c>
      <c r="L504" s="6">
        <v>0.5</v>
      </c>
      <c r="M504" s="6">
        <v>-1.965</v>
      </c>
      <c r="N504" s="6">
        <v>0.5</v>
      </c>
      <c r="O504" s="6">
        <v>0</v>
      </c>
      <c r="P504" s="6">
        <v>0.5</v>
      </c>
      <c r="Q504" s="7"/>
      <c r="R504" s="7"/>
    </row>
    <row r="505" spans="1:18">
      <c r="A505" s="4" t="s">
        <v>722</v>
      </c>
      <c r="B505" s="4">
        <f t="shared" si="7"/>
        <v>12</v>
      </c>
      <c r="C505" s="4"/>
      <c r="G505" s="5">
        <v>1291.5</v>
      </c>
      <c r="H505" s="5">
        <v>8.6</v>
      </c>
      <c r="I505" s="5">
        <v>0.85</v>
      </c>
      <c r="J505" s="6">
        <v>-0.775</v>
      </c>
      <c r="K505" s="5">
        <v>34.19</v>
      </c>
      <c r="L505" s="6">
        <v>0.5</v>
      </c>
      <c r="M505" s="6">
        <v>-0.6658</v>
      </c>
      <c r="N505" s="6">
        <v>0.25</v>
      </c>
      <c r="O505" s="6">
        <v>0.5</v>
      </c>
      <c r="P505" s="6">
        <v>0.25</v>
      </c>
      <c r="Q505" s="7"/>
      <c r="R505" s="7"/>
    </row>
    <row r="506" spans="1:18">
      <c r="A506" s="4" t="s">
        <v>723</v>
      </c>
      <c r="B506" s="4">
        <f t="shared" si="7"/>
        <v>3</v>
      </c>
      <c r="C506" s="4" t="s">
        <v>36</v>
      </c>
      <c r="D506" s="1" t="str">
        <f>IFERROR(VLOOKUP(A506,[1]biopep_DB!$F$2:$J$1654,5,0),)</f>
        <v>Structural requirements of Angiotensin I-converting enzyme inhibitory peptides: quantitative structure-activity relationship study of di- and tripeptides.</v>
      </c>
      <c r="E506" s="1" t="str">
        <f>IFERROR(VLOOKUP(A506,[1]biopep_DB!$F$2:$L$1654,6,0),0)</f>
        <v>10.1021/jf051263l</v>
      </c>
      <c r="F506" s="1" t="str">
        <f>IFERROR(VLOOKUP(A506,[1]biopep_DB!$F$2:$L$1654,7,0),0)</f>
        <v>16448176</v>
      </c>
      <c r="G506" s="5">
        <v>381.47</v>
      </c>
      <c r="H506" s="5">
        <v>6.74</v>
      </c>
      <c r="I506" s="5">
        <v>-0.15</v>
      </c>
      <c r="J506" s="6">
        <v>1.4667</v>
      </c>
      <c r="K506" s="5">
        <v>6.67</v>
      </c>
      <c r="L506" s="6">
        <v>0.6667</v>
      </c>
      <c r="M506" s="6">
        <v>-2.95</v>
      </c>
      <c r="N506" s="6">
        <v>0.6667</v>
      </c>
      <c r="O506" s="6">
        <v>0</v>
      </c>
      <c r="P506" s="6">
        <v>0.6667</v>
      </c>
      <c r="Q506" s="7"/>
      <c r="R506" s="7"/>
    </row>
    <row r="507" spans="1:18">
      <c r="A507" s="4" t="s">
        <v>724</v>
      </c>
      <c r="B507" s="4">
        <f t="shared" si="7"/>
        <v>8</v>
      </c>
      <c r="C507" s="4"/>
      <c r="G507" s="5">
        <v>961.03</v>
      </c>
      <c r="H507" s="5">
        <v>5.98</v>
      </c>
      <c r="I507" s="5">
        <v>-1.06</v>
      </c>
      <c r="J507" s="6">
        <v>-0.5875</v>
      </c>
      <c r="K507" s="5">
        <v>8.75</v>
      </c>
      <c r="L507" s="6">
        <v>0.375</v>
      </c>
      <c r="M507" s="6">
        <v>-0.7675</v>
      </c>
      <c r="N507" s="6">
        <v>0.25</v>
      </c>
      <c r="O507" s="6">
        <v>0.25</v>
      </c>
      <c r="P507" s="6">
        <v>0.375</v>
      </c>
      <c r="Q507" s="7"/>
      <c r="R507" s="7"/>
    </row>
    <row r="508" spans="1:18">
      <c r="A508" s="4" t="s">
        <v>725</v>
      </c>
      <c r="B508" s="4">
        <f t="shared" si="7"/>
        <v>5</v>
      </c>
      <c r="C508" s="4" t="s">
        <v>726</v>
      </c>
      <c r="D508" s="1" t="str">
        <f>IFERROR(VLOOKUP(A508,[1]biopep_DB!$F$2:$J$1654,5,0),)</f>
        <v>Inhibition of angiotensin-converting enzyme by synthetic peptide fragments of various beta-caseins.; Identification of angiotensin-I-converting enzyme inhibitory peptides derived from sodium caseinate hydrolysates produced by Lactobacillus helveticus NCC 2765.; Changes in arterial blood pressure after single oral administration of milk-casein-derived peptides in spontaneously hypertensive rats.; The potential role of milk-derived peptides in cardiovascular disease.; Antihypertensive peptides from food proteins: a review.; A new QSAR model, for angiotensin I-converting enzyme inhibitory oligopeptides.</v>
      </c>
      <c r="E508" s="1" t="str">
        <f>IFERROR(VLOOKUP(A508,[1]biopep_DB!$F$2:$L$1654,6,0),0)</f>
        <v>10.1021/jf049510t; 10.1002/mnfr.200900448; 10.1039/c1fo10017c; 10.1039/c2fo10192k; 10.1016/j.foodchem.2012.09.092</v>
      </c>
      <c r="F508" s="1" t="str">
        <f>IFERROR(VLOOKUP(A508,[1]biopep_DB!$F$2:$L$1654,7,0),0)</f>
        <v>1368548 15537298 20397194 21779574 22249830 23194537</v>
      </c>
      <c r="G508" s="5">
        <v>575.7</v>
      </c>
      <c r="H508" s="5">
        <v>6.74</v>
      </c>
      <c r="I508" s="5">
        <v>-0.15</v>
      </c>
      <c r="J508" s="6">
        <v>0.24</v>
      </c>
      <c r="K508" s="5">
        <v>85.04</v>
      </c>
      <c r="L508" s="6">
        <v>0.8</v>
      </c>
      <c r="M508" s="6">
        <v>-1.77</v>
      </c>
      <c r="N508" s="6">
        <v>0.4</v>
      </c>
      <c r="O508" s="6">
        <v>0.4</v>
      </c>
      <c r="P508" s="6">
        <v>0.4</v>
      </c>
      <c r="Q508" s="7"/>
      <c r="R508" s="7"/>
    </row>
    <row r="509" spans="1:18">
      <c r="A509" s="4" t="s">
        <v>727</v>
      </c>
      <c r="B509" s="4">
        <f t="shared" si="7"/>
        <v>6</v>
      </c>
      <c r="C509" s="4"/>
      <c r="D509" s="1" t="str">
        <f>IFERROR(VLOOKUP(A509,[1]biopep_DB!$F$2:$J$1654,5,0),)</f>
        <v/>
      </c>
      <c r="E509" s="1" t="str">
        <f>IFERROR(VLOOKUP(A509,[1]biopep_DB!$F$2:$L$1654,6,0),0)</f>
        <v/>
      </c>
      <c r="F509" s="1" t="str">
        <f>IFERROR(VLOOKUP(A509,[1]biopep_DB!$F$2:$L$1654,7,0),0)</f>
        <v/>
      </c>
      <c r="G509" s="5">
        <v>688.86</v>
      </c>
      <c r="H509" s="5">
        <v>6.74</v>
      </c>
      <c r="I509" s="5">
        <v>-0.15</v>
      </c>
      <c r="J509" s="6">
        <v>0.8333</v>
      </c>
      <c r="K509" s="5">
        <v>72.53</v>
      </c>
      <c r="L509" s="6">
        <v>0.8333</v>
      </c>
      <c r="M509" s="6">
        <v>-2.295</v>
      </c>
      <c r="N509" s="6">
        <v>0.5</v>
      </c>
      <c r="O509" s="6">
        <v>0.3333</v>
      </c>
      <c r="P509" s="6">
        <v>0.5</v>
      </c>
      <c r="Q509" s="7"/>
      <c r="R509" s="7"/>
    </row>
    <row r="510" spans="1:18">
      <c r="A510" s="4" t="s">
        <v>728</v>
      </c>
      <c r="B510" s="4">
        <f t="shared" si="7"/>
        <v>7</v>
      </c>
      <c r="C510" s="4" t="s">
        <v>729</v>
      </c>
      <c r="D510" s="1" t="str">
        <f>IFERROR(VLOOKUP(A510,[1]biopep_DB!$F$2:$J$1654,5,0),)</f>
        <v>A new QSAR model, for angiotensin I-converting enzyme inhibitory oligopeptides.</v>
      </c>
      <c r="E510" s="1" t="str">
        <f>IFERROR(VLOOKUP(A510,[1]biopep_DB!$F$2:$L$1654,6,0),0)</f>
        <v>10.1016/j.foodchem.2012.09.092</v>
      </c>
      <c r="F510" s="1" t="str">
        <f>IFERROR(VLOOKUP(A510,[1]biopep_DB!$F$2:$L$1654,7,0),0)</f>
        <v>23194537</v>
      </c>
      <c r="G510" s="5">
        <v>802.02</v>
      </c>
      <c r="H510" s="5">
        <v>6.74</v>
      </c>
      <c r="I510" s="5">
        <v>-0.15</v>
      </c>
      <c r="J510" s="6">
        <v>1.2571</v>
      </c>
      <c r="K510" s="5">
        <v>63.6</v>
      </c>
      <c r="L510" s="6">
        <v>0.8571</v>
      </c>
      <c r="M510" s="6">
        <v>-2.67</v>
      </c>
      <c r="N510" s="6">
        <v>0.5714</v>
      </c>
      <c r="O510" s="6">
        <v>0.2857</v>
      </c>
      <c r="P510" s="6">
        <v>0.5714</v>
      </c>
      <c r="Q510" s="7"/>
      <c r="R510" s="7"/>
    </row>
    <row r="511" spans="1:18">
      <c r="A511" s="4" t="s">
        <v>730</v>
      </c>
      <c r="B511" s="4">
        <f t="shared" si="7"/>
        <v>6</v>
      </c>
      <c r="C511" s="4" t="s">
        <v>311</v>
      </c>
      <c r="D511" s="1" t="str">
        <f>IFERROR(VLOOKUP(A511,[1]biopep_DB!$F$2:$J$1654,5,0),)</f>
        <v/>
      </c>
      <c r="E511" s="1" t="str">
        <f>IFERROR(VLOOKUP(A511,[1]biopep_DB!$F$2:$L$1654,6,0),0)</f>
        <v/>
      </c>
      <c r="F511" s="1" t="str">
        <f>IFERROR(VLOOKUP(A511,[1]biopep_DB!$F$2:$L$1654,7,0),0)</f>
        <v/>
      </c>
      <c r="G511" s="5">
        <v>658.79</v>
      </c>
      <c r="H511" s="5">
        <v>6.74</v>
      </c>
      <c r="I511" s="5">
        <v>-0.15</v>
      </c>
      <c r="J511" s="6">
        <v>0</v>
      </c>
      <c r="K511" s="5">
        <v>136.73</v>
      </c>
      <c r="L511" s="6">
        <v>0.8333</v>
      </c>
      <c r="M511" s="6">
        <v>-1.3283</v>
      </c>
      <c r="N511" s="6">
        <v>0.1667</v>
      </c>
      <c r="O511" s="6">
        <v>0.5</v>
      </c>
      <c r="P511" s="6">
        <v>0.3333</v>
      </c>
      <c r="Q511" s="7"/>
      <c r="R511" s="7"/>
    </row>
    <row r="512" spans="1:18">
      <c r="A512" s="4" t="s">
        <v>731</v>
      </c>
      <c r="B512" s="4">
        <f t="shared" si="7"/>
        <v>2</v>
      </c>
      <c r="C512" s="4" t="s">
        <v>62</v>
      </c>
      <c r="D512" s="1" t="str">
        <f>IFERROR(VLOOKUP(A512,[1]biopep_DB!$F$2:$J$1654,5,0),)</f>
        <v>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
      <c r="E512" s="1" t="str">
        <f>IFERROR(VLOOKUP(A512,[1]biopep_DB!$F$2:$L$1654,6,0),0)</f>
        <v>10.1007/s00216-008-1990-3; 10.1016/j.jprot.2013.06.023</v>
      </c>
      <c r="F512" s="1" t="str">
        <f>IFERROR(VLOOKUP(A512,[1]biopep_DB!$F$2:$L$1654,7,0),0)</f>
        <v>18392815 23806758</v>
      </c>
      <c r="G512" s="5">
        <v>252.27</v>
      </c>
      <c r="H512" s="5">
        <v>6.74</v>
      </c>
      <c r="I512" s="5">
        <v>-0.15</v>
      </c>
      <c r="J512" s="6">
        <v>-2.4</v>
      </c>
      <c r="K512" s="5">
        <v>-9.4</v>
      </c>
      <c r="L512" s="6">
        <v>0.5</v>
      </c>
      <c r="M512" s="6">
        <v>0.495</v>
      </c>
      <c r="N512" s="6">
        <v>0</v>
      </c>
      <c r="O512" s="6">
        <v>0.5</v>
      </c>
      <c r="P512" s="6">
        <v>0</v>
      </c>
      <c r="Q512" s="7"/>
      <c r="R512" s="7"/>
    </row>
    <row r="513" spans="1:18">
      <c r="A513" s="4" t="s">
        <v>732</v>
      </c>
      <c r="B513" s="4">
        <f t="shared" si="7"/>
        <v>4</v>
      </c>
      <c r="C513" s="4"/>
      <c r="D513" s="1" t="str">
        <f>IFERROR(VLOOKUP(A513,[1]biopep_DB!$F$2:$J$1654,5,0),)</f>
        <v>What are the ideal properties for functional food peptides with antihypertensive effect? A computational peptidology approach.</v>
      </c>
      <c r="E513" s="1" t="str">
        <f>IFERROR(VLOOKUP(A513,[1]biopep_DB!$F$2:$L$1654,6,0),0)</f>
        <v>10.1016/j.foodchem.2013.05.140</v>
      </c>
      <c r="F513" s="1" t="str">
        <f>IFERROR(VLOOKUP(A513,[1]biopep_DB!$F$2:$L$1654,7,0),0)</f>
        <v>23871047</v>
      </c>
      <c r="G513" s="5">
        <v>470.52</v>
      </c>
      <c r="H513" s="5">
        <v>6.74</v>
      </c>
      <c r="I513" s="5">
        <v>-0.15</v>
      </c>
      <c r="J513" s="6">
        <v>-0.05</v>
      </c>
      <c r="K513" s="5">
        <v>48.45</v>
      </c>
      <c r="L513" s="6">
        <v>0.75</v>
      </c>
      <c r="M513" s="6">
        <v>-0.95</v>
      </c>
      <c r="N513" s="6">
        <v>0.25</v>
      </c>
      <c r="O513" s="6">
        <v>0.25</v>
      </c>
      <c r="P513" s="6">
        <v>0.25</v>
      </c>
      <c r="Q513" s="7"/>
      <c r="R513" s="7"/>
    </row>
    <row r="514" spans="1:18">
      <c r="A514" s="4" t="s">
        <v>733</v>
      </c>
      <c r="B514" s="4">
        <f t="shared" si="7"/>
        <v>5</v>
      </c>
      <c r="C514" s="4" t="s">
        <v>734</v>
      </c>
      <c r="D514" s="1" t="str">
        <f>IFERROR(VLOOKUP(A514,[1]biopep_DB!$F$2:$J$1654,5,0),)</f>
        <v>Angiotensin-converting enzyme inhibitory activity of peptides derived from caprine kefir.</v>
      </c>
      <c r="E514" s="1" t="str">
        <f>IFERROR(VLOOKUP(A514,[1]biopep_DB!$F$2:$L$1654,6,0),0)</f>
        <v>10.3168/jds.S0022-0302(05)73032-0</v>
      </c>
      <c r="F514" s="1" t="str">
        <f>IFERROR(VLOOKUP(A514,[1]biopep_DB!$F$2:$L$1654,7,0),0)</f>
        <v>16162521</v>
      </c>
      <c r="G514" s="5">
        <v>598.65</v>
      </c>
      <c r="H514" s="5">
        <v>6.74</v>
      </c>
      <c r="I514" s="5">
        <v>-0.15</v>
      </c>
      <c r="J514" s="6">
        <v>-0.74</v>
      </c>
      <c r="K514" s="5">
        <v>40.76</v>
      </c>
      <c r="L514" s="6">
        <v>0.6</v>
      </c>
      <c r="M514" s="6">
        <v>-0.488</v>
      </c>
      <c r="N514" s="6">
        <v>0.2</v>
      </c>
      <c r="O514" s="6">
        <v>0.2</v>
      </c>
      <c r="P514" s="6">
        <v>0.2</v>
      </c>
      <c r="Q514" s="7"/>
      <c r="R514" s="7"/>
    </row>
    <row r="515" spans="1:18">
      <c r="A515" s="4" t="s">
        <v>735</v>
      </c>
      <c r="B515" s="4">
        <f t="shared" si="7"/>
        <v>7</v>
      </c>
      <c r="C515" s="4"/>
      <c r="D515" s="1" t="str">
        <f>IFERROR(VLOOKUP(A515,[1]biopep_DB!$F$2:$J$1654,5,0),)</f>
        <v>Enterococcus faecalis strains from food, environmental, and clinical origin produce ACE-inhibitory peptides and other bioactive peptides during growth in bovine skim milk.</v>
      </c>
      <c r="E515" s="1" t="str">
        <f>IFERROR(VLOOKUP(A515,[1]biopep_DB!$F$2:$L$1654,6,0),0)</f>
        <v>10.1016/j.ijfoodmicro.2013.06.019</v>
      </c>
      <c r="F515" s="1" t="str">
        <f>IFERROR(VLOOKUP(A515,[1]biopep_DB!$F$2:$L$1654,7,0),0)</f>
        <v>23845432</v>
      </c>
      <c r="G515" s="5">
        <v>827.88</v>
      </c>
      <c r="H515" s="5">
        <v>6.74</v>
      </c>
      <c r="I515" s="5">
        <v>-0.15</v>
      </c>
      <c r="J515" s="6">
        <v>-1.1286</v>
      </c>
      <c r="K515" s="5">
        <v>21.2</v>
      </c>
      <c r="L515" s="6">
        <v>0.4286</v>
      </c>
      <c r="M515" s="6">
        <v>-0.1171</v>
      </c>
      <c r="N515" s="6">
        <v>0.1429</v>
      </c>
      <c r="O515" s="6">
        <v>0.1429</v>
      </c>
      <c r="P515" s="6">
        <v>0.2857</v>
      </c>
      <c r="Q515" s="7"/>
      <c r="R515" s="7"/>
    </row>
    <row r="516" spans="1:18">
      <c r="A516" s="4" t="s">
        <v>736</v>
      </c>
      <c r="B516" s="4">
        <f t="shared" si="7"/>
        <v>12</v>
      </c>
      <c r="C516" s="4" t="s">
        <v>737</v>
      </c>
      <c r="D516" s="1" t="str">
        <f>IFERROR(VLOOKUP(A516,[1]biopep_DB!$F$2:$J$1654,5,0),)</f>
        <v>Inhibition of angiotensin-converting enzyme by synthetic peptide fragments of various beta-caseins.; Evaluation of the allergenicity of goat milk, cow milk, and their lactosera in a guinea pig model.</v>
      </c>
      <c r="E516" s="1" t="str">
        <f>IFERROR(VLOOKUP(A516,[1]biopep_DB!$F$2:$L$1654,6,0),0)</f>
        <v>10.3168/jds.2008-1125</v>
      </c>
      <c r="F516" s="1" t="str">
        <f>IFERROR(VLOOKUP(A516,[1]biopep_DB!$F$2:$L$1654,7,0),0)</f>
        <v>1368548 19233776</v>
      </c>
      <c r="G516" s="5">
        <v>1387.54</v>
      </c>
      <c r="H516" s="5">
        <v>6.74</v>
      </c>
      <c r="I516" s="5">
        <v>-0.15</v>
      </c>
      <c r="J516" s="6">
        <v>-0.3</v>
      </c>
      <c r="K516" s="5">
        <v>57.15</v>
      </c>
      <c r="L516" s="6">
        <v>0.5</v>
      </c>
      <c r="M516" s="6">
        <v>-0.7333</v>
      </c>
      <c r="N516" s="6">
        <v>0.1667</v>
      </c>
      <c r="O516" s="6">
        <v>0.25</v>
      </c>
      <c r="P516" s="6">
        <v>0.4167</v>
      </c>
      <c r="Q516" s="7"/>
      <c r="R516" s="7"/>
    </row>
    <row r="517" spans="1:18">
      <c r="A517" s="4" t="s">
        <v>738</v>
      </c>
      <c r="B517" s="4">
        <f t="shared" si="7"/>
        <v>8</v>
      </c>
      <c r="C517" s="4" t="s">
        <v>739</v>
      </c>
      <c r="D517" s="1" t="str">
        <f>IFERROR(VLOOKUP(A517,[1]biopep_DB!$F$2:$J$1654,5,0),)</f>
        <v>Antihypertensive peptides: production, bioavailability and incorporation into foods.; Antihypertensive peptides from food proteins: a review.</v>
      </c>
      <c r="E517" s="1" t="str">
        <f>IFERROR(VLOOKUP(A517,[1]biopep_DB!$F$2:$L$1654,6,0),0)</f>
        <v>10.1016/j.cis.2010.11.001; 10.1039/c2fo10192k</v>
      </c>
      <c r="F517" s="1" t="str">
        <f>IFERROR(VLOOKUP(A517,[1]biopep_DB!$F$2:$L$1654,7,0),0)</f>
        <v>21185549 22249830</v>
      </c>
      <c r="G517" s="5">
        <v>971.07</v>
      </c>
      <c r="H517" s="5">
        <v>7.02</v>
      </c>
      <c r="I517" s="5">
        <v>0.02</v>
      </c>
      <c r="J517" s="6">
        <v>-0.875</v>
      </c>
      <c r="K517" s="5">
        <v>1.55</v>
      </c>
      <c r="L517" s="6">
        <v>0.5</v>
      </c>
      <c r="M517" s="6">
        <v>-0.5112</v>
      </c>
      <c r="N517" s="6">
        <v>0.125</v>
      </c>
      <c r="O517" s="6">
        <v>0.375</v>
      </c>
      <c r="P517" s="6">
        <v>0.25</v>
      </c>
      <c r="Q517" s="7"/>
      <c r="R517" s="7"/>
    </row>
    <row r="518" spans="1:18">
      <c r="A518" s="4" t="s">
        <v>740</v>
      </c>
      <c r="B518" s="4">
        <f t="shared" ref="B518:B581" si="8">LEN(A518)</f>
        <v>5</v>
      </c>
      <c r="C518" s="4" t="s">
        <v>741</v>
      </c>
      <c r="D518" s="1" t="str">
        <f>IFERROR(VLOOKUP(A518,[1]biopep_DB!$F$2:$J$1654,5,0),)</f>
        <v>Angiotensin I-converting-enzyme-inhibitory and antibacterial peptides from Lactobacillus helveticus PR4 proteinase-hydrolyzed caseins of milk from six species.; A new QSAR model, for angiotensin I-converting enzyme inhibitory oligopeptides.</v>
      </c>
      <c r="E518" s="1" t="str">
        <f>IFERROR(VLOOKUP(A518,[1]biopep_DB!$F$2:$L$1654,6,0),0)</f>
        <v>10.1128/AEM.69.9.5297-5305.2003; 10.1016/j.foodchem.2012.09.092</v>
      </c>
      <c r="F518" s="1" t="str">
        <f>IFERROR(VLOOKUP(A518,[1]biopep_DB!$F$2:$L$1654,7,0),0)</f>
        <v>12957917 23194537</v>
      </c>
      <c r="G518" s="5">
        <v>630.74</v>
      </c>
      <c r="H518" s="5">
        <v>8.76</v>
      </c>
      <c r="I518" s="5">
        <v>0.93</v>
      </c>
      <c r="J518" s="6">
        <v>-1.48</v>
      </c>
      <c r="K518" s="5">
        <v>-14.74</v>
      </c>
      <c r="L518" s="6">
        <v>0.4</v>
      </c>
      <c r="M518" s="6">
        <v>-0.272</v>
      </c>
      <c r="N518" s="6">
        <v>0.2</v>
      </c>
      <c r="O518" s="6">
        <v>0.2</v>
      </c>
      <c r="P518" s="6">
        <v>0.2</v>
      </c>
      <c r="Q518" s="7"/>
      <c r="R518" s="7"/>
    </row>
    <row r="519" spans="1:18">
      <c r="A519" s="4" t="s">
        <v>742</v>
      </c>
      <c r="B519" s="4">
        <f t="shared" si="8"/>
        <v>6</v>
      </c>
      <c r="C519" s="4" t="s">
        <v>743</v>
      </c>
      <c r="D519" s="1" t="str">
        <f>IFERROR(VLOOKUP(A519,[1]biopep_DB!$F$2:$J$1654,5,0),)</f>
        <v>A new QSAR model, for angiotensin I-converting enzyme inhibitory oligopeptides.</v>
      </c>
      <c r="E519" s="1" t="str">
        <f>IFERROR(VLOOKUP(A519,[1]biopep_DB!$F$2:$L$1654,6,0),0)</f>
        <v>10.1016/j.foodchem.2012.09.092</v>
      </c>
      <c r="F519" s="1" t="str">
        <f>IFERROR(VLOOKUP(A519,[1]biopep_DB!$F$2:$L$1654,7,0),0)</f>
        <v>23194537</v>
      </c>
      <c r="G519" s="5">
        <v>668.7</v>
      </c>
      <c r="H519" s="5">
        <v>6.74</v>
      </c>
      <c r="I519" s="5">
        <v>-0.15</v>
      </c>
      <c r="J519" s="6">
        <v>-0.7333</v>
      </c>
      <c r="K519" s="5">
        <v>28.9</v>
      </c>
      <c r="L519" s="6">
        <v>0.5</v>
      </c>
      <c r="M519" s="6">
        <v>-0.7567</v>
      </c>
      <c r="N519" s="6">
        <v>0.3333</v>
      </c>
      <c r="O519" s="6">
        <v>0.1667</v>
      </c>
      <c r="P519" s="6">
        <v>0.1667</v>
      </c>
      <c r="Q519" s="7"/>
      <c r="R519" s="7"/>
    </row>
    <row r="520" spans="1:18">
      <c r="A520" s="4" t="s">
        <v>744</v>
      </c>
      <c r="B520" s="4">
        <f t="shared" si="8"/>
        <v>3</v>
      </c>
      <c r="C520" s="4" t="s">
        <v>36</v>
      </c>
      <c r="D520" s="1" t="str">
        <f>IFERROR(VLOOKUP(A520,[1]biopep_DB!$F$2:$J$1654,5,0),)</f>
        <v>Structural requirements of Angiotensin I-converting enzyme inhibitory peptides: quantitative structure-activity relationship study of di- and tripeptides.</v>
      </c>
      <c r="E520" s="1" t="str">
        <f>IFERROR(VLOOKUP(A520,[1]biopep_DB!$F$2:$L$1654,6,0),0)</f>
        <v>10.1021/jf051263l</v>
      </c>
      <c r="F520" s="1" t="str">
        <f>IFERROR(VLOOKUP(A520,[1]biopep_DB!$F$2:$L$1654,7,0),0)</f>
        <v>16448176</v>
      </c>
      <c r="G520" s="5">
        <v>340.34</v>
      </c>
      <c r="H520" s="5">
        <v>6.74</v>
      </c>
      <c r="I520" s="5">
        <v>-0.15</v>
      </c>
      <c r="J520" s="6">
        <v>-2.3667</v>
      </c>
      <c r="K520" s="5">
        <v>6.67</v>
      </c>
      <c r="L520" s="6">
        <v>0</v>
      </c>
      <c r="M520" s="6">
        <v>0.47</v>
      </c>
      <c r="N520" s="6">
        <v>0</v>
      </c>
      <c r="O520" s="6">
        <v>0.3333</v>
      </c>
      <c r="P520" s="6">
        <v>0</v>
      </c>
      <c r="Q520" s="7"/>
      <c r="R520" s="7"/>
    </row>
    <row r="521" spans="1:18">
      <c r="A521" s="4" t="s">
        <v>745</v>
      </c>
      <c r="B521" s="4">
        <f t="shared" si="8"/>
        <v>5</v>
      </c>
      <c r="C521" s="4" t="s">
        <v>746</v>
      </c>
      <c r="D521" s="1" t="str">
        <f>IFERROR(VLOOKUP(A521,[1]biopep_DB!$F$2:$J$1654,5,0),)</f>
        <v>Inhibition of angiotensin-converting enzyme by synthetic peptide fragments of various beta-caseins.; A new QSAR model, for angiotensin I-converting enzyme inhibitory oligopeptides.</v>
      </c>
      <c r="E521" s="1" t="str">
        <f>IFERROR(VLOOKUP(A521,[1]biopep_DB!$F$2:$L$1654,6,0),0)</f>
        <v>10.1016/j.foodchem.2012.09.092</v>
      </c>
      <c r="F521" s="1" t="str">
        <f>IFERROR(VLOOKUP(A521,[1]biopep_DB!$F$2:$L$1654,7,0),0)</f>
        <v>1368548 23194537</v>
      </c>
      <c r="G521" s="5">
        <v>656.73</v>
      </c>
      <c r="H521" s="5">
        <v>6.74</v>
      </c>
      <c r="I521" s="5">
        <v>-0.15</v>
      </c>
      <c r="J521" s="6">
        <v>-1.02</v>
      </c>
      <c r="K521" s="5">
        <v>32.68</v>
      </c>
      <c r="L521" s="6">
        <v>0.4</v>
      </c>
      <c r="M521" s="6">
        <v>-0.486</v>
      </c>
      <c r="N521" s="6">
        <v>0</v>
      </c>
      <c r="O521" s="6">
        <v>0.2</v>
      </c>
      <c r="P521" s="6">
        <v>0.4</v>
      </c>
      <c r="Q521" s="7"/>
      <c r="R521" s="7"/>
    </row>
    <row r="522" spans="1:18">
      <c r="A522" s="4" t="s">
        <v>747</v>
      </c>
      <c r="B522" s="4">
        <f t="shared" si="8"/>
        <v>3</v>
      </c>
      <c r="C522" s="4"/>
      <c r="D522" s="1" t="str">
        <f>IFERROR(VLOOKUP(A522,[1]biopep_DB!$F$2:$J$1654,5,0),)</f>
        <v>Angiotensin I-converting-enzyme-inhibitory and antibacterial peptides from Lactobacillus helveticus PR4 proteinase-hydrolyzed caseins of milk from six species.</v>
      </c>
      <c r="E522" s="1" t="str">
        <f>IFERROR(VLOOKUP(A522,[1]biopep_DB!$F$2:$L$1654,6,0),0)</f>
        <v>10.1128/AEM.69.9.5297-5305.2003</v>
      </c>
      <c r="F522" s="1" t="str">
        <f>IFERROR(VLOOKUP(A522,[1]biopep_DB!$F$2:$L$1654,7,0),0)</f>
        <v>12957917</v>
      </c>
      <c r="G522" s="5">
        <v>411.46</v>
      </c>
      <c r="H522" s="5">
        <v>8.76</v>
      </c>
      <c r="I522" s="5">
        <v>0.85</v>
      </c>
      <c r="J522" s="6">
        <v>-3.5333</v>
      </c>
      <c r="K522" s="5">
        <v>6.67</v>
      </c>
      <c r="L522" s="6">
        <v>0</v>
      </c>
      <c r="M522" s="6">
        <v>1.31</v>
      </c>
      <c r="N522" s="6">
        <v>0.3333</v>
      </c>
      <c r="O522" s="6">
        <v>0</v>
      </c>
      <c r="P522" s="6">
        <v>0</v>
      </c>
      <c r="Q522" s="7"/>
      <c r="R522" s="7"/>
    </row>
    <row r="523" spans="1:18">
      <c r="A523" s="4" t="s">
        <v>748</v>
      </c>
      <c r="B523" s="4">
        <f t="shared" si="8"/>
        <v>12</v>
      </c>
      <c r="C523" s="4" t="s">
        <v>559</v>
      </c>
      <c r="D523" s="1" t="str">
        <f>IFERROR(VLOOKUP(A523,[1]biopep_DB!$F$2:$J$1654,5,0),)</f>
        <v/>
      </c>
      <c r="E523" s="1" t="str">
        <f>IFERROR(VLOOKUP(A523,[1]biopep_DB!$F$2:$L$1654,6,0),0)</f>
        <v/>
      </c>
      <c r="F523" s="1" t="str">
        <f>IFERROR(VLOOKUP(A523,[1]biopep_DB!$F$2:$L$1654,7,0),0)</f>
        <v/>
      </c>
      <c r="G523" s="5">
        <v>1263.4</v>
      </c>
      <c r="H523" s="5">
        <v>6.75</v>
      </c>
      <c r="I523" s="5">
        <v>-0.15</v>
      </c>
      <c r="J523" s="6">
        <v>-0.7083</v>
      </c>
      <c r="K523" s="5">
        <v>68.41</v>
      </c>
      <c r="L523" s="6">
        <v>0.4167</v>
      </c>
      <c r="M523" s="6">
        <v>-0.445</v>
      </c>
      <c r="N523" s="6">
        <v>0.25</v>
      </c>
      <c r="O523" s="6">
        <v>0.4167</v>
      </c>
      <c r="P523" s="6">
        <v>0.1667</v>
      </c>
      <c r="Q523" s="7"/>
      <c r="R523" s="7"/>
    </row>
    <row r="524" spans="1:18">
      <c r="A524" s="4" t="s">
        <v>749</v>
      </c>
      <c r="B524" s="4">
        <f t="shared" si="8"/>
        <v>12</v>
      </c>
      <c r="C524" s="4" t="s">
        <v>559</v>
      </c>
      <c r="D524" s="1" t="str">
        <f>IFERROR(VLOOKUP(A524,[1]biopep_DB!$F$2:$J$1654,5,0),)</f>
        <v/>
      </c>
      <c r="E524" s="1" t="str">
        <f>IFERROR(VLOOKUP(A524,[1]biopep_DB!$F$2:$L$1654,6,0),0)</f>
        <v/>
      </c>
      <c r="F524" s="1" t="str">
        <f>IFERROR(VLOOKUP(A524,[1]biopep_DB!$F$2:$L$1654,7,0),0)</f>
        <v/>
      </c>
      <c r="G524" s="5">
        <v>1330.4</v>
      </c>
      <c r="H524" s="5">
        <v>6.74</v>
      </c>
      <c r="I524" s="5">
        <v>-0.15</v>
      </c>
      <c r="J524" s="6">
        <v>-0.775</v>
      </c>
      <c r="K524" s="5">
        <v>109.98</v>
      </c>
      <c r="L524" s="6">
        <v>0.3333</v>
      </c>
      <c r="M524" s="6">
        <v>-0.155</v>
      </c>
      <c r="N524" s="6">
        <v>0.0833</v>
      </c>
      <c r="O524" s="6">
        <v>0.3333</v>
      </c>
      <c r="P524" s="6">
        <v>0.25</v>
      </c>
      <c r="Q524" s="7"/>
      <c r="R524" s="7"/>
    </row>
    <row r="525" spans="1:18">
      <c r="A525" s="4" t="s">
        <v>750</v>
      </c>
      <c r="B525" s="4">
        <f t="shared" si="8"/>
        <v>6</v>
      </c>
      <c r="C525" s="4" t="s">
        <v>751</v>
      </c>
      <c r="D525" s="1" t="str">
        <f>IFERROR(VLOOKUP(A525,[1]biopep_DB!$F$2:$J$1654,5,0),)</f>
        <v>Review on the angiotensin-I-converting enzyme (ACE) inhibitor peptides from marine proteins.</v>
      </c>
      <c r="E525" s="1" t="str">
        <f>IFERROR(VLOOKUP(A525,[1]biopep_DB!$F$2:$L$1654,6,0),0)</f>
        <v>10.1007/s12010-012-0024-y</v>
      </c>
      <c r="F525" s="1" t="str">
        <f>IFERROR(VLOOKUP(A525,[1]biopep_DB!$F$2:$L$1654,7,0),0)</f>
        <v>23271625</v>
      </c>
      <c r="G525" s="5">
        <v>827.89</v>
      </c>
      <c r="H525" s="5">
        <v>9.76</v>
      </c>
      <c r="I525" s="5">
        <v>0.85</v>
      </c>
      <c r="J525" s="6">
        <v>-2.25</v>
      </c>
      <c r="K525" s="5">
        <v>-34.08</v>
      </c>
      <c r="L525" s="6">
        <v>0.1667</v>
      </c>
      <c r="M525" s="6">
        <v>0.5433</v>
      </c>
      <c r="N525" s="6">
        <v>0</v>
      </c>
      <c r="O525" s="6">
        <v>0</v>
      </c>
      <c r="P525" s="6">
        <v>0.5</v>
      </c>
      <c r="Q525" s="7"/>
      <c r="R525" s="7"/>
    </row>
    <row r="526" spans="1:18">
      <c r="A526" s="4" t="s">
        <v>752</v>
      </c>
      <c r="B526" s="4">
        <f t="shared" si="8"/>
        <v>2</v>
      </c>
      <c r="C526" s="4" t="s">
        <v>36</v>
      </c>
      <c r="D526" s="1" t="str">
        <f>IFERROR(VLOOKUP(A526,[1]biopep_DB!$F$2:$J$1654,5,0),)</f>
        <v>Structure and activity of angiotensin I converting enzyme inhibitory peptides from sake and sake lees.; Structural requirements of Angiotensin I-converting enzyme inhibitory peptides: quantitative structure-activity relationship study of di- and tripeptides.; Bioactive peptides in amaranth (Amaranthus hypochondriacus) seed.; Antihypertensive peptides from food proteins: a review.; Vegetable foods: a cheap source of proteins and peptides with antihypertensive, antioxidant, and other less occurrence bioactivities.; What are the ideal properties for functional food peptides with antihypertensive effect? A computational peptidology approach.</v>
      </c>
      <c r="E526" s="1" t="str">
        <f>IFERROR(VLOOKUP(A526,[1]biopep_DB!$F$2:$L$1654,6,0),0)</f>
        <v>10.1271/bbb.58.1767; 10.1021/jf051263l; 10.1021/jf072911z; 10.1039/c2fo10192k; 10.1016/j.talanta.2012.12.041; 10.1016/j.foodchem.2013.05.140</v>
      </c>
      <c r="F526" s="1" t="str">
        <f>IFERROR(VLOOKUP(A526,[1]biopep_DB!$F$2:$L$1654,7,0),0)</f>
        <v>7765503 16448176 18211015 22249830 23598136 23871047</v>
      </c>
      <c r="G526" s="5">
        <v>318.33</v>
      </c>
      <c r="H526" s="5">
        <v>6.74</v>
      </c>
      <c r="I526" s="5">
        <v>-0.15</v>
      </c>
      <c r="J526" s="6">
        <v>-2.25</v>
      </c>
      <c r="K526" s="5">
        <v>224.7</v>
      </c>
      <c r="L526" s="6">
        <v>0</v>
      </c>
      <c r="M526" s="6">
        <v>0.565</v>
      </c>
      <c r="N526" s="6">
        <v>0</v>
      </c>
      <c r="O526" s="6">
        <v>0</v>
      </c>
      <c r="P526" s="6">
        <v>0.5</v>
      </c>
      <c r="Q526" s="7"/>
      <c r="R526" s="7"/>
    </row>
    <row r="527" spans="1:18">
      <c r="A527" s="4" t="s">
        <v>753</v>
      </c>
      <c r="B527" s="4">
        <f t="shared" si="8"/>
        <v>2</v>
      </c>
      <c r="C527" s="4" t="s">
        <v>36</v>
      </c>
      <c r="D527" s="1" t="str">
        <f>IFERROR(VLOOKUP(A527,[1]biopep_DB!$F$2:$J$1654,5,0),)</f>
        <v>Antihypertensive peptides derived from milk proteins.;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Isolation and characterization of peptides with antihypertensive activity in foodstuffs.</v>
      </c>
      <c r="E527" s="1" t="str">
        <f>IFERROR(VLOOKUP(A527,[1]biopep_DB!$F$2:$L$1654,6,0),0)</f>
        <v>10.1002/(SICI)1521-3803(19990601)43:3&lt;159::AID-FOOD159&gt;3.0.CO;2-R; 10.1021/jf051263l; 10.1002/psc.892; 10.1016/j.talanta.2012.12.041; 10.1016/j.jprot.2013.06.023; 10.1080/10408398.2012.664829</v>
      </c>
      <c r="F527" s="1" t="str">
        <f>IFERROR(VLOOKUP(A527,[1]biopep_DB!$F$2:$L$1654,7,0),0)</f>
        <v>10399348 16448176 17654623 23598136 23806758 24915368</v>
      </c>
      <c r="G527" s="5">
        <v>202.25</v>
      </c>
      <c r="H527" s="5">
        <v>5.53</v>
      </c>
      <c r="I527" s="5">
        <v>-0.24</v>
      </c>
      <c r="J527" s="6">
        <v>3.15</v>
      </c>
      <c r="K527" s="5">
        <v>5</v>
      </c>
      <c r="L527" s="6">
        <v>1</v>
      </c>
      <c r="M527" s="6">
        <v>-3.365</v>
      </c>
      <c r="N527" s="6">
        <v>0.5</v>
      </c>
      <c r="O527" s="6">
        <v>0</v>
      </c>
      <c r="P527" s="6">
        <v>0.5</v>
      </c>
      <c r="Q527" s="7"/>
      <c r="R527" s="7"/>
    </row>
    <row r="528" spans="1:18">
      <c r="A528" s="4" t="s">
        <v>754</v>
      </c>
      <c r="B528" s="4">
        <f t="shared" si="8"/>
        <v>3</v>
      </c>
      <c r="C528" s="4" t="s">
        <v>755</v>
      </c>
      <c r="D528" s="1" t="str">
        <f>IFERROR(VLOOKUP(A528,[1]biopep_DB!$F$2:$J$1654,5,0),)</f>
        <v>Angiotensin converting enzyme inhibitory peptides derived from food proteins: biochemistry, bioactivity and production.; Review on the angiotensin-I-converting enzyme (ACE) inhibitor peptides from marine proteins.; Vegetable foods: a cheap source of proteins and peptides with antihypertensive, antioxidant, and other less occurrence bioactivities.</v>
      </c>
      <c r="E528" s="1" t="str">
        <f>IFERROR(VLOOKUP(A528,[1]biopep_DB!$F$2:$L$1654,6,0),0)</f>
        <v>10.2174/138161207780363068; 10.1007/s12010-012-0024-y; 10.1016/j.talanta.2012.12.041</v>
      </c>
      <c r="F528" s="1" t="str">
        <f>IFERROR(VLOOKUP(A528,[1]biopep_DB!$F$2:$L$1654,7,0),0)</f>
        <v>17430180 23271625 23598136</v>
      </c>
      <c r="G528" s="5">
        <v>331.36</v>
      </c>
      <c r="H528" s="5">
        <v>4.6</v>
      </c>
      <c r="I528" s="5">
        <v>-1.23</v>
      </c>
      <c r="J528" s="6">
        <v>0.9333</v>
      </c>
      <c r="K528" s="5">
        <v>6.67</v>
      </c>
      <c r="L528" s="6">
        <v>0.6667</v>
      </c>
      <c r="M528" s="6">
        <v>-1.6967</v>
      </c>
      <c r="N528" s="6">
        <v>0.6667</v>
      </c>
      <c r="O528" s="6">
        <v>0</v>
      </c>
      <c r="P528" s="6">
        <v>0.3333</v>
      </c>
      <c r="Q528" s="7"/>
      <c r="R528" s="7"/>
    </row>
    <row r="529" spans="1:18">
      <c r="A529" s="4" t="s">
        <v>756</v>
      </c>
      <c r="B529" s="4">
        <f t="shared" si="8"/>
        <v>4</v>
      </c>
      <c r="C529" s="4" t="s">
        <v>757</v>
      </c>
      <c r="D529" s="1" t="str">
        <f>IFERROR(VLOOKUP(A529,[1]biopep_DB!$F$2:$J$1654,5,0),)</f>
        <v>Inhibition of angiotensin-converting enzyme by synthetic peptide fragments of human kappa-casein.; What are the ideal properties for functional food peptides with antihypertensive effect? A computational peptidology approach.</v>
      </c>
      <c r="E529" s="1" t="str">
        <f>IFERROR(VLOOKUP(A529,[1]biopep_DB!$F$2:$L$1654,6,0),0)</f>
        <v>10.1016/j.foodchem.2013.05.140</v>
      </c>
      <c r="F529" s="1" t="str">
        <f>IFERROR(VLOOKUP(A529,[1]biopep_DB!$F$2:$L$1654,7,0),0)</f>
        <v>1368540 23871047</v>
      </c>
      <c r="G529" s="5">
        <v>412.52</v>
      </c>
      <c r="H529" s="5">
        <v>5.53</v>
      </c>
      <c r="I529" s="5">
        <v>-0.24</v>
      </c>
      <c r="J529" s="6">
        <v>2.3</v>
      </c>
      <c r="K529" s="5">
        <v>0.3</v>
      </c>
      <c r="L529" s="6">
        <v>1</v>
      </c>
      <c r="M529" s="6">
        <v>-2.9125</v>
      </c>
      <c r="N529" s="6">
        <v>0.25</v>
      </c>
      <c r="O529" s="6">
        <v>0.25</v>
      </c>
      <c r="P529" s="6">
        <v>0.5</v>
      </c>
      <c r="Q529" s="7"/>
      <c r="R529" s="7"/>
    </row>
    <row r="530" spans="1:18">
      <c r="A530" s="4" t="s">
        <v>758</v>
      </c>
      <c r="B530" s="4">
        <f t="shared" si="8"/>
        <v>5</v>
      </c>
      <c r="C530" s="4" t="s">
        <v>116</v>
      </c>
      <c r="D530" s="1" t="str">
        <f>IFERROR(VLOOKUP(A530,[1]biopep_DB!$F$2:$J$1654,5,0),)</f>
        <v>Inhibition of angiotensin-converting enzyme by synthetic peptide fragments of human kappa-casein.; A new QSAR model, for angiotensin I-converting enzyme inhibitory oligopeptides.</v>
      </c>
      <c r="E530" s="1" t="str">
        <f>IFERROR(VLOOKUP(A530,[1]biopep_DB!$F$2:$L$1654,6,0),0)</f>
        <v>10.1016/j.foodchem.2012.09.092</v>
      </c>
      <c r="F530" s="1" t="str">
        <f>IFERROR(VLOOKUP(A530,[1]biopep_DB!$F$2:$L$1654,7,0),0)</f>
        <v>1368540 23194537</v>
      </c>
      <c r="G530" s="5">
        <v>509.64</v>
      </c>
      <c r="H530" s="5">
        <v>5.53</v>
      </c>
      <c r="I530" s="5">
        <v>-0.24</v>
      </c>
      <c r="J530" s="6">
        <v>1.52</v>
      </c>
      <c r="K530" s="5">
        <v>40.76</v>
      </c>
      <c r="L530" s="6">
        <v>1</v>
      </c>
      <c r="M530" s="6">
        <v>-2.33</v>
      </c>
      <c r="N530" s="6">
        <v>0.2</v>
      </c>
      <c r="O530" s="6">
        <v>0.4</v>
      </c>
      <c r="P530" s="6">
        <v>0.4</v>
      </c>
      <c r="Q530" s="7"/>
      <c r="R530" s="7"/>
    </row>
    <row r="531" spans="1:18">
      <c r="A531" s="4" t="s">
        <v>759</v>
      </c>
      <c r="B531" s="4">
        <f t="shared" si="8"/>
        <v>3</v>
      </c>
      <c r="C531" s="4" t="s">
        <v>299</v>
      </c>
      <c r="D531" s="1" t="str">
        <f>IFERROR(VLOOKUP(A531,[1]biopep_DB!$F$2:$J$1654,5,0),)</f>
        <v>Identification of novel angiotensin-converting enzyme-inhibitory peptides from ovine milk proteins by CE-MS and chromatographic techniques.; Changes in arterial blood pressure after single oral administration of milk-casein-derived peptides in spontaneously hypertensive rats.; Antihypertensive peptides: production, bioavailability and incorporation into foods.; Antihypertensive peptides from food proteins: a review.; Peptides with angiotensin I converting enzyme (ACE) inhibitory activity generated from porcine skeletal muscle proteins by the action of meat-borne Lactobacillus.; Isolation and characterization of peptides with antihypertensive activity in foodstuffs.</v>
      </c>
      <c r="E531" s="1" t="str">
        <f>IFERROR(VLOOKUP(A531,[1]biopep_DB!$F$2:$L$1654,6,0),0)</f>
        <v>10.1002/elps.200700324; 10.1002/mnfr.200900448; 10.1016/j.cis.2010.11.001; 10.1039/c2fo10192k; 10.1016/j.jprot.2013.06.023; 10.1080/10408398.2012.664829</v>
      </c>
      <c r="F531" s="1" t="str">
        <f>IFERROR(VLOOKUP(A531,[1]biopep_DB!$F$2:$L$1654,7,0),0)</f>
        <v>17948260 20397194 21185549 22249830 23806758 24915368</v>
      </c>
      <c r="G531" s="5">
        <v>330.42</v>
      </c>
      <c r="H531" s="5">
        <v>8.75</v>
      </c>
      <c r="I531" s="5">
        <v>0.76</v>
      </c>
      <c r="J531" s="6">
        <v>0.8</v>
      </c>
      <c r="K531" s="5">
        <v>6.67</v>
      </c>
      <c r="L531" s="6">
        <v>0.6667</v>
      </c>
      <c r="M531" s="6">
        <v>-1.7167</v>
      </c>
      <c r="N531" s="6">
        <v>0.6667</v>
      </c>
      <c r="O531" s="6">
        <v>0</v>
      </c>
      <c r="P531" s="6">
        <v>0.3333</v>
      </c>
      <c r="Q531" s="7"/>
      <c r="R531" s="7"/>
    </row>
    <row r="532" spans="1:18">
      <c r="A532" s="4" t="s">
        <v>760</v>
      </c>
      <c r="B532" s="4">
        <f t="shared" si="8"/>
        <v>3</v>
      </c>
      <c r="C532" s="4" t="s">
        <v>36</v>
      </c>
      <c r="D532" s="1" t="str">
        <f>IFERROR(VLOOKUP(A532,[1]biopep_DB!$F$2:$J$1654,5,0),)</f>
        <v>Isolation and characterization of angiotensin I-converting enzyme inhibitory peptides from wheat gliadin hydrolysate.; Structural requirements of Angiotensin I-converting enzyme inhibitory peptides: quantitative structure-activity relationship study of di- and tripeptides.; Vegetable foods: a cheap source of proteins and peptides with antihypertensive, antioxidant, and other less occurrence bioactivities.; Comparison of analytical methods to assay inhibitors of angiotensin I-converting enzyme.; Isolation and characterization of peptides with antihypertensive activity in foodstuffs.</v>
      </c>
      <c r="E532" s="1" t="str">
        <f>IFERROR(VLOOKUP(A532,[1]biopep_DB!$F$2:$L$1654,6,0),0)</f>
        <v>10.1002/food.200390081; 10.1021/jf051263l; 10.1016/j.talanta.2012.12.041; 10.1016/j.foodchem.2013.06.048; 10.1080/10408398.2012.664829</v>
      </c>
      <c r="F532" s="1" t="str">
        <f>IFERROR(VLOOKUP(A532,[1]biopep_DB!$F$2:$L$1654,7,0),0)</f>
        <v>14609094 16448176 23598136 23993489 24915368</v>
      </c>
      <c r="G532" s="5">
        <v>299.37</v>
      </c>
      <c r="H532" s="5">
        <v>5.53</v>
      </c>
      <c r="I532" s="5">
        <v>-0.24</v>
      </c>
      <c r="J532" s="6">
        <v>1.5667</v>
      </c>
      <c r="K532" s="5">
        <v>70.87</v>
      </c>
      <c r="L532" s="6">
        <v>1</v>
      </c>
      <c r="M532" s="6">
        <v>-2.2433</v>
      </c>
      <c r="N532" s="6">
        <v>0.3333</v>
      </c>
      <c r="O532" s="6">
        <v>0.3333</v>
      </c>
      <c r="P532" s="6">
        <v>0.3333</v>
      </c>
      <c r="Q532" s="7"/>
      <c r="R532" s="7"/>
    </row>
    <row r="533" spans="1:18">
      <c r="A533" s="4" t="s">
        <v>761</v>
      </c>
      <c r="B533" s="4">
        <f t="shared" si="8"/>
        <v>4</v>
      </c>
      <c r="C533" s="4" t="s">
        <v>762</v>
      </c>
      <c r="D533" s="1" t="str">
        <f>IFERROR(VLOOKUP(A533,[1]biopep_DB!$F$2:$J$1654,5,0),)</f>
        <v>Angiotensin converting enzyme inhibitory peptides derived from food proteins: biochemistry, bioactivity and production.;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v>
      </c>
      <c r="E533" s="1" t="str">
        <f>IFERROR(VLOOKUP(A533,[1]biopep_DB!$F$2:$L$1654,6,0),0)</f>
        <v>10.2174/138161207780363068; 10.1007/s12010-012-0024-y; 10.1016/j.talanta.2012.12.041; 10.1016/j.foodchem.2013.05.140</v>
      </c>
      <c r="F533" s="1" t="str">
        <f>IFERROR(VLOOKUP(A533,[1]biopep_DB!$F$2:$L$1654,7,0),0)</f>
        <v>17430180 23271625 23598136 23871047</v>
      </c>
      <c r="G533" s="5">
        <v>356.42</v>
      </c>
      <c r="H533" s="5">
        <v>5.53</v>
      </c>
      <c r="I533" s="5">
        <v>-0.24</v>
      </c>
      <c r="J533" s="6">
        <v>1.075</v>
      </c>
      <c r="K533" s="5">
        <v>55.65</v>
      </c>
      <c r="L533" s="6">
        <v>0.75</v>
      </c>
      <c r="M533" s="6">
        <v>-1.9175</v>
      </c>
      <c r="N533" s="6">
        <v>0.25</v>
      </c>
      <c r="O533" s="6">
        <v>0.5</v>
      </c>
      <c r="P533" s="6">
        <v>0.25</v>
      </c>
      <c r="Q533" s="7"/>
      <c r="R533" s="7"/>
    </row>
    <row r="534" spans="1:18">
      <c r="A534" s="4" t="s">
        <v>763</v>
      </c>
      <c r="B534" s="4">
        <f t="shared" si="8"/>
        <v>3</v>
      </c>
      <c r="C534" s="4" t="s">
        <v>36</v>
      </c>
      <c r="D534" s="1" t="str">
        <f>IFERROR(VLOOKUP(A534,[1]biopep_DB!$F$2:$J$1654,5,0),)</f>
        <v>Structural requirements of Angiotensin I-converting enzyme inhibitory peptides: quantitative structure-activity relationship study of di- and tripeptides.</v>
      </c>
      <c r="E534" s="1" t="str">
        <f>IFERROR(VLOOKUP(A534,[1]biopep_DB!$F$2:$L$1654,6,0),0)</f>
        <v>10.1021/jf051263l</v>
      </c>
      <c r="F534" s="1" t="str">
        <f>IFERROR(VLOOKUP(A534,[1]biopep_DB!$F$2:$L$1654,7,0),0)</f>
        <v>16448176</v>
      </c>
      <c r="G534" s="5">
        <v>330.38</v>
      </c>
      <c r="H534" s="5">
        <v>5.53</v>
      </c>
      <c r="I534" s="5">
        <v>-0.24</v>
      </c>
      <c r="J534" s="6">
        <v>0.9333</v>
      </c>
      <c r="K534" s="5">
        <v>6.67</v>
      </c>
      <c r="L534" s="6">
        <v>0.6667</v>
      </c>
      <c r="M534" s="6">
        <v>-1.79</v>
      </c>
      <c r="N534" s="6">
        <v>0.3333</v>
      </c>
      <c r="O534" s="6">
        <v>0</v>
      </c>
      <c r="P534" s="6">
        <v>0.3333</v>
      </c>
      <c r="Q534" s="7"/>
      <c r="R534" s="7"/>
    </row>
    <row r="535" spans="1:18">
      <c r="A535" s="4" t="s">
        <v>764</v>
      </c>
      <c r="B535" s="4">
        <f t="shared" si="8"/>
        <v>9</v>
      </c>
      <c r="C535" s="4"/>
      <c r="G535" s="5">
        <v>949.06</v>
      </c>
      <c r="H535" s="5">
        <v>5.84</v>
      </c>
      <c r="I535" s="5">
        <v>-0.24</v>
      </c>
      <c r="J535" s="6">
        <v>0.9</v>
      </c>
      <c r="K535" s="5">
        <v>30.29</v>
      </c>
      <c r="L535" s="6">
        <v>0.6667</v>
      </c>
      <c r="M535" s="6">
        <v>-1.3478</v>
      </c>
      <c r="N535" s="6">
        <v>0.3333</v>
      </c>
      <c r="O535" s="6">
        <v>0.2222</v>
      </c>
      <c r="P535" s="6">
        <v>0.3333</v>
      </c>
      <c r="Q535" s="7"/>
      <c r="R535" s="7"/>
    </row>
    <row r="536" spans="1:18">
      <c r="A536" s="4" t="s">
        <v>765</v>
      </c>
      <c r="B536" s="4">
        <f t="shared" si="8"/>
        <v>11</v>
      </c>
      <c r="C536" s="4"/>
      <c r="D536" s="1" t="str">
        <f>IFERROR(VLOOKUP(A536,[1]biopep_DB!$F$2:$J$1654,5,0),)</f>
        <v>Casein fermentate of Lactobacillus animalis DPC6134 contains a range of novel propeptide angiotensin-converting enzyme inhibitors.</v>
      </c>
      <c r="E536" s="1" t="str">
        <f>IFERROR(VLOOKUP(A536,[1]biopep_DB!$F$2:$L$1654,6,0),0)</f>
        <v>10.1128/AEM.00096-07</v>
      </c>
      <c r="F536" s="1" t="str">
        <f>IFERROR(VLOOKUP(A536,[1]biopep_DB!$F$2:$L$1654,7,0),0)</f>
        <v>17483275</v>
      </c>
      <c r="G536" s="5">
        <v>1060.11</v>
      </c>
      <c r="H536" s="5">
        <v>4.05</v>
      </c>
      <c r="I536" s="5">
        <v>-1.24</v>
      </c>
      <c r="J536" s="6">
        <v>-0.4091</v>
      </c>
      <c r="K536" s="5">
        <v>19.75</v>
      </c>
      <c r="L536" s="6">
        <v>0.3636</v>
      </c>
      <c r="M536" s="6">
        <v>-0.3245</v>
      </c>
      <c r="N536" s="6">
        <v>0.1818</v>
      </c>
      <c r="O536" s="6">
        <v>0.4545</v>
      </c>
      <c r="P536" s="6">
        <v>0.3636</v>
      </c>
      <c r="Q536" s="7"/>
      <c r="R536" s="7"/>
    </row>
    <row r="537" spans="1:18">
      <c r="A537" s="4" t="s">
        <v>766</v>
      </c>
      <c r="B537" s="4">
        <f t="shared" si="8"/>
        <v>13</v>
      </c>
      <c r="C537" s="4"/>
      <c r="D537" s="1" t="str">
        <f>IFERROR(VLOOKUP(A537,[1]biopep_DB!$F$2:$J$1654,5,0),)</f>
        <v>Casein fermentate of Lactobacillus animalis DPC6134 contains a range of novel propeptide angiotensin-converting enzyme inhibitors.</v>
      </c>
      <c r="E537" s="1" t="str">
        <f>IFERROR(VLOOKUP(A537,[1]biopep_DB!$F$2:$L$1654,6,0),0)</f>
        <v>10.1128/AEM.00096-07</v>
      </c>
      <c r="F537" s="1" t="str">
        <f>IFERROR(VLOOKUP(A537,[1]biopep_DB!$F$2:$L$1654,7,0),0)</f>
        <v>17483275</v>
      </c>
      <c r="G537" s="5">
        <v>1318.34</v>
      </c>
      <c r="H537" s="5">
        <v>4.05</v>
      </c>
      <c r="I537" s="5">
        <v>-3.23</v>
      </c>
      <c r="J537" s="6">
        <v>-0.8846</v>
      </c>
      <c r="K537" s="5">
        <v>58.14</v>
      </c>
      <c r="L537" s="6">
        <v>0.3077</v>
      </c>
      <c r="M537" s="6">
        <v>-0.0223</v>
      </c>
      <c r="N537" s="6">
        <v>0.3077</v>
      </c>
      <c r="O537" s="6">
        <v>0.3846</v>
      </c>
      <c r="P537" s="6">
        <v>0.3077</v>
      </c>
      <c r="Q537" s="7"/>
      <c r="R537" s="7"/>
    </row>
    <row r="538" spans="1:18">
      <c r="A538" s="4" t="s">
        <v>767</v>
      </c>
      <c r="B538" s="4">
        <f t="shared" si="8"/>
        <v>14</v>
      </c>
      <c r="C538" s="4"/>
      <c r="D538" s="1" t="str">
        <f>IFERROR(VLOOKUP(A538,[1]biopep_DB!$F$2:$J$1654,5,0),)</f>
        <v>Casein fermentate of Lactobacillus animalis DPC6134 contains a range of novel propeptide angiotensin-converting enzyme inhibitors.</v>
      </c>
      <c r="E538" s="1" t="str">
        <f>IFERROR(VLOOKUP(A538,[1]biopep_DB!$F$2:$L$1654,6,0),0)</f>
        <v>10.1128/AEM.00096-07</v>
      </c>
      <c r="F538" s="1" t="str">
        <f>IFERROR(VLOOKUP(A538,[1]biopep_DB!$F$2:$L$1654,7,0),0)</f>
        <v>17483275</v>
      </c>
      <c r="G538" s="5">
        <v>1361.41</v>
      </c>
      <c r="H538" s="5">
        <v>4.05</v>
      </c>
      <c r="I538" s="5">
        <v>-2.23</v>
      </c>
      <c r="J538" s="6">
        <v>-0.4929</v>
      </c>
      <c r="K538" s="5">
        <v>31.41</v>
      </c>
      <c r="L538" s="6">
        <v>0.3571</v>
      </c>
      <c r="M538" s="6">
        <v>-0.2486</v>
      </c>
      <c r="N538" s="6">
        <v>0.2857</v>
      </c>
      <c r="O538" s="6">
        <v>0.3571</v>
      </c>
      <c r="P538" s="6">
        <v>0.3571</v>
      </c>
      <c r="Q538" s="7"/>
      <c r="R538" s="7"/>
    </row>
    <row r="539" spans="1:18">
      <c r="A539" s="4" t="s">
        <v>768</v>
      </c>
      <c r="B539" s="4">
        <f t="shared" si="8"/>
        <v>3</v>
      </c>
      <c r="C539" s="4" t="s">
        <v>769</v>
      </c>
      <c r="D539" s="1" t="str">
        <f>IFERROR(VLOOKUP(A539,[1]biopep_DB!$F$2:$J$1654,5,0),)</f>
        <v>Analysis of novel angiotensin I-converting enzyme inhibitory peptides from enzymatic hydrolysates of cuttlefish (Sepia officinalis) muscle proteins.; Review on the angiotensin-I-converting enzyme (ACE) inhibitor peptides from marine proteins.</v>
      </c>
      <c r="E539" s="1" t="str">
        <f>IFERROR(VLOOKUP(A539,[1]biopep_DB!$F$2:$L$1654,6,0),0)</f>
        <v>10.1021/jf904300q; 10.1007/s12010-012-0024-y</v>
      </c>
      <c r="F539" s="1" t="str">
        <f>IFERROR(VLOOKUP(A539,[1]biopep_DB!$F$2:$L$1654,7,0),0)</f>
        <v>20180574 23271625</v>
      </c>
      <c r="G539" s="5">
        <v>301.38</v>
      </c>
      <c r="H539" s="5">
        <v>5.53</v>
      </c>
      <c r="I539" s="5">
        <v>-0.24</v>
      </c>
      <c r="J539" s="6">
        <v>3.5</v>
      </c>
      <c r="K539" s="5">
        <v>6.67</v>
      </c>
      <c r="L539" s="6">
        <v>1</v>
      </c>
      <c r="M539" s="6">
        <v>-3.59</v>
      </c>
      <c r="N539" s="6">
        <v>0.3333</v>
      </c>
      <c r="O539" s="6">
        <v>0</v>
      </c>
      <c r="P539" s="6">
        <v>0.6667</v>
      </c>
      <c r="Q539" s="7"/>
      <c r="R539" s="7"/>
    </row>
    <row r="540" spans="1:18">
      <c r="A540" s="4" t="s">
        <v>770</v>
      </c>
      <c r="B540" s="4">
        <f t="shared" si="8"/>
        <v>8</v>
      </c>
      <c r="C540" s="4"/>
      <c r="G540" s="5">
        <v>726.86</v>
      </c>
      <c r="H540" s="5">
        <v>5.53</v>
      </c>
      <c r="I540" s="5">
        <v>-0.24</v>
      </c>
      <c r="J540" s="6">
        <v>1.725</v>
      </c>
      <c r="K540" s="5">
        <v>22.21</v>
      </c>
      <c r="L540" s="6">
        <v>0.75</v>
      </c>
      <c r="M540" s="6">
        <v>-2.1625</v>
      </c>
      <c r="N540" s="6">
        <v>0.25</v>
      </c>
      <c r="O540" s="6">
        <v>0.25</v>
      </c>
      <c r="P540" s="6">
        <v>0.5</v>
      </c>
      <c r="Q540" s="7"/>
      <c r="R540" s="7"/>
    </row>
    <row r="541" spans="1:18">
      <c r="A541" s="4" t="s">
        <v>771</v>
      </c>
      <c r="B541" s="4">
        <f t="shared" si="8"/>
        <v>3</v>
      </c>
      <c r="C541" s="4" t="s">
        <v>36</v>
      </c>
      <c r="D541" s="1" t="str">
        <f>IFERROR(VLOOKUP(A541,[1]biopep_DB!$F$2:$J$1654,5,0),)</f>
        <v>Structural requirements of Angiotensin I-converting enzyme inhibitory peptides: quantitative structure-activity relationship study of di- and tripeptides.</v>
      </c>
      <c r="E541" s="1" t="str">
        <f>IFERROR(VLOOKUP(A541,[1]biopep_DB!$F$2:$L$1654,6,0),0)</f>
        <v>10.1021/jf051263l</v>
      </c>
      <c r="F541" s="1" t="str">
        <f>IFERROR(VLOOKUP(A541,[1]biopep_DB!$F$2:$L$1654,7,0),0)</f>
        <v>16448176</v>
      </c>
      <c r="G541" s="5">
        <v>365.42</v>
      </c>
      <c r="H541" s="5">
        <v>5.52</v>
      </c>
      <c r="I541" s="5">
        <v>-0.24</v>
      </c>
      <c r="J541" s="6">
        <v>1.6667</v>
      </c>
      <c r="K541" s="5">
        <v>6.67</v>
      </c>
      <c r="L541" s="6">
        <v>0.6667</v>
      </c>
      <c r="M541" s="6">
        <v>-2.1967</v>
      </c>
      <c r="N541" s="6">
        <v>0.3333</v>
      </c>
      <c r="O541" s="6">
        <v>0</v>
      </c>
      <c r="P541" s="6">
        <v>0.6667</v>
      </c>
      <c r="Q541" s="7"/>
      <c r="R541" s="7"/>
    </row>
    <row r="542" spans="1:18">
      <c r="A542" s="4" t="s">
        <v>772</v>
      </c>
      <c r="B542" s="4">
        <f t="shared" si="8"/>
        <v>5</v>
      </c>
      <c r="C542" s="4" t="s">
        <v>773</v>
      </c>
      <c r="D542" s="1" t="str">
        <f>IFERROR(VLOOKUP(A542,[1]biopep_DB!$F$2:$J$1654,5,0),)</f>
        <v>A new QSAR model, for angiotensin I-converting enzyme inhibitory oligopeptides.</v>
      </c>
      <c r="E542" s="1" t="str">
        <f>IFERROR(VLOOKUP(A542,[1]biopep_DB!$F$2:$L$1654,6,0),0)</f>
        <v>10.1016/j.foodchem.2012.09.092</v>
      </c>
      <c r="F542" s="1" t="str">
        <f>IFERROR(VLOOKUP(A542,[1]biopep_DB!$F$2:$L$1654,7,0),0)</f>
        <v>23194537</v>
      </c>
      <c r="G542" s="5">
        <v>590.71</v>
      </c>
      <c r="H542" s="5">
        <v>8.59</v>
      </c>
      <c r="I542" s="5">
        <v>0.76</v>
      </c>
      <c r="J542" s="6">
        <v>-0.1</v>
      </c>
      <c r="K542" s="5">
        <v>-7.08</v>
      </c>
      <c r="L542" s="6">
        <v>0.6</v>
      </c>
      <c r="M542" s="6">
        <v>-1.002</v>
      </c>
      <c r="N542" s="6">
        <v>0.4</v>
      </c>
      <c r="O542" s="6">
        <v>0.2</v>
      </c>
      <c r="P542" s="6">
        <v>0.4</v>
      </c>
      <c r="Q542" s="7"/>
      <c r="R542" s="7"/>
    </row>
    <row r="543" spans="1:18">
      <c r="A543" s="4" t="s">
        <v>774</v>
      </c>
      <c r="B543" s="4">
        <f t="shared" si="8"/>
        <v>7</v>
      </c>
      <c r="C543" s="4" t="s">
        <v>775</v>
      </c>
      <c r="D543" s="1" t="str">
        <f>IFERROR(VLOOKUP(A543,[1]biopep_DB!$F$2:$J$1654,5,0),)</f>
        <v>Isolation and antihypertensive effect of angiotensin I-converting enzyme (ACE) inhibitory peptides from spinach Rubisco.; A new QSAR model, for angiotensin I-converting enzyme inhibitory oligopeptides.</v>
      </c>
      <c r="E543" s="1" t="str">
        <f>IFERROR(VLOOKUP(A543,[1]biopep_DB!$F$2:$L$1654,6,0),0)</f>
        <v>10.1021/jf026186y; 10.1016/j.foodchem.2012.09.092</v>
      </c>
      <c r="F543" s="1" t="str">
        <f>IFERROR(VLOOKUP(A543,[1]biopep_DB!$F$2:$L$1654,7,0),0)</f>
        <v>12903942 23194537</v>
      </c>
      <c r="G543" s="5">
        <v>718.84</v>
      </c>
      <c r="H543" s="5">
        <v>8.59</v>
      </c>
      <c r="I543" s="5">
        <v>0.76</v>
      </c>
      <c r="J543" s="6">
        <v>0.1286</v>
      </c>
      <c r="K543" s="5">
        <v>25.31</v>
      </c>
      <c r="L543" s="6">
        <v>0.5714</v>
      </c>
      <c r="M543" s="6">
        <v>-1.1086</v>
      </c>
      <c r="N543" s="6">
        <v>0.4286</v>
      </c>
      <c r="O543" s="6">
        <v>0.2857</v>
      </c>
      <c r="P543" s="6">
        <v>0.2857</v>
      </c>
      <c r="Q543" s="7"/>
      <c r="R543" s="7"/>
    </row>
    <row r="544" spans="1:18">
      <c r="A544" s="4" t="s">
        <v>776</v>
      </c>
      <c r="B544" s="4">
        <f t="shared" si="8"/>
        <v>5</v>
      </c>
      <c r="C544" s="4" t="s">
        <v>31</v>
      </c>
      <c r="D544" s="1" t="str">
        <f>IFERROR(VLOOKUP(A544,[1]biopep_DB!$F$2:$J$1654,5,0),)</f>
        <v/>
      </c>
      <c r="E544" s="1" t="str">
        <f>IFERROR(VLOOKUP(A544,[1]biopep_DB!$F$2:$L$1654,6,0),0)</f>
        <v/>
      </c>
      <c r="F544" s="1" t="str">
        <f>IFERROR(VLOOKUP(A544,[1]biopep_DB!$F$2:$L$1654,7,0),0)</f>
        <v/>
      </c>
      <c r="G544" s="5">
        <v>618.75</v>
      </c>
      <c r="H544" s="5">
        <v>5.83</v>
      </c>
      <c r="I544" s="5">
        <v>-0.25</v>
      </c>
      <c r="J544" s="6">
        <v>0.56</v>
      </c>
      <c r="K544" s="5">
        <v>8</v>
      </c>
      <c r="L544" s="6">
        <v>0.4</v>
      </c>
      <c r="M544" s="6">
        <v>-1.344</v>
      </c>
      <c r="N544" s="6">
        <v>0.2</v>
      </c>
      <c r="O544" s="6">
        <v>0.2</v>
      </c>
      <c r="P544" s="6">
        <v>0.4</v>
      </c>
      <c r="Q544" s="7"/>
      <c r="R544" s="7"/>
    </row>
    <row r="545" spans="1:18">
      <c r="A545" s="4" t="s">
        <v>777</v>
      </c>
      <c r="B545" s="4">
        <f t="shared" si="8"/>
        <v>8</v>
      </c>
      <c r="C545" s="4" t="s">
        <v>778</v>
      </c>
      <c r="G545" s="5">
        <v>915.99</v>
      </c>
      <c r="H545" s="5">
        <v>4.37</v>
      </c>
      <c r="I545" s="5">
        <v>-1.24</v>
      </c>
      <c r="J545" s="6">
        <v>-0.975</v>
      </c>
      <c r="K545" s="5">
        <v>38.35</v>
      </c>
      <c r="L545" s="6">
        <v>0.375</v>
      </c>
      <c r="M545" s="6">
        <v>-0.4388</v>
      </c>
      <c r="N545" s="6">
        <v>0.5</v>
      </c>
      <c r="O545" s="6">
        <v>0.375</v>
      </c>
      <c r="P545" s="6">
        <v>0.25</v>
      </c>
      <c r="Q545" s="7"/>
      <c r="R545" s="7"/>
    </row>
    <row r="546" spans="1:18">
      <c r="A546" s="4" t="s">
        <v>779</v>
      </c>
      <c r="B546" s="4">
        <f t="shared" si="8"/>
        <v>5</v>
      </c>
      <c r="C546" s="4" t="s">
        <v>780</v>
      </c>
      <c r="D546" s="1" t="str">
        <f>IFERROR(VLOOKUP(A546,[1]biopep_DB!$F$2:$J$1654,5,0),)</f>
        <v/>
      </c>
      <c r="E546" s="1" t="str">
        <f>IFERROR(VLOOKUP(A546,[1]biopep_DB!$F$2:$L$1654,6,0),0)</f>
        <v/>
      </c>
      <c r="F546" s="1" t="str">
        <f>IFERROR(VLOOKUP(A546,[1]biopep_DB!$F$2:$L$1654,7,0),0)</f>
        <v/>
      </c>
      <c r="G546" s="5">
        <v>514.53</v>
      </c>
      <c r="H546" s="5">
        <v>4.05</v>
      </c>
      <c r="I546" s="5">
        <v>-1.24</v>
      </c>
      <c r="J546" s="6">
        <v>-0.9</v>
      </c>
      <c r="K546" s="5">
        <v>-22.06</v>
      </c>
      <c r="L546" s="6">
        <v>0.4</v>
      </c>
      <c r="M546" s="6">
        <v>-0.512</v>
      </c>
      <c r="N546" s="6">
        <v>0</v>
      </c>
      <c r="O546" s="6">
        <v>0.8</v>
      </c>
      <c r="P546" s="6">
        <v>0.2</v>
      </c>
      <c r="Q546" s="7"/>
      <c r="R546" s="7"/>
    </row>
    <row r="547" spans="1:18">
      <c r="A547" s="4" t="s">
        <v>781</v>
      </c>
      <c r="B547" s="4">
        <f t="shared" si="8"/>
        <v>2</v>
      </c>
      <c r="C547" s="4" t="s">
        <v>62</v>
      </c>
      <c r="D547" s="1" t="str">
        <f>IFERROR(VLOOKUP(A547,[1]biopep_DB!$F$2:$J$1654,5,0),)</f>
        <v>Three-dimensional holograph vector of atomic interaction field (3D-HoVAIF): a novel rotation-translation invariant 3D structure descriptor and its applications to peptides.; 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
      <c r="E547" s="1" t="str">
        <f>IFERROR(VLOOKUP(A547,[1]biopep_DB!$F$2:$L$1654,6,0),0)</f>
        <v>10.1002/psc.892; 10.1007/s00216-008-1990-3; 10.1016/j.jprot.2013.06.023</v>
      </c>
      <c r="F547" s="1" t="str">
        <f>IFERROR(VLOOKUP(A547,[1]biopep_DB!$F$2:$L$1654,7,0),0)</f>
        <v>17654623 18392815 23806758</v>
      </c>
      <c r="G547" s="5">
        <v>260.29</v>
      </c>
      <c r="H547" s="5">
        <v>4.6</v>
      </c>
      <c r="I547" s="5">
        <v>-1.23</v>
      </c>
      <c r="J547" s="6">
        <v>0.5</v>
      </c>
      <c r="K547" s="5">
        <v>224.7</v>
      </c>
      <c r="L547" s="6">
        <v>0.5</v>
      </c>
      <c r="M547" s="6">
        <v>-1.64</v>
      </c>
      <c r="N547" s="6">
        <v>0.5</v>
      </c>
      <c r="O547" s="6">
        <v>0</v>
      </c>
      <c r="P547" s="6">
        <v>0.5</v>
      </c>
      <c r="Q547" s="7"/>
      <c r="R547" s="7"/>
    </row>
    <row r="548" spans="1:18">
      <c r="A548" s="4" t="s">
        <v>782</v>
      </c>
      <c r="B548" s="4">
        <f t="shared" si="8"/>
        <v>3</v>
      </c>
      <c r="C548" s="4" t="s">
        <v>513</v>
      </c>
      <c r="D548" s="1" t="str">
        <f>IFERROR(VLOOKUP(A548,[1]biopep_DB!$F$2:$J$1654,5,0),)</f>
        <v/>
      </c>
      <c r="E548" s="1" t="str">
        <f>IFERROR(VLOOKUP(A548,[1]biopep_DB!$F$2:$L$1654,6,0),0)</f>
        <v/>
      </c>
      <c r="F548" s="1" t="str">
        <f>IFERROR(VLOOKUP(A548,[1]biopep_DB!$F$2:$L$1654,7,0),0)</f>
        <v/>
      </c>
      <c r="G548" s="5">
        <v>407.46</v>
      </c>
      <c r="H548" s="5">
        <v>4.05</v>
      </c>
      <c r="I548" s="5">
        <v>-1.24</v>
      </c>
      <c r="J548" s="6">
        <v>1.2667</v>
      </c>
      <c r="K548" s="5">
        <v>153.13</v>
      </c>
      <c r="L548" s="6">
        <v>0.6667</v>
      </c>
      <c r="M548" s="6">
        <v>-2.0867</v>
      </c>
      <c r="N548" s="6">
        <v>0.3333</v>
      </c>
      <c r="O548" s="6">
        <v>0</v>
      </c>
      <c r="P548" s="6">
        <v>0.6667</v>
      </c>
      <c r="Q548" s="7"/>
      <c r="R548" s="7"/>
    </row>
    <row r="549" spans="1:18">
      <c r="A549" s="4" t="s">
        <v>783</v>
      </c>
      <c r="B549" s="4">
        <f t="shared" si="8"/>
        <v>5</v>
      </c>
      <c r="C549" s="4" t="s">
        <v>31</v>
      </c>
      <c r="D549" s="1" t="str">
        <f>IFERROR(VLOOKUP(A549,[1]biopep_DB!$F$2:$J$1654,5,0),)</f>
        <v/>
      </c>
      <c r="E549" s="1" t="str">
        <f>IFERROR(VLOOKUP(A549,[1]biopep_DB!$F$2:$L$1654,6,0),0)</f>
        <v/>
      </c>
      <c r="F549" s="1" t="str">
        <f>IFERROR(VLOOKUP(A549,[1]biopep_DB!$F$2:$L$1654,7,0),0)</f>
        <v/>
      </c>
      <c r="G549" s="5">
        <v>664.7</v>
      </c>
      <c r="H549" s="5">
        <v>4.05</v>
      </c>
      <c r="I549" s="5">
        <v>-2.23</v>
      </c>
      <c r="J549" s="6">
        <v>-0.64</v>
      </c>
      <c r="K549" s="5">
        <v>134.4</v>
      </c>
      <c r="L549" s="6">
        <v>0.4</v>
      </c>
      <c r="M549" s="6">
        <v>-0.652</v>
      </c>
      <c r="N549" s="6">
        <v>0.4</v>
      </c>
      <c r="O549" s="6">
        <v>0</v>
      </c>
      <c r="P549" s="6">
        <v>0.4</v>
      </c>
      <c r="Q549" s="7"/>
      <c r="R549" s="7"/>
    </row>
    <row r="550" spans="1:18">
      <c r="A550" s="4" t="s">
        <v>784</v>
      </c>
      <c r="B550" s="4">
        <f t="shared" si="8"/>
        <v>4</v>
      </c>
      <c r="C550" s="4" t="s">
        <v>785</v>
      </c>
      <c r="D550" s="1" t="str">
        <f>IFERROR(VLOOKUP(A550,[1]biopep_DB!$F$2:$J$1654,5,0),)</f>
        <v/>
      </c>
      <c r="E550" s="1" t="str">
        <f>IFERROR(VLOOKUP(A550,[1]biopep_DB!$F$2:$L$1654,6,0),0)</f>
        <v/>
      </c>
      <c r="F550" s="1" t="str">
        <f>IFERROR(VLOOKUP(A550,[1]biopep_DB!$F$2:$L$1654,7,0),0)</f>
        <v/>
      </c>
      <c r="G550" s="5">
        <v>485.57</v>
      </c>
      <c r="H550" s="5">
        <v>6</v>
      </c>
      <c r="I550" s="5">
        <v>-0.24</v>
      </c>
      <c r="J550" s="6">
        <v>-1.125</v>
      </c>
      <c r="K550" s="5">
        <v>98.5</v>
      </c>
      <c r="L550" s="6">
        <v>0.5</v>
      </c>
      <c r="M550" s="6">
        <v>-0.425</v>
      </c>
      <c r="N550" s="6">
        <v>0.5</v>
      </c>
      <c r="O550" s="6">
        <v>0.25</v>
      </c>
      <c r="P550" s="6">
        <v>0.25</v>
      </c>
      <c r="Q550" s="7"/>
      <c r="R550" s="7"/>
    </row>
    <row r="551" spans="1:18">
      <c r="A551" s="4" t="s">
        <v>786</v>
      </c>
      <c r="B551" s="4">
        <f t="shared" si="8"/>
        <v>5</v>
      </c>
      <c r="C551" s="4" t="s">
        <v>332</v>
      </c>
      <c r="D551" s="1" t="str">
        <f>IFERROR(VLOOKUP(A551,[1]biopep_DB!$F$2:$J$1654,5,0),)</f>
        <v/>
      </c>
      <c r="E551" s="1" t="str">
        <f>IFERROR(VLOOKUP(A551,[1]biopep_DB!$F$2:$L$1654,6,0),0)</f>
        <v/>
      </c>
      <c r="F551" s="1" t="str">
        <f>IFERROR(VLOOKUP(A551,[1]biopep_DB!$F$2:$L$1654,7,0),0)</f>
        <v/>
      </c>
      <c r="G551" s="5">
        <v>582.69</v>
      </c>
      <c r="H551" s="5">
        <v>6</v>
      </c>
      <c r="I551" s="5">
        <v>-0.24</v>
      </c>
      <c r="J551" s="6">
        <v>-1.22</v>
      </c>
      <c r="K551" s="5">
        <v>119.32</v>
      </c>
      <c r="L551" s="6">
        <v>0.6</v>
      </c>
      <c r="M551" s="6">
        <v>-0.34</v>
      </c>
      <c r="N551" s="6">
        <v>0.4</v>
      </c>
      <c r="O551" s="6">
        <v>0.4</v>
      </c>
      <c r="P551" s="6">
        <v>0.2</v>
      </c>
      <c r="Q551" s="7"/>
      <c r="R551" s="7"/>
    </row>
    <row r="552" spans="1:18">
      <c r="A552" s="4" t="s">
        <v>787</v>
      </c>
      <c r="B552" s="4">
        <f t="shared" si="8"/>
        <v>6</v>
      </c>
      <c r="C552" s="4" t="s">
        <v>788</v>
      </c>
      <c r="D552" s="1" t="str">
        <f>IFERROR(VLOOKUP(A552,[1]biopep_DB!$F$2:$J$1654,5,0),)</f>
        <v>A new QSAR model, for angiotensin I-converting enzyme inhibitory oligopeptides.</v>
      </c>
      <c r="E552" s="1" t="str">
        <f>IFERROR(VLOOKUP(A552,[1]biopep_DB!$F$2:$L$1654,6,0),0)</f>
        <v>10.1016/j.foodchem.2012.09.092</v>
      </c>
      <c r="F552" s="1" t="str">
        <f>IFERROR(VLOOKUP(A552,[1]biopep_DB!$F$2:$L$1654,7,0),0)</f>
        <v>23194537</v>
      </c>
      <c r="G552" s="5">
        <v>640.77</v>
      </c>
      <c r="H552" s="5">
        <v>4.05</v>
      </c>
      <c r="I552" s="5">
        <v>-1.24</v>
      </c>
      <c r="J552" s="6">
        <v>1.1</v>
      </c>
      <c r="K552" s="5">
        <v>113.67</v>
      </c>
      <c r="L552" s="6">
        <v>0.6667</v>
      </c>
      <c r="M552" s="6">
        <v>-2.3433</v>
      </c>
      <c r="N552" s="6">
        <v>0.5</v>
      </c>
      <c r="O552" s="6">
        <v>0.3333</v>
      </c>
      <c r="P552" s="6">
        <v>0.5</v>
      </c>
      <c r="Q552" s="7"/>
      <c r="R552" s="7"/>
    </row>
    <row r="553" spans="1:18">
      <c r="A553" s="4" t="s">
        <v>789</v>
      </c>
      <c r="B553" s="4">
        <f t="shared" si="8"/>
        <v>3</v>
      </c>
      <c r="C553" s="4" t="s">
        <v>31</v>
      </c>
      <c r="D553" s="1" t="str">
        <f>IFERROR(VLOOKUP(A553,[1]biopep_DB!$F$2:$J$1654,5,0),)</f>
        <v>Structural requirements of Angiotensin I-converting enzyme inhibitory peptides: quantitative structure-activity relationship study of di- and tripeptides.</v>
      </c>
      <c r="E553" s="1" t="str">
        <f>IFERROR(VLOOKUP(A553,[1]biopep_DB!$F$2:$L$1654,6,0),0)</f>
        <v>10.1021/jf051263l</v>
      </c>
      <c r="F553" s="1" t="str">
        <f>IFERROR(VLOOKUP(A553,[1]biopep_DB!$F$2:$L$1654,7,0),0)</f>
        <v>16448176</v>
      </c>
      <c r="G553" s="5">
        <v>357.4</v>
      </c>
      <c r="H553" s="5">
        <v>4.05</v>
      </c>
      <c r="I553" s="5">
        <v>-1.24</v>
      </c>
      <c r="J553" s="6">
        <v>-0.2</v>
      </c>
      <c r="K553" s="5">
        <v>217.33</v>
      </c>
      <c r="L553" s="6">
        <v>0.6667</v>
      </c>
      <c r="M553" s="6">
        <v>-1.0933</v>
      </c>
      <c r="N553" s="6">
        <v>0.3333</v>
      </c>
      <c r="O553" s="6">
        <v>0.3333</v>
      </c>
      <c r="P553" s="6">
        <v>0.3333</v>
      </c>
      <c r="Q553" s="7"/>
      <c r="R553" s="7"/>
    </row>
    <row r="554" spans="1:18">
      <c r="A554" s="4" t="s">
        <v>790</v>
      </c>
      <c r="B554" s="4">
        <f t="shared" si="8"/>
        <v>5</v>
      </c>
      <c r="C554" s="4"/>
      <c r="D554" s="1" t="str">
        <f>IFERROR(VLOOKUP(A554,[1]biopep_DB!$F$2:$J$1654,5,0),)</f>
        <v/>
      </c>
      <c r="E554" s="1" t="str">
        <f>IFERROR(VLOOKUP(A554,[1]biopep_DB!$F$2:$L$1654,6,0),0)</f>
        <v/>
      </c>
      <c r="F554" s="1" t="str">
        <f>IFERROR(VLOOKUP(A554,[1]biopep_DB!$F$2:$L$1654,7,0),0)</f>
        <v/>
      </c>
      <c r="G554" s="5">
        <v>542.58</v>
      </c>
      <c r="H554" s="5">
        <v>4.05</v>
      </c>
      <c r="I554" s="5">
        <v>-1.24</v>
      </c>
      <c r="J554" s="6">
        <v>-0.9</v>
      </c>
      <c r="K554" s="5">
        <v>172.92</v>
      </c>
      <c r="L554" s="6">
        <v>0.4</v>
      </c>
      <c r="M554" s="6">
        <v>-0.572</v>
      </c>
      <c r="N554" s="6">
        <v>0.2</v>
      </c>
      <c r="O554" s="6">
        <v>0.4</v>
      </c>
      <c r="P554" s="6">
        <v>0.2</v>
      </c>
      <c r="Q554" s="7"/>
      <c r="R554" s="7"/>
    </row>
    <row r="555" spans="1:18">
      <c r="A555" s="4" t="s">
        <v>791</v>
      </c>
      <c r="B555" s="4">
        <f t="shared" si="8"/>
        <v>3</v>
      </c>
      <c r="C555" s="4" t="s">
        <v>792</v>
      </c>
      <c r="D555" s="1" t="str">
        <f>IFERROR(VLOOKUP(A555,[1]biopep_DB!$F$2:$J$1654,5,0),)</f>
        <v>Arachin derived peptides as selective angiotensin I-converting enzyme (ACE) inhibitors: structure-activity relationship.</v>
      </c>
      <c r="E555" s="1" t="str">
        <f>IFERROR(VLOOKUP(A555,[1]biopep_DB!$F$2:$L$1654,6,0),0)</f>
        <v>10.1016/j.peptides.2010.02.022</v>
      </c>
      <c r="F555" s="1" t="str">
        <f>IFERROR(VLOOKUP(A555,[1]biopep_DB!$F$2:$L$1654,7,0),0)</f>
        <v>20214946</v>
      </c>
      <c r="G555" s="5">
        <v>446.5</v>
      </c>
      <c r="H555" s="5">
        <v>4.05</v>
      </c>
      <c r="I555" s="5">
        <v>-1.24</v>
      </c>
      <c r="J555" s="6">
        <v>0.0333</v>
      </c>
      <c r="K555" s="5">
        <v>103.03</v>
      </c>
      <c r="L555" s="6">
        <v>0.6667</v>
      </c>
      <c r="M555" s="6">
        <v>-1.87</v>
      </c>
      <c r="N555" s="6">
        <v>0.3333</v>
      </c>
      <c r="O555" s="6">
        <v>0</v>
      </c>
      <c r="P555" s="6">
        <v>0.6667</v>
      </c>
      <c r="Q555" s="7"/>
      <c r="R555" s="7"/>
    </row>
    <row r="556" spans="1:18">
      <c r="A556" s="4" t="s">
        <v>793</v>
      </c>
      <c r="B556" s="4">
        <f t="shared" si="8"/>
        <v>5</v>
      </c>
      <c r="C556" s="4" t="s">
        <v>31</v>
      </c>
      <c r="D556" s="1" t="str">
        <f>IFERROR(VLOOKUP(A556,[1]biopep_DB!$F$2:$J$1654,5,0),)</f>
        <v/>
      </c>
      <c r="E556" s="1" t="str">
        <f>IFERROR(VLOOKUP(A556,[1]biopep_DB!$F$2:$L$1654,6,0),0)</f>
        <v/>
      </c>
      <c r="F556" s="1" t="str">
        <f>IFERROR(VLOOKUP(A556,[1]biopep_DB!$F$2:$L$1654,7,0),0)</f>
        <v/>
      </c>
      <c r="G556" s="5">
        <v>632.66</v>
      </c>
      <c r="H556" s="5">
        <v>4.05</v>
      </c>
      <c r="I556" s="5">
        <v>-2.23</v>
      </c>
      <c r="J556" s="6">
        <v>-0.76</v>
      </c>
      <c r="K556" s="5">
        <v>65.82</v>
      </c>
      <c r="L556" s="6">
        <v>0.4</v>
      </c>
      <c r="M556" s="6">
        <v>-0.982</v>
      </c>
      <c r="N556" s="6">
        <v>0.4</v>
      </c>
      <c r="O556" s="6">
        <v>0.2</v>
      </c>
      <c r="P556" s="6">
        <v>0.4</v>
      </c>
      <c r="Q556" s="7"/>
      <c r="R556" s="7"/>
    </row>
    <row r="557" spans="1:18">
      <c r="A557" s="4" t="s">
        <v>794</v>
      </c>
      <c r="B557" s="4">
        <f t="shared" si="8"/>
        <v>3</v>
      </c>
      <c r="C557" s="4" t="s">
        <v>31</v>
      </c>
      <c r="D557" s="1" t="str">
        <f>IFERROR(VLOOKUP(A557,[1]biopep_DB!$F$2:$J$1654,5,0),)</f>
        <v>Arachin derived peptides as selective angiotensin I-converting enzyme (ACE) inhibitors: structure-activity relationship.; What are the ideal properties for functional food peptides with antihypertensive effect? A computational peptidology approach.</v>
      </c>
      <c r="E557" s="1" t="str">
        <f>IFERROR(VLOOKUP(A557,[1]biopep_DB!$F$2:$L$1654,6,0),0)</f>
        <v>10.1016/j.peptides.2010.02.022; 10.1016/j.foodchem.2013.05.140</v>
      </c>
      <c r="F557" s="1" t="str">
        <f>IFERROR(VLOOKUP(A557,[1]biopep_DB!$F$2:$L$1654,7,0),0)</f>
        <v>20214946 23871047</v>
      </c>
      <c r="G557" s="5">
        <v>423.46</v>
      </c>
      <c r="H557" s="5">
        <v>4.05</v>
      </c>
      <c r="I557" s="5">
        <v>-1.24</v>
      </c>
      <c r="J557" s="6">
        <v>-0.1</v>
      </c>
      <c r="K557" s="5">
        <v>153.13</v>
      </c>
      <c r="L557" s="6">
        <v>0.3333</v>
      </c>
      <c r="M557" s="6">
        <v>-1.0467</v>
      </c>
      <c r="N557" s="6">
        <v>0.3333</v>
      </c>
      <c r="O557" s="6">
        <v>0</v>
      </c>
      <c r="P557" s="6">
        <v>0.6667</v>
      </c>
      <c r="Q557" s="7"/>
      <c r="R557" s="7"/>
    </row>
    <row r="558" spans="1:18">
      <c r="A558" s="4" t="s">
        <v>795</v>
      </c>
      <c r="B558" s="4">
        <f t="shared" si="8"/>
        <v>2</v>
      </c>
      <c r="C558" s="4" t="s">
        <v>36</v>
      </c>
      <c r="D558" s="1" t="str">
        <f>IFERROR(VLOOKUP(A558,[1]biopep_DB!$F$2:$J$1654,5,0),)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
      <c r="E558" s="1" t="str">
        <f>IFERROR(VLOOKUP(A558,[1]biopep_DB!$F$2:$L$1654,6,0),0)</f>
        <v>10.1021/jf051263l; 10.1002/psc.800; 10.1002/psc.892; 10.1007/s00894-010-0862-x; 10.1016/j.talanta.2012.12.041; 10.1016/j.jprot.2013.06.023; 10.1016/j.foodchem.2013.05.140; 10.1080/10408398.2012.664829</v>
      </c>
      <c r="F558" s="1" t="str">
        <f>IFERROR(VLOOKUP(A558,[1]biopep_DB!$F$2:$L$1654,7,0),0)</f>
        <v>6243277 16448176 17117396 17654623 20941517 23598136 23806758 23871047 24915368</v>
      </c>
      <c r="G558" s="5">
        <v>278.35</v>
      </c>
      <c r="H558" s="5">
        <v>5.53</v>
      </c>
      <c r="I558" s="5">
        <v>-0.24</v>
      </c>
      <c r="J558" s="6">
        <v>3.65</v>
      </c>
      <c r="K558" s="5">
        <v>5</v>
      </c>
      <c r="L558" s="6">
        <v>1</v>
      </c>
      <c r="M558" s="6">
        <v>-3.95</v>
      </c>
      <c r="N558" s="6">
        <v>0</v>
      </c>
      <c r="O558" s="6">
        <v>0</v>
      </c>
      <c r="P558" s="6">
        <v>1</v>
      </c>
      <c r="Q558" s="7"/>
      <c r="R558" s="7"/>
    </row>
    <row r="559" spans="1:18">
      <c r="A559" s="4" t="s">
        <v>796</v>
      </c>
      <c r="B559" s="4">
        <f t="shared" si="8"/>
        <v>3</v>
      </c>
      <c r="C559" s="4" t="s">
        <v>559</v>
      </c>
      <c r="D559" s="1" t="str">
        <f>IFERROR(VLOOKUP(A559,[1]biopep_DB!$F$2:$J$1654,5,0),)</f>
        <v/>
      </c>
      <c r="E559" s="1" t="str">
        <f>IFERROR(VLOOKUP(A559,[1]biopep_DB!$F$2:$L$1654,6,0),0)</f>
        <v/>
      </c>
      <c r="F559" s="1" t="str">
        <f>IFERROR(VLOOKUP(A559,[1]biopep_DB!$F$2:$L$1654,7,0),0)</f>
        <v>[Ref. Article]</v>
      </c>
      <c r="G559" s="5">
        <v>335.4</v>
      </c>
      <c r="H559" s="5">
        <v>5.53</v>
      </c>
      <c r="I559" s="5">
        <v>-0.24</v>
      </c>
      <c r="J559" s="6">
        <v>2.3</v>
      </c>
      <c r="K559" s="5">
        <v>6.67</v>
      </c>
      <c r="L559" s="6">
        <v>0.6667</v>
      </c>
      <c r="M559" s="6">
        <v>-2.9467</v>
      </c>
      <c r="N559" s="6">
        <v>0</v>
      </c>
      <c r="O559" s="6">
        <v>0.3333</v>
      </c>
      <c r="P559" s="6">
        <v>0.6667</v>
      </c>
      <c r="Q559" s="7"/>
      <c r="R559" s="7"/>
    </row>
    <row r="560" spans="1:18">
      <c r="A560" s="4" t="s">
        <v>797</v>
      </c>
      <c r="B560" s="4">
        <f t="shared" si="8"/>
        <v>3</v>
      </c>
      <c r="C560" s="4" t="s">
        <v>36</v>
      </c>
      <c r="D560" s="1" t="str">
        <f>IFERROR(VLOOKUP(A560,[1]biopep_DB!$F$2:$J$1654,5,0),)</f>
        <v>Angiotensin I-converting enzyme inhibitory peptides isolated from tofuyo fermented soybean food.; Structural requirements of Angiotensin I-converting enzyme inhibitory peptides: quantitative structure-activity relationship study of di- and tripeptides.; Vegetable foods: a cheap source of proteins and peptides with antihypertensive, antioxidant, and other less occurrence bioactivities.; What are the ideal properties for functional food peptides with antihypertensive effect? A computational peptidology approach.; Glycinyl-histidinyl-serine (GHS), a novel rapeseed protein-derived peptide has blood pressure-lowering effect in spontaneously hypertensive rats.</v>
      </c>
      <c r="E560" s="1" t="str">
        <f>IFERROR(VLOOKUP(A560,[1]biopep_DB!$F$2:$L$1654,6,0),0)</f>
        <v>10.1271/bbb.67.1278; 10.1021/jf051263l; 10.1016/j.talanta.2012.12.041; 10.1016/j.foodchem.2013.05.140; 10.1021/jf400865m</v>
      </c>
      <c r="F560" s="1" t="str">
        <f>IFERROR(VLOOKUP(A560,[1]biopep_DB!$F$2:$L$1654,7,0),0)</f>
        <v>12843654 16448176 23598136 23871047 23919612</v>
      </c>
      <c r="G560" s="5">
        <v>391.5</v>
      </c>
      <c r="H560" s="5">
        <v>5.53</v>
      </c>
      <c r="I560" s="5">
        <v>-0.24</v>
      </c>
      <c r="J560" s="6">
        <v>3.7</v>
      </c>
      <c r="K560" s="5">
        <v>6.67</v>
      </c>
      <c r="L560" s="6">
        <v>1</v>
      </c>
      <c r="M560" s="6">
        <v>-4.2733</v>
      </c>
      <c r="N560" s="6">
        <v>0.3333</v>
      </c>
      <c r="O560" s="6">
        <v>0</v>
      </c>
      <c r="P560" s="6">
        <v>1</v>
      </c>
      <c r="Q560" s="7"/>
      <c r="R560" s="7"/>
    </row>
    <row r="561" spans="1:18">
      <c r="A561" s="4" t="s">
        <v>798</v>
      </c>
      <c r="B561" s="4">
        <f t="shared" si="8"/>
        <v>6</v>
      </c>
      <c r="C561" s="4" t="s">
        <v>799</v>
      </c>
      <c r="D561" s="1" t="str">
        <f>IFERROR(VLOOKUP(A561,[1]biopep_DB!$F$2:$J$1654,5,0),)</f>
        <v>Analysis of novel angiotensin-I-converting enzyme inhibitory peptides from protease-hydrolyzed marine shrimp Acetes chinensis.; Review on the angiotensin-I-converting enzyme (ACE) inhibitor peptides from marine proteins.; Rational design of angiotensin-I-converting enzyme inhibitory peptides by integrating in silico modeling and an in vitro assay.</v>
      </c>
      <c r="E561" s="1" t="str">
        <f>IFERROR(VLOOKUP(A561,[1]biopep_DB!$F$2:$L$1654,6,0),0)</f>
        <v>10.1002/psc.789; 10.1007/s12010-012-0024-y; 10.1002/cmdc.201300132</v>
      </c>
      <c r="F561" s="1" t="str">
        <f>IFERROR(VLOOKUP(A561,[1]biopep_DB!$F$2:$L$1654,7,0),0)</f>
        <v>16981241 23271625 23740817</v>
      </c>
      <c r="G561" s="5">
        <v>692.84</v>
      </c>
      <c r="H561" s="5">
        <v>5.53</v>
      </c>
      <c r="I561" s="5">
        <v>-0.24</v>
      </c>
      <c r="J561" s="6">
        <v>2.4167</v>
      </c>
      <c r="K561" s="5">
        <v>72.53</v>
      </c>
      <c r="L561" s="6">
        <v>1</v>
      </c>
      <c r="M561" s="6">
        <v>-2.7883</v>
      </c>
      <c r="N561" s="6">
        <v>0.1667</v>
      </c>
      <c r="O561" s="6">
        <v>0.1667</v>
      </c>
      <c r="P561" s="6">
        <v>0.6667</v>
      </c>
      <c r="Q561" s="7"/>
      <c r="R561" s="7"/>
    </row>
    <row r="562" spans="1:18">
      <c r="A562" s="4" t="s">
        <v>800</v>
      </c>
      <c r="B562" s="4">
        <f t="shared" si="8"/>
        <v>2</v>
      </c>
      <c r="C562" s="4" t="s">
        <v>36</v>
      </c>
      <c r="D562" s="1" t="str">
        <f>IFERROR(VLOOKUP(A562,[1]biopep_DB!$F$2:$J$1654,5,0),)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v>
      </c>
      <c r="E562" s="1" t="str">
        <f>IFERROR(VLOOKUP(A562,[1]biopep_DB!$F$2:$L$1654,6,0),0)</f>
        <v>10.1021/jf051263l; 10.1002/psc.892; 10.1007/s00894-010-0862-x; 10.1016/j.jprot.2013.06.023</v>
      </c>
      <c r="F562" s="1" t="str">
        <f>IFERROR(VLOOKUP(A562,[1]biopep_DB!$F$2:$L$1654,7,0),0)</f>
        <v>6243277 16448176 17654623 20941517 23806758</v>
      </c>
      <c r="G562" s="5">
        <v>188.22</v>
      </c>
      <c r="H562" s="5">
        <v>5.53</v>
      </c>
      <c r="I562" s="5">
        <v>-0.24</v>
      </c>
      <c r="J562" s="6">
        <v>2.05</v>
      </c>
      <c r="K562" s="5">
        <v>5</v>
      </c>
      <c r="L562" s="6">
        <v>0.5</v>
      </c>
      <c r="M562" s="6">
        <v>-2.93</v>
      </c>
      <c r="N562" s="6">
        <v>0</v>
      </c>
      <c r="O562" s="6">
        <v>0.5</v>
      </c>
      <c r="P562" s="6">
        <v>0.5</v>
      </c>
      <c r="Q562" s="7"/>
      <c r="R562" s="7"/>
    </row>
    <row r="563" spans="1:18">
      <c r="A563" s="4" t="s">
        <v>801</v>
      </c>
      <c r="B563" s="4">
        <f t="shared" si="8"/>
        <v>10</v>
      </c>
      <c r="C563" s="4" t="s">
        <v>403</v>
      </c>
      <c r="D563" s="1" t="str">
        <f>IFERROR(VLOOKUP(A563,[1]biopep_DB!$F$2:$J$1654,5,0),)</f>
        <v/>
      </c>
      <c r="E563" s="1" t="str">
        <f>IFERROR(VLOOKUP(A563,[1]biopep_DB!$F$2:$L$1654,6,0),0)</f>
        <v/>
      </c>
      <c r="F563" s="1" t="str">
        <f>IFERROR(VLOOKUP(A563,[1]biopep_DB!$F$2:$L$1654,7,0),0)</f>
        <v/>
      </c>
      <c r="G563" s="5">
        <v>1104.21</v>
      </c>
      <c r="H563" s="5">
        <v>4.05</v>
      </c>
      <c r="I563" s="5">
        <v>-2.24</v>
      </c>
      <c r="J563" s="6">
        <v>0.01</v>
      </c>
      <c r="K563" s="5">
        <v>28.26</v>
      </c>
      <c r="L563" s="6">
        <v>0.5</v>
      </c>
      <c r="M563" s="6">
        <v>-1.243</v>
      </c>
      <c r="N563" s="6">
        <v>0.4</v>
      </c>
      <c r="O563" s="6">
        <v>0.4</v>
      </c>
      <c r="P563" s="6">
        <v>0.4</v>
      </c>
      <c r="Q563" s="7"/>
      <c r="R563" s="7"/>
    </row>
    <row r="564" spans="1:18">
      <c r="A564" s="4" t="s">
        <v>802</v>
      </c>
      <c r="B564" s="4">
        <f t="shared" si="8"/>
        <v>5</v>
      </c>
      <c r="C564" s="4" t="s">
        <v>803</v>
      </c>
      <c r="D564" s="1" t="str">
        <f>IFERROR(VLOOKUP(A564,[1]biopep_DB!$F$2:$J$1654,5,0),)</f>
        <v>Isolation and characterization of peptides with antihypertensive activity in foodstuffs.</v>
      </c>
      <c r="E564" s="1" t="str">
        <f>IFERROR(VLOOKUP(A564,[1]biopep_DB!$F$2:$L$1654,6,0),0)</f>
        <v>10.1080/10408398.2012.664829</v>
      </c>
      <c r="F564" s="1" t="str">
        <f>IFERROR(VLOOKUP(A564,[1]biopep_DB!$F$2:$L$1654,7,0),0)</f>
        <v>24915368</v>
      </c>
      <c r="G564" s="5">
        <v>445.51</v>
      </c>
      <c r="H564" s="5">
        <v>5.53</v>
      </c>
      <c r="I564" s="5">
        <v>-0.24</v>
      </c>
      <c r="J564" s="6">
        <v>1.48</v>
      </c>
      <c r="K564" s="5">
        <v>32.68</v>
      </c>
      <c r="L564" s="6">
        <v>0.4</v>
      </c>
      <c r="M564" s="6">
        <v>-2.176</v>
      </c>
      <c r="N564" s="6">
        <v>0</v>
      </c>
      <c r="O564" s="6">
        <v>0.6</v>
      </c>
      <c r="P564" s="6">
        <v>0.4</v>
      </c>
      <c r="Q564" s="7"/>
      <c r="R564" s="7"/>
    </row>
    <row r="565" spans="1:18">
      <c r="A565" s="4" t="s">
        <v>804</v>
      </c>
      <c r="B565" s="4">
        <f t="shared" si="8"/>
        <v>5</v>
      </c>
      <c r="C565" s="4" t="s">
        <v>31</v>
      </c>
      <c r="D565" s="1" t="str">
        <f>IFERROR(VLOOKUP(A565,[1]biopep_DB!$F$2:$J$1654,5,0),)</f>
        <v/>
      </c>
      <c r="E565" s="1" t="str">
        <f>IFERROR(VLOOKUP(A565,[1]biopep_DB!$F$2:$L$1654,6,0),0)</f>
        <v/>
      </c>
      <c r="F565" s="1" t="str">
        <f>IFERROR(VLOOKUP(A565,[1]biopep_DB!$F$2:$L$1654,7,0),0)</f>
        <v/>
      </c>
      <c r="G565" s="5">
        <v>430.5</v>
      </c>
      <c r="H565" s="5">
        <v>8.75</v>
      </c>
      <c r="I565" s="5">
        <v>0.76</v>
      </c>
      <c r="J565" s="6">
        <v>-0.12</v>
      </c>
      <c r="K565" s="5">
        <v>-1.28</v>
      </c>
      <c r="L565" s="6">
        <v>0.2</v>
      </c>
      <c r="M565" s="6">
        <v>-1.232</v>
      </c>
      <c r="N565" s="6">
        <v>0.2</v>
      </c>
      <c r="O565" s="6">
        <v>0.6</v>
      </c>
      <c r="P565" s="6">
        <v>0.2</v>
      </c>
      <c r="Q565" s="7"/>
      <c r="R565" s="7"/>
    </row>
    <row r="566" spans="1:18">
      <c r="A566" s="4" t="s">
        <v>805</v>
      </c>
      <c r="B566" s="4">
        <f t="shared" si="8"/>
        <v>6</v>
      </c>
      <c r="C566" s="4"/>
      <c r="D566" s="1" t="str">
        <f>IFERROR(VLOOKUP(A566,[1]biopep_DB!$F$2:$J$1654,5,0),)</f>
        <v>Isolation and characterization of peptides with antihypertensive activity in foodstuffs.</v>
      </c>
      <c r="E566" s="1" t="str">
        <f>IFERROR(VLOOKUP(A566,[1]biopep_DB!$F$2:$L$1654,6,0),0)</f>
        <v>10.1080/10408398.2012.664829</v>
      </c>
      <c r="F566" s="1" t="str">
        <f>IFERROR(VLOOKUP(A566,[1]biopep_DB!$F$2:$L$1654,7,0),0)</f>
        <v>24915368</v>
      </c>
      <c r="G566" s="5">
        <v>629.75</v>
      </c>
      <c r="H566" s="5">
        <v>5.53</v>
      </c>
      <c r="I566" s="5">
        <v>-0.24</v>
      </c>
      <c r="J566" s="6">
        <v>1.3667</v>
      </c>
      <c r="K566" s="5">
        <v>-19.97</v>
      </c>
      <c r="L566" s="6">
        <v>0.5</v>
      </c>
      <c r="M566" s="6">
        <v>-2.3033</v>
      </c>
      <c r="N566" s="6">
        <v>0.1667</v>
      </c>
      <c r="O566" s="6">
        <v>0.3333</v>
      </c>
      <c r="P566" s="6">
        <v>0.6667</v>
      </c>
      <c r="Q566" s="7"/>
      <c r="R566" s="7"/>
    </row>
    <row r="567" spans="1:18">
      <c r="A567" s="4" t="s">
        <v>806</v>
      </c>
      <c r="B567" s="4">
        <f t="shared" si="8"/>
        <v>12</v>
      </c>
      <c r="C567" s="4" t="s">
        <v>807</v>
      </c>
      <c r="D567" s="1" t="str">
        <f>IFERROR(VLOOKUP(A567,[1]biopep_DB!$F$2:$J$1654,5,0),)</f>
        <v>Casein fermentate of Lactobacillus animalis DPC6134 contains a range of novel propeptide angiotensin-converting enzyme inhibitors.; A new QSAR model, for angiotensin I-converting enzyme inhibitory oligopeptides.</v>
      </c>
      <c r="E567" s="1" t="str">
        <f>IFERROR(VLOOKUP(A567,[1]biopep_DB!$F$2:$L$1654,6,0),0)</f>
        <v>10.1128/AEM.00096-07; 10.1016/j.foodchem.2012.09.092</v>
      </c>
      <c r="F567" s="1" t="str">
        <f>IFERROR(VLOOKUP(A567,[1]biopep_DB!$F$2:$L$1654,7,0),0)</f>
        <v>17483275 23194537</v>
      </c>
      <c r="G567" s="5">
        <v>1293.4</v>
      </c>
      <c r="H567" s="5">
        <v>4.53</v>
      </c>
      <c r="I567" s="5">
        <v>-1.24</v>
      </c>
      <c r="J567" s="6">
        <v>-1.0833</v>
      </c>
      <c r="K567" s="5">
        <v>77.88</v>
      </c>
      <c r="L567" s="6">
        <v>0.25</v>
      </c>
      <c r="M567" s="6">
        <v>0.0392</v>
      </c>
      <c r="N567" s="6">
        <v>0.3333</v>
      </c>
      <c r="O567" s="6">
        <v>0.4167</v>
      </c>
      <c r="P567" s="6">
        <v>0.25</v>
      </c>
      <c r="Q567" s="7"/>
      <c r="R567" s="7"/>
    </row>
    <row r="568" spans="1:18">
      <c r="A568" s="4" t="s">
        <v>808</v>
      </c>
      <c r="B568" s="4">
        <f t="shared" si="8"/>
        <v>3</v>
      </c>
      <c r="C568" s="4" t="s">
        <v>31</v>
      </c>
      <c r="D568" s="1" t="str">
        <f>IFERROR(VLOOKUP(A568,[1]biopep_DB!$F$2:$J$1654,5,0),)</f>
        <v/>
      </c>
      <c r="E568" s="1" t="str">
        <f>IFERROR(VLOOKUP(A568,[1]biopep_DB!$F$2:$L$1654,6,0),0)</f>
        <v/>
      </c>
      <c r="F568" s="1" t="str">
        <f>IFERROR(VLOOKUP(A568,[1]biopep_DB!$F$2:$L$1654,7,0),0)</f>
        <v/>
      </c>
      <c r="G568" s="5">
        <v>374.43</v>
      </c>
      <c r="H568" s="5">
        <v>5.53</v>
      </c>
      <c r="I568" s="5">
        <v>-0.24</v>
      </c>
      <c r="J568" s="6">
        <v>1.0667</v>
      </c>
      <c r="K568" s="5">
        <v>47.8</v>
      </c>
      <c r="L568" s="6">
        <v>0.6667</v>
      </c>
      <c r="M568" s="6">
        <v>-2.73</v>
      </c>
      <c r="N568" s="6">
        <v>0</v>
      </c>
      <c r="O568" s="6">
        <v>0.3333</v>
      </c>
      <c r="P568" s="6">
        <v>0.6667</v>
      </c>
      <c r="Q568" s="7"/>
      <c r="R568" s="7"/>
    </row>
    <row r="569" spans="1:18">
      <c r="A569" s="4" t="s">
        <v>809</v>
      </c>
      <c r="B569" s="4">
        <f t="shared" si="8"/>
        <v>5</v>
      </c>
      <c r="C569" s="4" t="s">
        <v>31</v>
      </c>
      <c r="D569" s="1" t="str">
        <f>IFERROR(VLOOKUP(A569,[1]biopep_DB!$F$2:$J$1654,5,0),)</f>
        <v/>
      </c>
      <c r="E569" s="1" t="str">
        <f>IFERROR(VLOOKUP(A569,[1]biopep_DB!$F$2:$L$1654,6,0),0)</f>
        <v/>
      </c>
      <c r="F569" s="1" t="str">
        <f>IFERROR(VLOOKUP(A569,[1]biopep_DB!$F$2:$L$1654,7,0),0)</f>
        <v/>
      </c>
      <c r="G569" s="5">
        <v>593.63</v>
      </c>
      <c r="H569" s="5">
        <v>5.52</v>
      </c>
      <c r="I569" s="5">
        <v>-0.24</v>
      </c>
      <c r="J569" s="6">
        <v>-0.84</v>
      </c>
      <c r="K569" s="5">
        <v>-24.06</v>
      </c>
      <c r="L569" s="6">
        <v>0.2</v>
      </c>
      <c r="M569" s="6">
        <v>-0.548</v>
      </c>
      <c r="N569" s="6">
        <v>0</v>
      </c>
      <c r="O569" s="6">
        <v>0.4</v>
      </c>
      <c r="P569" s="6">
        <v>0.4</v>
      </c>
      <c r="Q569" s="7"/>
      <c r="R569" s="7"/>
    </row>
    <row r="570" spans="1:18">
      <c r="A570" s="4" t="s">
        <v>810</v>
      </c>
      <c r="B570" s="4">
        <f t="shared" si="8"/>
        <v>8</v>
      </c>
      <c r="C570" s="4"/>
      <c r="D570" s="1" t="str">
        <f>IFERROR(VLOOKUP(A570,[1]biopep_DB!$F$2:$J$1654,5,0),)</f>
        <v>Enterococcus faecalis strains from food, environmental, and clinical origin produce ACE-inhibitory peptides and other bioactive peptides during growth in bovine skim milk.</v>
      </c>
      <c r="E570" s="1" t="str">
        <f>IFERROR(VLOOKUP(A570,[1]biopep_DB!$F$2:$L$1654,6,0),0)</f>
        <v>10.1016/j.ijfoodmicro.2013.06.019</v>
      </c>
      <c r="F570" s="1" t="str">
        <f>IFERROR(VLOOKUP(A570,[1]biopep_DB!$F$2:$L$1654,7,0),0)</f>
        <v>23845432</v>
      </c>
      <c r="G570" s="5">
        <v>950.05</v>
      </c>
      <c r="H570" s="5">
        <v>6.75</v>
      </c>
      <c r="I570" s="5">
        <v>-0.15</v>
      </c>
      <c r="J570" s="6">
        <v>-1.6125</v>
      </c>
      <c r="K570" s="5">
        <v>72.33</v>
      </c>
      <c r="L570" s="6">
        <v>0.375</v>
      </c>
      <c r="M570" s="6">
        <v>0.025</v>
      </c>
      <c r="N570" s="6">
        <v>0.375</v>
      </c>
      <c r="O570" s="6">
        <v>0.125</v>
      </c>
      <c r="P570" s="6">
        <v>0.125</v>
      </c>
      <c r="Q570" s="7"/>
      <c r="R570" s="7"/>
    </row>
    <row r="571" spans="1:18">
      <c r="A571" s="4" t="s">
        <v>811</v>
      </c>
      <c r="B571" s="4">
        <f t="shared" si="8"/>
        <v>5</v>
      </c>
      <c r="C571" s="4" t="s">
        <v>812</v>
      </c>
      <c r="D571" s="1" t="str">
        <f>IFERROR(VLOOKUP(A571,[1]biopep_DB!$F$2:$J$1654,5,0),)</f>
        <v/>
      </c>
      <c r="E571" s="1" t="str">
        <f>IFERROR(VLOOKUP(A571,[1]biopep_DB!$F$2:$L$1654,6,0),0)</f>
        <v/>
      </c>
      <c r="F571" s="1" t="str">
        <f>IFERROR(VLOOKUP(A571,[1]biopep_DB!$F$2:$L$1654,7,0),0)</f>
        <v/>
      </c>
      <c r="G571" s="5">
        <v>599.63</v>
      </c>
      <c r="H571" s="5">
        <v>5.24</v>
      </c>
      <c r="I571" s="5">
        <v>-1.15</v>
      </c>
      <c r="J571" s="6">
        <v>-0.72</v>
      </c>
      <c r="K571" s="5">
        <v>32.68</v>
      </c>
      <c r="L571" s="6">
        <v>0.2</v>
      </c>
      <c r="M571" s="6">
        <v>-0.354</v>
      </c>
      <c r="N571" s="6">
        <v>0.2</v>
      </c>
      <c r="O571" s="6">
        <v>0</v>
      </c>
      <c r="P571" s="6">
        <v>0.6</v>
      </c>
      <c r="Q571" s="7"/>
      <c r="R571" s="7"/>
    </row>
    <row r="572" spans="1:18">
      <c r="A572" s="4" t="s">
        <v>813</v>
      </c>
      <c r="B572" s="4">
        <f t="shared" si="8"/>
        <v>3</v>
      </c>
      <c r="C572" s="4" t="s">
        <v>31</v>
      </c>
      <c r="D572" s="1" t="str">
        <f>IFERROR(VLOOKUP(A572,[1]biopep_DB!$F$2:$J$1654,5,0),)</f>
        <v/>
      </c>
      <c r="E572" s="1" t="str">
        <f>IFERROR(VLOOKUP(A572,[1]biopep_DB!$F$2:$L$1654,6,0),0)</f>
        <v/>
      </c>
      <c r="F572" s="1" t="str">
        <f>IFERROR(VLOOKUP(A572,[1]biopep_DB!$F$2:$L$1654,7,0),0)</f>
        <v/>
      </c>
      <c r="G572" s="5">
        <v>415.49</v>
      </c>
      <c r="H572" s="5">
        <v>6.74</v>
      </c>
      <c r="I572" s="5">
        <v>-0.15</v>
      </c>
      <c r="J572" s="6">
        <v>1.3667</v>
      </c>
      <c r="K572" s="5">
        <v>13.23</v>
      </c>
      <c r="L572" s="6">
        <v>0.6667</v>
      </c>
      <c r="M572" s="6">
        <v>-2.3033</v>
      </c>
      <c r="N572" s="6">
        <v>0</v>
      </c>
      <c r="O572" s="6">
        <v>0</v>
      </c>
      <c r="P572" s="6">
        <v>0.6667</v>
      </c>
      <c r="Q572" s="7"/>
      <c r="R572" s="7"/>
    </row>
    <row r="573" spans="1:18">
      <c r="A573" s="4" t="s">
        <v>814</v>
      </c>
      <c r="B573" s="4">
        <f t="shared" si="8"/>
        <v>3</v>
      </c>
      <c r="C573" s="4" t="s">
        <v>31</v>
      </c>
      <c r="D573" s="1" t="str">
        <f>IFERROR(VLOOKUP(A573,[1]biopep_DB!$F$2:$J$1654,5,0),)</f>
        <v/>
      </c>
      <c r="E573" s="1" t="str">
        <f>IFERROR(VLOOKUP(A573,[1]biopep_DB!$F$2:$L$1654,6,0),0)</f>
        <v/>
      </c>
      <c r="F573" s="1" t="str">
        <f>IFERROR(VLOOKUP(A573,[1]biopep_DB!$F$2:$L$1654,7,0),0)</f>
        <v/>
      </c>
      <c r="G573" s="5">
        <v>365.43</v>
      </c>
      <c r="H573" s="5">
        <v>6.74</v>
      </c>
      <c r="I573" s="5">
        <v>-0.15</v>
      </c>
      <c r="J573" s="6">
        <v>-0.1</v>
      </c>
      <c r="K573" s="5">
        <v>38.2</v>
      </c>
      <c r="L573" s="6">
        <v>0.6667</v>
      </c>
      <c r="M573" s="6">
        <v>-1.31</v>
      </c>
      <c r="N573" s="6">
        <v>0</v>
      </c>
      <c r="O573" s="6">
        <v>0.3333</v>
      </c>
      <c r="P573" s="6">
        <v>0.3333</v>
      </c>
      <c r="Q573" s="7"/>
      <c r="R573" s="7"/>
    </row>
    <row r="574" spans="1:18">
      <c r="A574" s="4" t="s">
        <v>815</v>
      </c>
      <c r="B574" s="4">
        <f t="shared" si="8"/>
        <v>4</v>
      </c>
      <c r="C574" s="4" t="s">
        <v>816</v>
      </c>
      <c r="D574" s="1" t="str">
        <f>IFERROR(VLOOKUP(A574,[1]biopep_DB!$F$2:$J$1654,5,0),)</f>
        <v>Determination of endogenous peptides with in vitro ACE inhibitory activity in normotensive human plasma by the fluorometric HPLC method.</v>
      </c>
      <c r="E574" s="1" t="str">
        <f>IFERROR(VLOOKUP(A574,[1]biopep_DB!$F$2:$L$1654,6,0),0)</f>
        <v>10.1271/bbb.61.1052</v>
      </c>
      <c r="F574" s="1" t="str">
        <f>IFERROR(VLOOKUP(A574,[1]biopep_DB!$F$2:$L$1654,7,0),0)</f>
        <v>9214772</v>
      </c>
      <c r="G574" s="5">
        <v>512.6</v>
      </c>
      <c r="H574" s="5">
        <v>6.74</v>
      </c>
      <c r="I574" s="5">
        <v>-0.15</v>
      </c>
      <c r="J574" s="6">
        <v>0.625</v>
      </c>
      <c r="K574" s="5">
        <v>79.3</v>
      </c>
      <c r="L574" s="6">
        <v>0.75</v>
      </c>
      <c r="M574" s="6">
        <v>-1.7275</v>
      </c>
      <c r="N574" s="6">
        <v>0</v>
      </c>
      <c r="O574" s="6">
        <v>0.25</v>
      </c>
      <c r="P574" s="6">
        <v>0.5</v>
      </c>
      <c r="Q574" s="7"/>
      <c r="R574" s="7"/>
    </row>
    <row r="575" spans="1:18">
      <c r="A575" s="4" t="s">
        <v>817</v>
      </c>
      <c r="B575" s="4">
        <f t="shared" si="8"/>
        <v>13</v>
      </c>
      <c r="C575" s="4" t="s">
        <v>818</v>
      </c>
      <c r="D575" s="1" t="str">
        <f>IFERROR(VLOOKUP(A575,[1]biopep_DB!$F$2:$J$1654,5,0),)</f>
        <v>Inhibition of angiotensin-converting enzyme by synthetic peptide fragments of various beta-caseins.; Evaluation of the allergenicity of goat milk, cow milk, and their lactosera in a guinea pig model.</v>
      </c>
      <c r="E575" s="1" t="str">
        <f>IFERROR(VLOOKUP(A575,[1]biopep_DB!$F$2:$L$1654,6,0),0)</f>
        <v>10.3168/jds.2008-1125</v>
      </c>
      <c r="F575" s="1" t="str">
        <f>IFERROR(VLOOKUP(A575,[1]biopep_DB!$F$2:$L$1654,7,0),0)</f>
        <v>1368548 19233776</v>
      </c>
      <c r="G575" s="5">
        <v>1500.7</v>
      </c>
      <c r="H575" s="5">
        <v>6.74</v>
      </c>
      <c r="I575" s="5">
        <v>-0.15</v>
      </c>
      <c r="J575" s="6">
        <v>0.0692</v>
      </c>
      <c r="K575" s="5">
        <v>63.02</v>
      </c>
      <c r="L575" s="6">
        <v>0.5385</v>
      </c>
      <c r="M575" s="6">
        <v>-1.0554</v>
      </c>
      <c r="N575" s="6">
        <v>0.1538</v>
      </c>
      <c r="O575" s="6">
        <v>0.2308</v>
      </c>
      <c r="P575" s="6">
        <v>0.4615</v>
      </c>
      <c r="Q575" s="7"/>
      <c r="R575" s="7"/>
    </row>
    <row r="576" spans="1:18">
      <c r="A576" s="4" t="s">
        <v>819</v>
      </c>
      <c r="B576" s="4">
        <f t="shared" si="8"/>
        <v>3</v>
      </c>
      <c r="C576" s="4" t="s">
        <v>31</v>
      </c>
      <c r="D576" s="1" t="str">
        <f>IFERROR(VLOOKUP(A576,[1]biopep_DB!$F$2:$J$1654,5,0),)</f>
        <v/>
      </c>
      <c r="E576" s="1" t="str">
        <f>IFERROR(VLOOKUP(A576,[1]biopep_DB!$F$2:$L$1654,6,0),0)</f>
        <v/>
      </c>
      <c r="F576" s="1" t="str">
        <f>IFERROR(VLOOKUP(A576,[1]biopep_DB!$F$2:$L$1654,7,0),0)</f>
        <v/>
      </c>
      <c r="G576" s="5">
        <v>431.49</v>
      </c>
      <c r="H576" s="5">
        <v>6.74</v>
      </c>
      <c r="I576" s="5">
        <v>-0.15</v>
      </c>
      <c r="J576" s="6">
        <v>0</v>
      </c>
      <c r="K576" s="5">
        <v>194.27</v>
      </c>
      <c r="L576" s="6">
        <v>0.3333</v>
      </c>
      <c r="M576" s="6">
        <v>-1.2633</v>
      </c>
      <c r="N576" s="6">
        <v>0</v>
      </c>
      <c r="O576" s="6">
        <v>0</v>
      </c>
      <c r="P576" s="6">
        <v>0.6667</v>
      </c>
      <c r="Q576" s="7"/>
      <c r="R576" s="7"/>
    </row>
    <row r="577" spans="1:18">
      <c r="A577" s="4" t="s">
        <v>820</v>
      </c>
      <c r="B577" s="4">
        <f t="shared" si="8"/>
        <v>2</v>
      </c>
      <c r="C577" s="4"/>
      <c r="D577" s="1" t="str">
        <f>IFERROR(VLOOKUP(A577,[1]biopep_DB!$F$2:$J$1654,5,0),)</f>
        <v>Three-dimensional holograph vector of atomic interaction field (3D-HoVAIF): a novel rotation-translation invariant 3D structure descriptor and its applications to peptides.</v>
      </c>
      <c r="E577" s="1" t="str">
        <f>IFERROR(VLOOKUP(A577,[1]biopep_DB!$F$2:$L$1654,6,0),0)</f>
        <v>10.1002/psc.892</v>
      </c>
      <c r="F577" s="1" t="str">
        <f>IFERROR(VLOOKUP(A577,[1]biopep_DB!$F$2:$L$1654,7,0),0)</f>
        <v>17654623</v>
      </c>
      <c r="G577" s="5">
        <v>244.33</v>
      </c>
      <c r="H577" s="5">
        <v>5.53</v>
      </c>
      <c r="I577" s="5">
        <v>-0.24</v>
      </c>
      <c r="J577" s="6">
        <v>4.5</v>
      </c>
      <c r="K577" s="5">
        <v>5</v>
      </c>
      <c r="L577" s="6">
        <v>1</v>
      </c>
      <c r="M577" s="6">
        <v>-4.92</v>
      </c>
      <c r="N577" s="6">
        <v>0</v>
      </c>
      <c r="O577" s="6">
        <v>0</v>
      </c>
      <c r="P577" s="6">
        <v>1</v>
      </c>
      <c r="Q577" s="7"/>
      <c r="R577" s="7"/>
    </row>
    <row r="578" spans="1:18">
      <c r="A578" s="4" t="s">
        <v>821</v>
      </c>
      <c r="B578" s="4">
        <f t="shared" si="8"/>
        <v>5</v>
      </c>
      <c r="C578" s="4" t="s">
        <v>822</v>
      </c>
      <c r="D578" s="1" t="str">
        <f>IFERROR(VLOOKUP(A578,[1]biopep_DB!$F$2:$J$1654,5,0),)</f>
        <v>A variant peptide of buffalo colostrum β-lactoglobulin inhibits angiotensin I-converting enzyme activity.</v>
      </c>
      <c r="E578" s="1" t="str">
        <f>IFERROR(VLOOKUP(A578,[1]biopep_DB!$F$2:$L$1654,6,0),0)</f>
        <v>10.1016/j.ejmech.2012.03.057</v>
      </c>
      <c r="F578" s="1" t="str">
        <f>IFERROR(VLOOKUP(A578,[1]biopep_DB!$F$2:$L$1654,7,0),0)</f>
        <v>22541393</v>
      </c>
      <c r="G578" s="5">
        <v>574.78</v>
      </c>
      <c r="H578" s="5">
        <v>8.75</v>
      </c>
      <c r="I578" s="5">
        <v>0.76</v>
      </c>
      <c r="J578" s="6">
        <v>1.76</v>
      </c>
      <c r="K578" s="5">
        <v>8</v>
      </c>
      <c r="L578" s="6">
        <v>0.8</v>
      </c>
      <c r="M578" s="6">
        <v>-2.484</v>
      </c>
      <c r="N578" s="6">
        <v>0.6</v>
      </c>
      <c r="O578" s="6">
        <v>0</v>
      </c>
      <c r="P578" s="6">
        <v>0.4</v>
      </c>
      <c r="Q578" s="7"/>
      <c r="R578" s="7"/>
    </row>
    <row r="579" spans="1:18">
      <c r="A579" s="4" t="s">
        <v>823</v>
      </c>
      <c r="B579" s="4">
        <f t="shared" si="8"/>
        <v>3</v>
      </c>
      <c r="C579" s="4" t="s">
        <v>31</v>
      </c>
      <c r="D579" s="1" t="str">
        <f>IFERROR(VLOOKUP(A579,[1]biopep_DB!$F$2:$J$1654,5,0),)</f>
        <v/>
      </c>
      <c r="E579" s="1" t="str">
        <f>IFERROR(VLOOKUP(A579,[1]biopep_DB!$F$2:$L$1654,6,0),0)</f>
        <v/>
      </c>
      <c r="F579" s="1" t="str">
        <f>IFERROR(VLOOKUP(A579,[1]biopep_DB!$F$2:$L$1654,7,0),0)</f>
        <v/>
      </c>
      <c r="G579" s="5">
        <v>341.45</v>
      </c>
      <c r="H579" s="5">
        <v>5.53</v>
      </c>
      <c r="I579" s="5">
        <v>-0.24</v>
      </c>
      <c r="J579" s="6">
        <v>2.4667</v>
      </c>
      <c r="K579" s="5">
        <v>-2.93</v>
      </c>
      <c r="L579" s="6">
        <v>1</v>
      </c>
      <c r="M579" s="6">
        <v>-3.28</v>
      </c>
      <c r="N579" s="6">
        <v>0</v>
      </c>
      <c r="O579" s="6">
        <v>0.3333</v>
      </c>
      <c r="P579" s="6">
        <v>0.6667</v>
      </c>
      <c r="Q579" s="7"/>
      <c r="R579" s="7"/>
    </row>
    <row r="580" spans="1:18">
      <c r="A580" s="4" t="s">
        <v>824</v>
      </c>
      <c r="B580" s="4">
        <f t="shared" si="8"/>
        <v>8</v>
      </c>
      <c r="C580" s="4" t="s">
        <v>825</v>
      </c>
      <c r="G580" s="5">
        <v>933.17</v>
      </c>
      <c r="H580" s="5">
        <v>8.75</v>
      </c>
      <c r="I580" s="5">
        <v>0.76</v>
      </c>
      <c r="J580" s="6">
        <v>0.7875</v>
      </c>
      <c r="K580" s="5">
        <v>-21.9</v>
      </c>
      <c r="L580" s="6">
        <v>0.5</v>
      </c>
      <c r="M580" s="6">
        <v>-1.5962</v>
      </c>
      <c r="N580" s="6">
        <v>0.25</v>
      </c>
      <c r="O580" s="6">
        <v>0</v>
      </c>
      <c r="P580" s="6">
        <v>0.625</v>
      </c>
      <c r="Q580" s="7"/>
      <c r="R580" s="7"/>
    </row>
    <row r="581" spans="1:18">
      <c r="A581" s="4" t="s">
        <v>826</v>
      </c>
      <c r="B581" s="4">
        <f t="shared" si="8"/>
        <v>3</v>
      </c>
      <c r="C581" s="4" t="s">
        <v>31</v>
      </c>
      <c r="D581" s="1" t="str">
        <f>IFERROR(VLOOKUP(A581,[1]biopep_DB!$F$2:$J$1654,5,0),)</f>
        <v/>
      </c>
      <c r="E581" s="1" t="str">
        <f>IFERROR(VLOOKUP(A581,[1]biopep_DB!$F$2:$L$1654,6,0),0)</f>
        <v/>
      </c>
      <c r="F581" s="1" t="str">
        <f>IFERROR(VLOOKUP(A581,[1]biopep_DB!$F$2:$L$1654,7,0),0)</f>
        <v/>
      </c>
      <c r="G581" s="5">
        <v>374.43</v>
      </c>
      <c r="H581" s="5">
        <v>6.09</v>
      </c>
      <c r="I581" s="5">
        <v>-0.24</v>
      </c>
      <c r="J581" s="6">
        <v>-0.9667</v>
      </c>
      <c r="K581" s="5">
        <v>-21.63</v>
      </c>
      <c r="L581" s="6">
        <v>0.3333</v>
      </c>
      <c r="M581" s="6">
        <v>-0.5533</v>
      </c>
      <c r="N581" s="6">
        <v>0.3333</v>
      </c>
      <c r="O581" s="6">
        <v>0.3333</v>
      </c>
      <c r="P581" s="6">
        <v>0.3333</v>
      </c>
      <c r="Q581" s="7"/>
      <c r="R581" s="7"/>
    </row>
    <row r="582" spans="1:18">
      <c r="A582" s="4" t="s">
        <v>827</v>
      </c>
      <c r="B582" s="4">
        <f t="shared" ref="B582:B645" si="9">LEN(A582)</f>
        <v>5</v>
      </c>
      <c r="C582" s="4" t="s">
        <v>31</v>
      </c>
      <c r="D582" s="1" t="str">
        <f>IFERROR(VLOOKUP(A582,[1]biopep_DB!$F$2:$J$1654,5,0),)</f>
        <v/>
      </c>
      <c r="E582" s="1" t="str">
        <f>IFERROR(VLOOKUP(A582,[1]biopep_DB!$F$2:$L$1654,6,0),0)</f>
        <v/>
      </c>
      <c r="F582" s="1" t="str">
        <f>IFERROR(VLOOKUP(A582,[1]biopep_DB!$F$2:$L$1654,7,0),0)</f>
        <v/>
      </c>
      <c r="G582" s="5">
        <v>629.75</v>
      </c>
      <c r="H582" s="5">
        <v>6</v>
      </c>
      <c r="I582" s="5">
        <v>-0.24</v>
      </c>
      <c r="J582" s="6">
        <v>-0.52</v>
      </c>
      <c r="K582" s="5">
        <v>56.22</v>
      </c>
      <c r="L582" s="6">
        <v>0.4</v>
      </c>
      <c r="M582" s="6">
        <v>-1.052</v>
      </c>
      <c r="N582" s="6">
        <v>0.6</v>
      </c>
      <c r="O582" s="6">
        <v>0</v>
      </c>
      <c r="P582" s="6">
        <v>0.4</v>
      </c>
      <c r="Q582" s="7"/>
      <c r="R582" s="7"/>
    </row>
    <row r="583" spans="1:18">
      <c r="A583" s="4" t="s">
        <v>828</v>
      </c>
      <c r="B583" s="4">
        <f t="shared" si="9"/>
        <v>3</v>
      </c>
      <c r="C583" s="4" t="s">
        <v>31</v>
      </c>
      <c r="D583" s="1" t="str">
        <f>IFERROR(VLOOKUP(A583,[1]biopep_DB!$F$2:$J$1654,5,0),)</f>
        <v/>
      </c>
      <c r="E583" s="1" t="str">
        <f>IFERROR(VLOOKUP(A583,[1]biopep_DB!$F$2:$L$1654,6,0),0)</f>
        <v/>
      </c>
      <c r="F583" s="1" t="str">
        <f>IFERROR(VLOOKUP(A583,[1]biopep_DB!$F$2:$L$1654,7,0),0)</f>
        <v/>
      </c>
      <c r="G583" s="5">
        <v>406.52</v>
      </c>
      <c r="H583" s="5">
        <v>8.75</v>
      </c>
      <c r="I583" s="5">
        <v>0.76</v>
      </c>
      <c r="J583" s="6">
        <v>1.1333</v>
      </c>
      <c r="K583" s="5">
        <v>-21.63</v>
      </c>
      <c r="L583" s="6">
        <v>0.6667</v>
      </c>
      <c r="M583" s="6">
        <v>-2.1067</v>
      </c>
      <c r="N583" s="6">
        <v>0.3333</v>
      </c>
      <c r="O583" s="6">
        <v>0</v>
      </c>
      <c r="P583" s="6">
        <v>0.6667</v>
      </c>
      <c r="Q583" s="7"/>
      <c r="R583" s="7"/>
    </row>
    <row r="584" spans="1:18">
      <c r="A584" s="4" t="s">
        <v>829</v>
      </c>
      <c r="B584" s="4">
        <f t="shared" si="9"/>
        <v>3</v>
      </c>
      <c r="C584" s="4" t="s">
        <v>31</v>
      </c>
      <c r="D584" s="1" t="str">
        <f>IFERROR(VLOOKUP(A584,[1]biopep_DB!$F$2:$J$1654,5,0),)</f>
        <v/>
      </c>
      <c r="E584" s="1" t="str">
        <f>IFERROR(VLOOKUP(A584,[1]biopep_DB!$F$2:$L$1654,6,0),0)</f>
        <v/>
      </c>
      <c r="F584" s="1" t="str">
        <f>IFERROR(VLOOKUP(A584,[1]biopep_DB!$F$2:$L$1654,7,0),0)</f>
        <v/>
      </c>
      <c r="G584" s="5">
        <v>396.48</v>
      </c>
      <c r="H584" s="5">
        <v>8.76</v>
      </c>
      <c r="I584" s="5">
        <v>0.85</v>
      </c>
      <c r="J584" s="6">
        <v>-0.8667</v>
      </c>
      <c r="K584" s="5">
        <v>-21.63</v>
      </c>
      <c r="L584" s="6">
        <v>0.3333</v>
      </c>
      <c r="M584" s="6">
        <v>-0.7833</v>
      </c>
      <c r="N584" s="6">
        <v>0.3333</v>
      </c>
      <c r="O584" s="6">
        <v>0</v>
      </c>
      <c r="P584" s="6">
        <v>0.3333</v>
      </c>
      <c r="Q584" s="7"/>
      <c r="R584" s="7"/>
    </row>
    <row r="585" spans="1:18">
      <c r="A585" s="4" t="s">
        <v>830</v>
      </c>
      <c r="B585" s="4">
        <f t="shared" si="9"/>
        <v>3</v>
      </c>
      <c r="C585" s="4" t="s">
        <v>31</v>
      </c>
      <c r="D585" s="1" t="str">
        <f>IFERROR(VLOOKUP(A585,[1]biopep_DB!$F$2:$J$1654,5,0),)</f>
        <v/>
      </c>
      <c r="E585" s="1" t="str">
        <f>IFERROR(VLOOKUP(A585,[1]biopep_DB!$F$2:$L$1654,6,0),0)</f>
        <v/>
      </c>
      <c r="F585" s="1" t="str">
        <f>IFERROR(VLOOKUP(A585,[1]biopep_DB!$F$2:$L$1654,7,0),0)</f>
        <v/>
      </c>
      <c r="G585" s="5">
        <v>372.5</v>
      </c>
      <c r="H585" s="5">
        <v>8.75</v>
      </c>
      <c r="I585" s="5">
        <v>0.76</v>
      </c>
      <c r="J585" s="6">
        <v>1.4667</v>
      </c>
      <c r="K585" s="5">
        <v>-49.93</v>
      </c>
      <c r="L585" s="6">
        <v>0.6667</v>
      </c>
      <c r="M585" s="6">
        <v>-2.7533</v>
      </c>
      <c r="N585" s="6">
        <v>0.6667</v>
      </c>
      <c r="O585" s="6">
        <v>0</v>
      </c>
      <c r="P585" s="6">
        <v>0.6667</v>
      </c>
      <c r="Q585" s="7"/>
      <c r="R585" s="7"/>
    </row>
    <row r="586" spans="1:18">
      <c r="A586" s="4" t="s">
        <v>831</v>
      </c>
      <c r="B586" s="4">
        <f t="shared" si="9"/>
        <v>3</v>
      </c>
      <c r="C586" s="4" t="s">
        <v>31</v>
      </c>
      <c r="D586" s="1" t="str">
        <f>IFERROR(VLOOKUP(A586,[1]biopep_DB!$F$2:$J$1654,5,0),)</f>
        <v/>
      </c>
      <c r="E586" s="1" t="str">
        <f>IFERROR(VLOOKUP(A586,[1]biopep_DB!$F$2:$L$1654,6,0),0)</f>
        <v/>
      </c>
      <c r="F586" s="1" t="str">
        <f>IFERROR(VLOOKUP(A586,[1]biopep_DB!$F$2:$L$1654,7,0),0)</f>
        <v/>
      </c>
      <c r="G586" s="5">
        <v>373.45</v>
      </c>
      <c r="H586" s="5">
        <v>8.75</v>
      </c>
      <c r="I586" s="5">
        <v>0.76</v>
      </c>
      <c r="J586" s="6">
        <v>-0.9667</v>
      </c>
      <c r="K586" s="5">
        <v>-21.63</v>
      </c>
      <c r="L586" s="6">
        <v>0.3333</v>
      </c>
      <c r="M586" s="6">
        <v>-0.5733</v>
      </c>
      <c r="N586" s="6">
        <v>0.3333</v>
      </c>
      <c r="O586" s="6">
        <v>0.3333</v>
      </c>
      <c r="P586" s="6">
        <v>0.3333</v>
      </c>
      <c r="Q586" s="7"/>
      <c r="R586" s="7"/>
    </row>
    <row r="587" spans="1:18">
      <c r="A587" s="4" t="s">
        <v>832</v>
      </c>
      <c r="B587" s="4">
        <f t="shared" si="9"/>
        <v>3</v>
      </c>
      <c r="C587" s="4" t="s">
        <v>36</v>
      </c>
      <c r="D587" s="1" t="str">
        <f>IFERROR(VLOOKUP(A587,[1]biopep_DB!$F$2:$J$1654,5,0),)</f>
        <v>Peptide inhibitors for angiotensin I-converting enzyme from thermolysin digest of dried bonito.; Angiotensin I-converting enzyme inhibitory peptides derived from bonito bowels autolysate.; Structural requirements of Angiotensin I-converting enzyme inhibitory peptides: quantitative structure-activity relationship study of di- and tripeptides.; Bioactive peptides in amaranth (Amaranthus hypochondriacus) seed.; ACE inhibitory tetrapeptides from Amaranthus hypochondriacus 11S globulin.; Inhibition strength of short peptides derived from an ACE inhibitory peptide.; Antihypertensive peptides from food proteins: a review.; What are the ideal properties for functional food peptides with antihypertensive effect? A computational peptidology approach.; Comparison of analytical methods to assay inhibitors of angiotensin I-converting enzyme.; Isolation and characterization of peptides with antihypertensive activity in foodstuffs.</v>
      </c>
      <c r="E587" s="1" t="str">
        <f>IFERROR(VLOOKUP(A587,[1]biopep_DB!$F$2:$L$1654,6,0),0)</f>
        <v>10.1271/bbb.56.1541; 10.1271/bbb.57.695; 10.1021/jf051263l; 10.1021/jf072911z; 10.1016/j.phytochem.2009.04.006; 10.1021/jf202902r; 10.1039/c2fo10192k; 10.1016/j.foodchem.2013.05.140; 10.1016/j.foodchem.2013.06.048; 10.1080/10408398.2012.664829</v>
      </c>
      <c r="F587" s="1" t="str">
        <f>IFERROR(VLOOKUP(A587,[1]biopep_DB!$F$2:$L$1654,7,0),0)</f>
        <v>1369054 7763772 16448176 18211015 19443002 21923188 22249830 23871047 23993489 24915368</v>
      </c>
      <c r="G587" s="5">
        <v>356.46</v>
      </c>
      <c r="H587" s="5">
        <v>8.75</v>
      </c>
      <c r="I587" s="5">
        <v>0.76</v>
      </c>
      <c r="J587" s="6">
        <v>-0.3333</v>
      </c>
      <c r="K587" s="5">
        <v>-46.77</v>
      </c>
      <c r="L587" s="6">
        <v>0.6667</v>
      </c>
      <c r="M587" s="6">
        <v>-1.1133</v>
      </c>
      <c r="N587" s="6">
        <v>0.3333</v>
      </c>
      <c r="O587" s="6">
        <v>0.3333</v>
      </c>
      <c r="P587" s="6">
        <v>0.3333</v>
      </c>
      <c r="Q587" s="7"/>
      <c r="R587" s="7"/>
    </row>
    <row r="588" spans="1:18">
      <c r="A588" s="4" t="s">
        <v>833</v>
      </c>
      <c r="B588" s="4">
        <f t="shared" si="9"/>
        <v>6</v>
      </c>
      <c r="C588" s="4" t="s">
        <v>834</v>
      </c>
      <c r="D588" s="1" t="str">
        <f>IFERROR(VLOOKUP(A588,[1]biopep_DB!$F$2:$J$1654,5,0),)</f>
        <v>A new QSAR model, for angiotensin I-converting enzyme inhibitory oligopeptides.</v>
      </c>
      <c r="E588" s="1" t="str">
        <f>IFERROR(VLOOKUP(A588,[1]biopep_DB!$F$2:$L$1654,6,0),0)</f>
        <v>10.1016/j.foodchem.2012.09.092</v>
      </c>
      <c r="F588" s="1" t="str">
        <f>IFERROR(VLOOKUP(A588,[1]biopep_DB!$F$2:$L$1654,7,0),0)</f>
        <v>23194537</v>
      </c>
      <c r="G588" s="5">
        <v>747.88</v>
      </c>
      <c r="H588" s="5">
        <v>5.83</v>
      </c>
      <c r="I588" s="5">
        <v>-0.24</v>
      </c>
      <c r="J588" s="6">
        <v>-0.3333</v>
      </c>
      <c r="K588" s="5">
        <v>-18.38</v>
      </c>
      <c r="L588" s="6">
        <v>0.5</v>
      </c>
      <c r="M588" s="6">
        <v>-1.0733</v>
      </c>
      <c r="N588" s="6">
        <v>0.3333</v>
      </c>
      <c r="O588" s="6">
        <v>0.3333</v>
      </c>
      <c r="P588" s="6">
        <v>0.5</v>
      </c>
      <c r="Q588" s="7"/>
      <c r="R588" s="7"/>
    </row>
    <row r="589" spans="1:18">
      <c r="A589" s="4" t="s">
        <v>835</v>
      </c>
      <c r="B589" s="4">
        <f t="shared" si="9"/>
        <v>6</v>
      </c>
      <c r="C589" s="4" t="s">
        <v>836</v>
      </c>
      <c r="D589" s="1" t="str">
        <f>IFERROR(VLOOKUP(A589,[1]biopep_DB!$F$2:$J$1654,5,0),)</f>
        <v>Peptide inhibitors for angiotensin I-converting enzyme from thermolysin digest of dried bonito.; A new QSAR model, for angiotensin I-converting enzyme inhibitory oligopeptides.; Review on the angiotensin-I-converting enzyme (ACE) inhibitor peptides from marine proteins.</v>
      </c>
      <c r="E589" s="1" t="str">
        <f>IFERROR(VLOOKUP(A589,[1]biopep_DB!$F$2:$L$1654,6,0),0)</f>
        <v>10.1271/bbb.56.1541; 10.1016/j.foodchem.2012.09.092; 10.1007/s12010-012-0024-y</v>
      </c>
      <c r="F589" s="1" t="str">
        <f>IFERROR(VLOOKUP(A589,[1]biopep_DB!$F$2:$L$1654,7,0),0)</f>
        <v>1369054 23194537 23271625</v>
      </c>
      <c r="G589" s="5">
        <v>746.89</v>
      </c>
      <c r="H589" s="5">
        <v>8.59</v>
      </c>
      <c r="I589" s="5">
        <v>0.76</v>
      </c>
      <c r="J589" s="6">
        <v>-0.3333</v>
      </c>
      <c r="K589" s="5">
        <v>-18.38</v>
      </c>
      <c r="L589" s="6">
        <v>0.5</v>
      </c>
      <c r="M589" s="6">
        <v>-1.0833</v>
      </c>
      <c r="N589" s="6">
        <v>0.3333</v>
      </c>
      <c r="O589" s="6">
        <v>0.3333</v>
      </c>
      <c r="P589" s="6">
        <v>0.5</v>
      </c>
      <c r="Q589" s="7"/>
      <c r="R589" s="7"/>
    </row>
    <row r="590" spans="1:18">
      <c r="A590" s="4" t="s">
        <v>837</v>
      </c>
      <c r="B590" s="4">
        <f t="shared" si="9"/>
        <v>5</v>
      </c>
      <c r="C590" s="4" t="s">
        <v>838</v>
      </c>
      <c r="D590" s="1" t="str">
        <f>IFERROR(VLOOKUP(A590,[1]biopep_DB!$F$2:$J$1654,5,0),)</f>
        <v>Rational design of angiotensin-I-converting enzyme inhibitory peptides by integrating in silico modeling and an in vitro assay.</v>
      </c>
      <c r="E590" s="1" t="str">
        <f>IFERROR(VLOOKUP(A590,[1]biopep_DB!$F$2:$L$1654,6,0),0)</f>
        <v>10.1002/cmdc.201300132</v>
      </c>
      <c r="F590" s="1" t="str">
        <f>IFERROR(VLOOKUP(A590,[1]biopep_DB!$F$2:$L$1654,7,0),0)</f>
        <v>23740817</v>
      </c>
      <c r="G590" s="5">
        <v>583.72</v>
      </c>
      <c r="H590" s="5">
        <v>8.75</v>
      </c>
      <c r="I590" s="5">
        <v>0.76</v>
      </c>
      <c r="J590" s="6">
        <v>-0.06</v>
      </c>
      <c r="K590" s="5">
        <v>14.46</v>
      </c>
      <c r="L590" s="6">
        <v>0.6</v>
      </c>
      <c r="M590" s="6">
        <v>-1.204</v>
      </c>
      <c r="N590" s="6">
        <v>0.2</v>
      </c>
      <c r="O590" s="6">
        <v>0.2</v>
      </c>
      <c r="P590" s="6">
        <v>0.4</v>
      </c>
      <c r="Q590" s="7"/>
      <c r="R590" s="7"/>
    </row>
    <row r="591" spans="1:18">
      <c r="A591" s="4" t="s">
        <v>839</v>
      </c>
      <c r="B591" s="4">
        <f t="shared" si="9"/>
        <v>3</v>
      </c>
      <c r="C591" s="4" t="s">
        <v>36</v>
      </c>
      <c r="D591" s="1" t="str">
        <f>IFERROR(VLOOKUP(A591,[1]biopep_DB!$F$2:$J$1654,5,0),)</f>
        <v>ACE inhibitory peptides derived from enzymatic hydrolysates of animal muscle protein: a review.; Structural requirements of Angiotensin I-converting enzyme inhibitory peptides: quantitative structure-activity relationship study of di- and tripeptides.; Angiotensin I-converting enzyme-inhibitory peptides obtained from chicken collagen hydrolysate.; Inhibition strength of short peptides derived from an ACE inhibitory peptide.; Antihypertensive peptides from food proteins: a review.; Isolation and characterization of peptides with antihypertensive activity in foodstuffs.</v>
      </c>
      <c r="E591" s="1" t="str">
        <f>IFERROR(VLOOKUP(A591,[1]biopep_DB!$F$2:$L$1654,6,0),0)</f>
        <v>10.1021/jf0508908; 10.1021/jf051263l; 10.1021/jf072669w; 10.1021/jf202902r; 10.1039/c2fo10192k; 10.1080/10408398.2012.664829</v>
      </c>
      <c r="F591" s="1" t="str">
        <f>IFERROR(VLOOKUP(A591,[1]biopep_DB!$F$2:$L$1654,7,0),0)</f>
        <v>16218651 16448176 18808143 21923188 22249830 24915368</v>
      </c>
      <c r="G591" s="5">
        <v>445.56</v>
      </c>
      <c r="H591" s="5">
        <v>8.75</v>
      </c>
      <c r="I591" s="5">
        <v>0.76</v>
      </c>
      <c r="J591" s="6">
        <v>-0.1</v>
      </c>
      <c r="K591" s="5">
        <v>-21.63</v>
      </c>
      <c r="L591" s="6">
        <v>0.6667</v>
      </c>
      <c r="M591" s="6">
        <v>-1.89</v>
      </c>
      <c r="N591" s="6">
        <v>0.3333</v>
      </c>
      <c r="O591" s="6">
        <v>0</v>
      </c>
      <c r="P591" s="6">
        <v>0.6667</v>
      </c>
      <c r="Q591" s="7"/>
      <c r="R591" s="7"/>
    </row>
    <row r="592" spans="1:18">
      <c r="A592" s="4" t="s">
        <v>840</v>
      </c>
      <c r="B592" s="4">
        <f t="shared" si="9"/>
        <v>5</v>
      </c>
      <c r="C592" s="4" t="s">
        <v>711</v>
      </c>
      <c r="D592" s="1" t="str">
        <f>IFERROR(VLOOKUP(A592,[1]biopep_DB!$F$2:$J$1654,5,0),)</f>
        <v>Potent synthetic analogues of angiotensin-converting enzyme inhibitor derived from Tuna muscle.</v>
      </c>
      <c r="E592" s="1" t="str">
        <f>IFERROR(VLOOKUP(A592,[1]biopep_DB!$F$2:$L$1654,6,0),0)</f>
        <v/>
      </c>
      <c r="F592" s="1" t="str">
        <f>IFERROR(VLOOKUP(A592,[1]biopep_DB!$F$2:$L$1654,7,0),0)</f>
        <v>1368734</v>
      </c>
      <c r="G592" s="5">
        <v>617.69</v>
      </c>
      <c r="H592" s="5">
        <v>6.09</v>
      </c>
      <c r="I592" s="5">
        <v>-0.24</v>
      </c>
      <c r="J592" s="6">
        <v>-0.84</v>
      </c>
      <c r="K592" s="5">
        <v>-29.72</v>
      </c>
      <c r="L592" s="6">
        <v>0.4</v>
      </c>
      <c r="M592" s="6">
        <v>-0.986</v>
      </c>
      <c r="N592" s="6">
        <v>0.2</v>
      </c>
      <c r="O592" s="6">
        <v>0.4</v>
      </c>
      <c r="P592" s="6">
        <v>0.4</v>
      </c>
      <c r="Q592" s="7"/>
      <c r="R592" s="7"/>
    </row>
    <row r="593" spans="1:18">
      <c r="A593" s="4" t="s">
        <v>841</v>
      </c>
      <c r="B593" s="4">
        <f t="shared" si="9"/>
        <v>3</v>
      </c>
      <c r="C593" s="4" t="s">
        <v>36</v>
      </c>
      <c r="D593" s="1" t="str">
        <f>IFERROR(VLOOKUP(A593,[1]biopep_DB!$F$2:$J$1654,5,0),)</f>
        <v>Structural requirements of Angiotensin I-converting enzyme inhibitory peptides: quantitative structure-activity relationship study of di- and tripeptides.; Arachin derived peptides as selective angiotensin I-converting enzyme (ACE) inhibitors: structure-activity relationship.</v>
      </c>
      <c r="E593" s="1" t="str">
        <f>IFERROR(VLOOKUP(A593,[1]biopep_DB!$F$2:$L$1654,6,0),0)</f>
        <v>10.1021/jf051263l; 10.1016/j.peptides.2010.02.022</v>
      </c>
      <c r="F593" s="1" t="str">
        <f>IFERROR(VLOOKUP(A593,[1]biopep_DB!$F$2:$L$1654,7,0),0)</f>
        <v>16448176 20214946</v>
      </c>
      <c r="G593" s="5">
        <v>422.52</v>
      </c>
      <c r="H593" s="5">
        <v>8.59</v>
      </c>
      <c r="I593" s="5">
        <v>0.76</v>
      </c>
      <c r="J593" s="6">
        <v>-0.2333</v>
      </c>
      <c r="K593" s="5">
        <v>-21.63</v>
      </c>
      <c r="L593" s="6">
        <v>0.3333</v>
      </c>
      <c r="M593" s="6">
        <v>-1.0667</v>
      </c>
      <c r="N593" s="6">
        <v>0.3333</v>
      </c>
      <c r="O593" s="6">
        <v>0</v>
      </c>
      <c r="P593" s="6">
        <v>0.6667</v>
      </c>
      <c r="Q593" s="7"/>
      <c r="R593" s="7"/>
    </row>
    <row r="594" spans="1:18">
      <c r="A594" s="4" t="s">
        <v>842</v>
      </c>
      <c r="B594" s="4">
        <f t="shared" si="9"/>
        <v>2</v>
      </c>
      <c r="C594" s="4" t="s">
        <v>36</v>
      </c>
      <c r="D594" s="1" t="str">
        <f>IFERROR(VLOOKUP(A594,[1]biopep_DB!$F$2:$J$1654,5,0),)</f>
        <v>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v>
      </c>
      <c r="E594" s="1" t="str">
        <f>IFERROR(VLOOKUP(A594,[1]biopep_DB!$F$2:$L$1654,6,0),0)</f>
        <v>10.1021/jf051263l; 10.1002/psc.800; 10.1002/psc.892</v>
      </c>
      <c r="F594" s="1" t="str">
        <f>IFERROR(VLOOKUP(A594,[1]biopep_DB!$F$2:$L$1654,7,0),0)</f>
        <v>16448176 17117396 17654623</v>
      </c>
      <c r="G594" s="5">
        <v>244.33</v>
      </c>
      <c r="H594" s="5">
        <v>5.53</v>
      </c>
      <c r="I594" s="5">
        <v>-0.24</v>
      </c>
      <c r="J594" s="6">
        <v>4.15</v>
      </c>
      <c r="K594" s="5">
        <v>101.3</v>
      </c>
      <c r="L594" s="6">
        <v>1</v>
      </c>
      <c r="M594" s="6">
        <v>-4.92</v>
      </c>
      <c r="N594" s="6">
        <v>0.5</v>
      </c>
      <c r="O594" s="6">
        <v>0</v>
      </c>
      <c r="P594" s="6">
        <v>1</v>
      </c>
      <c r="Q594" s="7"/>
      <c r="R594" s="7"/>
    </row>
    <row r="595" spans="1:18">
      <c r="A595" s="4" t="s">
        <v>843</v>
      </c>
      <c r="B595" s="4">
        <f t="shared" si="9"/>
        <v>3</v>
      </c>
      <c r="C595" s="4" t="s">
        <v>36</v>
      </c>
      <c r="D595" s="1" t="str">
        <f>IFERROR(VLOOKUP(A595,[1]biopep_DB!$F$2:$J$1654,5,0),)</f>
        <v>Inhibition of angiotensin-converting enzyme by synthetic peptide fragments of various beta-caseins.; Bioactive peptides in amaranth (Amaranthus hypochondriacus) seed.; What are the ideal properties for functional food peptides with antihypertensive effect? A computational peptidology approach.</v>
      </c>
      <c r="E595" s="1" t="str">
        <f>IFERROR(VLOOKUP(A595,[1]biopep_DB!$F$2:$L$1654,6,0),0)</f>
        <v>10.1021/jf072911z; 10.1016/j.foodchem.2013.05.140</v>
      </c>
      <c r="F595" s="1" t="str">
        <f>IFERROR(VLOOKUP(A595,[1]biopep_DB!$F$2:$L$1654,7,0),0)</f>
        <v>1368548 18211015 23871047</v>
      </c>
      <c r="G595" s="5">
        <v>341.45</v>
      </c>
      <c r="H595" s="5">
        <v>5.53</v>
      </c>
      <c r="I595" s="5">
        <v>-0.24</v>
      </c>
      <c r="J595" s="6">
        <v>2.2333</v>
      </c>
      <c r="K595" s="5">
        <v>135.07</v>
      </c>
      <c r="L595" s="6">
        <v>1</v>
      </c>
      <c r="M595" s="6">
        <v>-3.28</v>
      </c>
      <c r="N595" s="6">
        <v>0.3333</v>
      </c>
      <c r="O595" s="6">
        <v>0.3333</v>
      </c>
      <c r="P595" s="6">
        <v>0.6667</v>
      </c>
      <c r="Q595" s="7"/>
      <c r="R595" s="7"/>
    </row>
    <row r="596" spans="1:18">
      <c r="A596" s="4" t="s">
        <v>844</v>
      </c>
      <c r="B596" s="4">
        <f t="shared" si="9"/>
        <v>7</v>
      </c>
      <c r="C596" s="4" t="s">
        <v>845</v>
      </c>
      <c r="D596" s="1" t="str">
        <f>IFERROR(VLOOKUP(A596,[1]biopep_DB!$F$2:$J$1654,5,0),)</f>
        <v/>
      </c>
      <c r="E596" s="1" t="str">
        <f>IFERROR(VLOOKUP(A596,[1]biopep_DB!$F$2:$L$1654,6,0),0)</f>
        <v/>
      </c>
      <c r="F596" s="1" t="str">
        <f>IFERROR(VLOOKUP(A596,[1]biopep_DB!$F$2:$L$1654,7,0),0)</f>
        <v/>
      </c>
      <c r="G596" s="5">
        <v>788.96</v>
      </c>
      <c r="H596" s="5">
        <v>6</v>
      </c>
      <c r="I596" s="5">
        <v>-0.24</v>
      </c>
      <c r="J596" s="6">
        <v>0.8857</v>
      </c>
      <c r="K596" s="5">
        <v>8.57</v>
      </c>
      <c r="L596" s="6">
        <v>0.7143</v>
      </c>
      <c r="M596" s="6">
        <v>-1.51</v>
      </c>
      <c r="N596" s="6">
        <v>0.5714</v>
      </c>
      <c r="O596" s="6">
        <v>0</v>
      </c>
      <c r="P596" s="6">
        <v>0.2857</v>
      </c>
      <c r="Q596" s="7"/>
      <c r="R596" s="7"/>
    </row>
    <row r="597" spans="1:18">
      <c r="A597" s="4" t="s">
        <v>846</v>
      </c>
      <c r="B597" s="4">
        <f t="shared" si="9"/>
        <v>3</v>
      </c>
      <c r="C597" s="4" t="s">
        <v>36</v>
      </c>
      <c r="D597" s="1" t="str">
        <f>IFERROR(VLOOKUP(A597,[1]biopep_DB!$F$2:$J$1654,5,0),)</f>
        <v>Structural requirements of Angiotensin I-converting enzyme inhibitory peptides: quantitative structure-activity relationship study of di- and tripeptides.; Isolation and characterization of peptides with antihypertensive activity in foodstuffs.</v>
      </c>
      <c r="E597" s="1" t="str">
        <f>IFERROR(VLOOKUP(A597,[1]biopep_DB!$F$2:$L$1654,6,0),0)</f>
        <v>10.1021/jf051263l; 10.1080/10408398.2012.664829</v>
      </c>
      <c r="F597" s="1" t="str">
        <f>IFERROR(VLOOKUP(A597,[1]biopep_DB!$F$2:$L$1654,7,0),0)</f>
        <v>16448176 24915368</v>
      </c>
      <c r="G597" s="5">
        <v>425.54</v>
      </c>
      <c r="H597" s="5">
        <v>5.52</v>
      </c>
      <c r="I597" s="5">
        <v>-0.24</v>
      </c>
      <c r="J597" s="6">
        <v>1.7</v>
      </c>
      <c r="K597" s="5">
        <v>85.6</v>
      </c>
      <c r="L597" s="6">
        <v>0.6667</v>
      </c>
      <c r="M597" s="6">
        <v>-2.3767</v>
      </c>
      <c r="N597" s="6">
        <v>0.3333</v>
      </c>
      <c r="O597" s="6">
        <v>0</v>
      </c>
      <c r="P597" s="6">
        <v>0.6667</v>
      </c>
      <c r="Q597" s="7"/>
      <c r="R597" s="7"/>
    </row>
    <row r="598" spans="1:18">
      <c r="A598" s="4" t="s">
        <v>847</v>
      </c>
      <c r="B598" s="4">
        <f t="shared" si="9"/>
        <v>2</v>
      </c>
      <c r="C598" s="4"/>
      <c r="D598" s="1" t="str">
        <f>IFERROR(VLOOKUP(A598,[1]biopep_DB!$F$2:$J$1654,5,0),)</f>
        <v>Three-dimensional holograph vector of atomic interaction field (3D-HoVAIF): a novel rotation-translation invariant 3D structure descriptor and its applications to peptides.</v>
      </c>
      <c r="E598" s="1" t="str">
        <f>IFERROR(VLOOKUP(A598,[1]biopep_DB!$F$2:$L$1654,6,0),0)</f>
        <v>10.1002/psc.892</v>
      </c>
      <c r="F598" s="1" t="str">
        <f>IFERROR(VLOOKUP(A598,[1]biopep_DB!$F$2:$L$1654,7,0),0)</f>
        <v>17654623</v>
      </c>
      <c r="G598" s="5">
        <v>245.28</v>
      </c>
      <c r="H598" s="5">
        <v>5.53</v>
      </c>
      <c r="I598" s="5">
        <v>-0.24</v>
      </c>
      <c r="J598" s="6">
        <v>0.5</v>
      </c>
      <c r="K598" s="5">
        <v>5</v>
      </c>
      <c r="L598" s="6">
        <v>0.5</v>
      </c>
      <c r="M598" s="6">
        <v>-1.65</v>
      </c>
      <c r="N598" s="6">
        <v>0</v>
      </c>
      <c r="O598" s="6">
        <v>0.5</v>
      </c>
      <c r="P598" s="6">
        <v>0.5</v>
      </c>
      <c r="Q598" s="7"/>
      <c r="R598" s="7"/>
    </row>
    <row r="599" spans="1:18">
      <c r="A599" s="4" t="s">
        <v>848</v>
      </c>
      <c r="B599" s="4">
        <f t="shared" si="9"/>
        <v>5</v>
      </c>
      <c r="C599" s="4" t="s">
        <v>803</v>
      </c>
      <c r="D599" s="1" t="str">
        <f>IFERROR(VLOOKUP(A599,[1]biopep_DB!$F$2:$J$1654,5,0),)</f>
        <v>Isolation and characterization of peptides with antihypertensive activity in foodstuffs.</v>
      </c>
      <c r="E599" s="1" t="str">
        <f>IFERROR(VLOOKUP(A599,[1]biopep_DB!$F$2:$L$1654,6,0),0)</f>
        <v>10.1080/10408398.2012.664829</v>
      </c>
      <c r="F599" s="1" t="str">
        <f>IFERROR(VLOOKUP(A599,[1]biopep_DB!$F$2:$L$1654,7,0),0)</f>
        <v>24915368</v>
      </c>
      <c r="G599" s="5">
        <v>604.65</v>
      </c>
      <c r="H599" s="5">
        <v>4.05</v>
      </c>
      <c r="I599" s="5">
        <v>-1.24</v>
      </c>
      <c r="J599" s="6">
        <v>-0.26</v>
      </c>
      <c r="K599" s="5">
        <v>46.52</v>
      </c>
      <c r="L599" s="6">
        <v>0.6</v>
      </c>
      <c r="M599" s="6">
        <v>-0.92</v>
      </c>
      <c r="N599" s="6">
        <v>0</v>
      </c>
      <c r="O599" s="6">
        <v>0.6</v>
      </c>
      <c r="P599" s="6">
        <v>0.4</v>
      </c>
      <c r="Q599" s="7"/>
      <c r="R599" s="7"/>
    </row>
    <row r="600" spans="1:18">
      <c r="A600" s="4" t="s">
        <v>849</v>
      </c>
      <c r="B600" s="4">
        <f t="shared" si="9"/>
        <v>3</v>
      </c>
      <c r="C600" s="4" t="s">
        <v>31</v>
      </c>
      <c r="D600" s="1" t="str">
        <f>IFERROR(VLOOKUP(A600,[1]biopep_DB!$F$2:$J$1654,5,0),)</f>
        <v/>
      </c>
      <c r="E600" s="1" t="str">
        <f>IFERROR(VLOOKUP(A600,[1]biopep_DB!$F$2:$L$1654,6,0),0)</f>
        <v/>
      </c>
      <c r="F600" s="1" t="str">
        <f>IFERROR(VLOOKUP(A600,[1]biopep_DB!$F$2:$L$1654,7,0),0)</f>
        <v/>
      </c>
      <c r="G600" s="5">
        <v>392.45</v>
      </c>
      <c r="H600" s="5">
        <v>5.53</v>
      </c>
      <c r="I600" s="5">
        <v>-0.24</v>
      </c>
      <c r="J600" s="6">
        <v>1.2667</v>
      </c>
      <c r="K600" s="5">
        <v>-43.43</v>
      </c>
      <c r="L600" s="6">
        <v>0.6667</v>
      </c>
      <c r="M600" s="6">
        <v>-2.0933</v>
      </c>
      <c r="N600" s="6">
        <v>0</v>
      </c>
      <c r="O600" s="6">
        <v>0.3333</v>
      </c>
      <c r="P600" s="6">
        <v>0.6667</v>
      </c>
      <c r="Q600" s="7"/>
      <c r="R600" s="7"/>
    </row>
    <row r="601" spans="1:18">
      <c r="A601" s="4" t="s">
        <v>850</v>
      </c>
      <c r="B601" s="4">
        <f t="shared" si="9"/>
        <v>7</v>
      </c>
      <c r="C601" s="4"/>
      <c r="D601" s="1" t="str">
        <f>IFERROR(VLOOKUP(A601,[1]biopep_DB!$F$2:$J$1654,5,0),)</f>
        <v/>
      </c>
      <c r="E601" s="1" t="str">
        <f>IFERROR(VLOOKUP(A601,[1]biopep_DB!$F$2:$L$1654,6,0),0)</f>
        <v/>
      </c>
      <c r="F601" s="1" t="str">
        <f>IFERROR(VLOOKUP(A601,[1]biopep_DB!$F$2:$L$1654,7,0),0)</f>
        <v/>
      </c>
      <c r="G601" s="5">
        <v>844.95</v>
      </c>
      <c r="H601" s="5">
        <v>5.53</v>
      </c>
      <c r="I601" s="5">
        <v>-0.24</v>
      </c>
      <c r="J601" s="6">
        <v>-0.1429</v>
      </c>
      <c r="K601" s="5">
        <v>14.54</v>
      </c>
      <c r="L601" s="6">
        <v>0.5714</v>
      </c>
      <c r="M601" s="6">
        <v>-1.1743</v>
      </c>
      <c r="N601" s="6">
        <v>0.1429</v>
      </c>
      <c r="O601" s="6">
        <v>0.4286</v>
      </c>
      <c r="P601" s="6">
        <v>0.4286</v>
      </c>
      <c r="Q601" s="7"/>
      <c r="R601" s="7"/>
    </row>
    <row r="602" spans="1:18">
      <c r="A602" s="4" t="s">
        <v>851</v>
      </c>
      <c r="B602" s="4">
        <f t="shared" si="9"/>
        <v>3</v>
      </c>
      <c r="C602" s="4" t="s">
        <v>31</v>
      </c>
      <c r="D602" s="1" t="str">
        <f>IFERROR(VLOOKUP(A602,[1]biopep_DB!$F$2:$J$1654,5,0),)</f>
        <v/>
      </c>
      <c r="E602" s="1" t="str">
        <f>IFERROR(VLOOKUP(A602,[1]biopep_DB!$F$2:$L$1654,6,0),0)</f>
        <v/>
      </c>
      <c r="F602" s="1" t="str">
        <f>IFERROR(VLOOKUP(A602,[1]biopep_DB!$F$2:$L$1654,7,0),0)</f>
        <v/>
      </c>
      <c r="G602" s="5">
        <v>342.39</v>
      </c>
      <c r="H602" s="5">
        <v>5.53</v>
      </c>
      <c r="I602" s="5">
        <v>-0.24</v>
      </c>
      <c r="J602" s="6">
        <v>-0.2</v>
      </c>
      <c r="K602" s="5">
        <v>-2.93</v>
      </c>
      <c r="L602" s="6">
        <v>0.6667</v>
      </c>
      <c r="M602" s="6">
        <v>-1.1</v>
      </c>
      <c r="N602" s="6">
        <v>0</v>
      </c>
      <c r="O602" s="6">
        <v>0.6667</v>
      </c>
      <c r="P602" s="6">
        <v>0.3333</v>
      </c>
      <c r="Q602" s="7"/>
      <c r="R602" s="7"/>
    </row>
    <row r="603" spans="1:18">
      <c r="A603" s="4" t="s">
        <v>852</v>
      </c>
      <c r="B603" s="4">
        <f t="shared" si="9"/>
        <v>4</v>
      </c>
      <c r="C603" s="4"/>
      <c r="D603" s="1" t="str">
        <f>IFERROR(VLOOKUP(A603,[1]biopep_DB!$F$2:$J$1654,5,0),)</f>
        <v/>
      </c>
      <c r="E603" s="1" t="str">
        <f>IFERROR(VLOOKUP(A603,[1]biopep_DB!$F$2:$L$1654,6,0),0)</f>
        <v/>
      </c>
      <c r="F603" s="1" t="str">
        <f>IFERROR(VLOOKUP(A603,[1]biopep_DB!$F$2:$L$1654,7,0),0)</f>
        <v/>
      </c>
      <c r="G603" s="5">
        <v>520.58</v>
      </c>
      <c r="H603" s="5">
        <v>5.53</v>
      </c>
      <c r="I603" s="5">
        <v>-0.24</v>
      </c>
      <c r="J603" s="6">
        <v>0.075</v>
      </c>
      <c r="K603" s="5">
        <v>-30.2</v>
      </c>
      <c r="L603" s="6">
        <v>0.5</v>
      </c>
      <c r="M603" s="6">
        <v>-1.23</v>
      </c>
      <c r="N603" s="6">
        <v>0</v>
      </c>
      <c r="O603" s="6">
        <v>0.25</v>
      </c>
      <c r="P603" s="6">
        <v>0.5</v>
      </c>
      <c r="Q603" s="7"/>
      <c r="R603" s="7"/>
    </row>
    <row r="604" spans="1:18">
      <c r="A604" s="4" t="s">
        <v>853</v>
      </c>
      <c r="B604" s="4">
        <f t="shared" si="9"/>
        <v>4</v>
      </c>
      <c r="C604" s="4" t="s">
        <v>854</v>
      </c>
      <c r="D604" s="1" t="str">
        <f>IFERROR(VLOOKUP(A604,[1]biopep_DB!$F$2:$J$1654,5,0),)</f>
        <v>Isolation and characterization of peptides with antihypertensive activity in foodstuffs.</v>
      </c>
      <c r="E604" s="1" t="str">
        <f>IFERROR(VLOOKUP(A604,[1]biopep_DB!$F$2:$L$1654,6,0),0)</f>
        <v>10.1080/10408398.2012.664829</v>
      </c>
      <c r="F604" s="1" t="str">
        <f>IFERROR(VLOOKUP(A604,[1]biopep_DB!$F$2:$L$1654,7,0),0)</f>
        <v>24915368</v>
      </c>
      <c r="G604" s="5">
        <v>460.48</v>
      </c>
      <c r="H604" s="5">
        <v>5.53</v>
      </c>
      <c r="I604" s="5">
        <v>-0.24</v>
      </c>
      <c r="J604" s="6">
        <v>-0.825</v>
      </c>
      <c r="K604" s="5">
        <v>55.65</v>
      </c>
      <c r="L604" s="6">
        <v>0.25</v>
      </c>
      <c r="M604" s="6">
        <v>-0.275</v>
      </c>
      <c r="N604" s="6">
        <v>0</v>
      </c>
      <c r="O604" s="6">
        <v>0.5</v>
      </c>
      <c r="P604" s="6">
        <v>0.25</v>
      </c>
      <c r="Q604" s="7"/>
      <c r="R604" s="7"/>
    </row>
    <row r="605" spans="1:18">
      <c r="A605" s="4" t="s">
        <v>855</v>
      </c>
      <c r="B605" s="4">
        <f t="shared" si="9"/>
        <v>5</v>
      </c>
      <c r="C605" s="4" t="s">
        <v>366</v>
      </c>
      <c r="D605" s="1" t="str">
        <f>IFERROR(VLOOKUP(A605,[1]biopep_DB!$F$2:$J$1654,5,0),)</f>
        <v/>
      </c>
      <c r="E605" s="1" t="str">
        <f>IFERROR(VLOOKUP(A605,[1]biopep_DB!$F$2:$L$1654,6,0),0)</f>
        <v/>
      </c>
      <c r="F605" s="1" t="str">
        <f>IFERROR(VLOOKUP(A605,[1]biopep_DB!$F$2:$L$1654,7,0),0)</f>
        <v/>
      </c>
      <c r="G605" s="5">
        <v>707.82</v>
      </c>
      <c r="H605" s="5">
        <v>5.52</v>
      </c>
      <c r="I605" s="5">
        <v>-0.24</v>
      </c>
      <c r="J605" s="6">
        <v>0.52</v>
      </c>
      <c r="K605" s="5">
        <v>11.94</v>
      </c>
      <c r="L605" s="6">
        <v>0.6</v>
      </c>
      <c r="M605" s="6">
        <v>-2.082</v>
      </c>
      <c r="N605" s="6">
        <v>0.2</v>
      </c>
      <c r="O605" s="6">
        <v>0.2</v>
      </c>
      <c r="P605" s="6">
        <v>0.8</v>
      </c>
      <c r="Q605" s="7"/>
      <c r="R605" s="7"/>
    </row>
    <row r="606" spans="1:18">
      <c r="A606" s="4" t="s">
        <v>856</v>
      </c>
      <c r="B606" s="4">
        <f t="shared" si="9"/>
        <v>2</v>
      </c>
      <c r="C606" s="4" t="s">
        <v>36</v>
      </c>
      <c r="D606" s="1" t="str">
        <f>IFERROR(VLOOKUP(A606,[1]biopep_DB!$F$2:$J$1654,5,0),)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606" s="1" t="str">
        <f>IFERROR(VLOOKUP(A606,[1]biopep_DB!$F$2:$L$1654,6,0),0)</f>
        <v>10.1021/jf051263l; 10.1002/psc.892; 10.1007/s00894-010-0862-x; 10.1016/j.jprot.2013.06.023; 10.1016/j.foodchem.2013.05.140</v>
      </c>
      <c r="F606" s="1" t="str">
        <f>IFERROR(VLOOKUP(A606,[1]biopep_DB!$F$2:$L$1654,7,0),0)</f>
        <v>6243277 16448176 17654623 20941517 23806758 23871047</v>
      </c>
      <c r="G606" s="5">
        <v>228.29</v>
      </c>
      <c r="H606" s="5">
        <v>5.53</v>
      </c>
      <c r="I606" s="5">
        <v>-0.24</v>
      </c>
      <c r="J606" s="6">
        <v>1.45</v>
      </c>
      <c r="K606" s="5">
        <v>-9.4</v>
      </c>
      <c r="L606" s="6">
        <v>1</v>
      </c>
      <c r="M606" s="6">
        <v>-2.46</v>
      </c>
      <c r="N606" s="6">
        <v>0</v>
      </c>
      <c r="O606" s="6">
        <v>0.5</v>
      </c>
      <c r="P606" s="6">
        <v>0.5</v>
      </c>
      <c r="Q606" s="7"/>
      <c r="R606" s="7"/>
    </row>
    <row r="607" spans="1:18">
      <c r="A607" s="4" t="s">
        <v>857</v>
      </c>
      <c r="B607" s="4">
        <f t="shared" si="9"/>
        <v>3</v>
      </c>
      <c r="C607" s="4" t="s">
        <v>36</v>
      </c>
      <c r="D607" s="1" t="str">
        <f>IFERROR(VLOOKUP(A607,[1]biopep_DB!$F$2:$J$1654,5,0),)</f>
        <v>Structural analysis of new antihypertensive peptides derived from cheese whey protein by proteinase K digestion.; Structural requirements of Angiotensin I-converting enzyme inhibitory peptides: quantitative structure-activity relationship study of di- and tripeptides.; Antihypertensive peptides: production, bioavailability and incorporation into foods.; Antihypertensive peptides from food proteins: a review.; What are the ideal properties for functional food peptides with antihypertensive effect? A computational peptidology approach.; Isolation and characterization of peptides with antihypertensive activity in foodstuffs.</v>
      </c>
      <c r="E607" s="1" t="str">
        <f>IFERROR(VLOOKUP(A607,[1]biopep_DB!$F$2:$L$1654,6,0),0)</f>
        <v>10.3168/jds.S0022-0302(98)75878-3; 10.1021/jf051263l; 10.1016/j.cis.2010.11.001; 10.1039/c2fo10192k; 10.1016/j.foodchem.2013.05.140; 10.1080/10408398.2012.664829</v>
      </c>
      <c r="F607" s="1" t="str">
        <f>IFERROR(VLOOKUP(A607,[1]biopep_DB!$F$2:$L$1654,7,0),0)</f>
        <v>9891260 16448176 21185549 22249830 23871047 24915368</v>
      </c>
      <c r="G607" s="5">
        <v>299.37</v>
      </c>
      <c r="H607" s="5">
        <v>5.53</v>
      </c>
      <c r="I607" s="5">
        <v>-0.24</v>
      </c>
      <c r="J607" s="6">
        <v>1.5667</v>
      </c>
      <c r="K607" s="5">
        <v>61.27</v>
      </c>
      <c r="L607" s="6">
        <v>1</v>
      </c>
      <c r="M607" s="6">
        <v>-2.2433</v>
      </c>
      <c r="N607" s="6">
        <v>0.3333</v>
      </c>
      <c r="O607" s="6">
        <v>0.3333</v>
      </c>
      <c r="P607" s="6">
        <v>0.3333</v>
      </c>
      <c r="Q607" s="7"/>
      <c r="R607" s="7"/>
    </row>
    <row r="608" spans="1:18">
      <c r="A608" s="4" t="s">
        <v>858</v>
      </c>
      <c r="B608" s="4">
        <f t="shared" si="9"/>
        <v>4</v>
      </c>
      <c r="C608" s="4"/>
      <c r="D608" s="1" t="str">
        <f>IFERROR(VLOOKUP(A608,[1]biopep_DB!$F$2:$J$1654,5,0),)</f>
        <v>What are the ideal properties for functional food peptides with antihypertensive effect? A computational peptidology approach.</v>
      </c>
      <c r="E608" s="1" t="str">
        <f>IFERROR(VLOOKUP(A608,[1]biopep_DB!$F$2:$L$1654,6,0),0)</f>
        <v>10.1016/j.foodchem.2013.05.140</v>
      </c>
      <c r="F608" s="1" t="str">
        <f>IFERROR(VLOOKUP(A608,[1]biopep_DB!$F$2:$L$1654,7,0),0)</f>
        <v>23871047</v>
      </c>
      <c r="G608" s="5">
        <v>412.52</v>
      </c>
      <c r="H608" s="5">
        <v>5.53</v>
      </c>
      <c r="I608" s="5">
        <v>-0.24</v>
      </c>
      <c r="J608" s="6">
        <v>2.3</v>
      </c>
      <c r="K608" s="5">
        <v>48.45</v>
      </c>
      <c r="L608" s="6">
        <v>1</v>
      </c>
      <c r="M608" s="6">
        <v>-2.9125</v>
      </c>
      <c r="N608" s="6">
        <v>0.25</v>
      </c>
      <c r="O608" s="6">
        <v>0.25</v>
      </c>
      <c r="P608" s="6">
        <v>0.5</v>
      </c>
      <c r="Q608" s="7"/>
      <c r="R608" s="7"/>
    </row>
    <row r="609" spans="1:18">
      <c r="A609" s="4" t="s">
        <v>859</v>
      </c>
      <c r="B609" s="4">
        <f t="shared" si="9"/>
        <v>5</v>
      </c>
      <c r="C609" s="4" t="s">
        <v>860</v>
      </c>
      <c r="D609" s="1" t="str">
        <f>IFERROR(VLOOKUP(A609,[1]biopep_DB!$F$2:$J$1654,5,0),)</f>
        <v>Angiotensin-converting enzyme inhibitory activity of peptides derived from caprine kefir.</v>
      </c>
      <c r="E609" s="1" t="str">
        <f>IFERROR(VLOOKUP(A609,[1]biopep_DB!$F$2:$L$1654,6,0),0)</f>
        <v>10.3168/jds.S0022-0302(05)73032-0</v>
      </c>
      <c r="F609" s="1" t="str">
        <f>IFERROR(VLOOKUP(A609,[1]biopep_DB!$F$2:$L$1654,7,0),0)</f>
        <v>16162521</v>
      </c>
      <c r="G609" s="5">
        <v>526.63</v>
      </c>
      <c r="H609" s="5">
        <v>5.53</v>
      </c>
      <c r="I609" s="5">
        <v>-0.24</v>
      </c>
      <c r="J609" s="6">
        <v>1.14</v>
      </c>
      <c r="K609" s="5">
        <v>40.76</v>
      </c>
      <c r="L609" s="6">
        <v>0.8</v>
      </c>
      <c r="M609" s="6">
        <v>-2.006</v>
      </c>
      <c r="N609" s="6">
        <v>0.2</v>
      </c>
      <c r="O609" s="6">
        <v>0.4</v>
      </c>
      <c r="P609" s="6">
        <v>0.4</v>
      </c>
      <c r="Q609" s="7"/>
      <c r="R609" s="7"/>
    </row>
    <row r="610" spans="1:18">
      <c r="A610" s="4" t="s">
        <v>861</v>
      </c>
      <c r="B610" s="4">
        <f t="shared" si="9"/>
        <v>5</v>
      </c>
      <c r="C610" s="4" t="s">
        <v>862</v>
      </c>
      <c r="G610" s="5">
        <v>555.67</v>
      </c>
      <c r="H610" s="5">
        <v>8.75</v>
      </c>
      <c r="I610" s="5">
        <v>0.76</v>
      </c>
      <c r="J610" s="6">
        <v>-0.54</v>
      </c>
      <c r="K610" s="5">
        <v>40.76</v>
      </c>
      <c r="L610" s="6">
        <v>0.6</v>
      </c>
      <c r="M610" s="6">
        <v>-0.758</v>
      </c>
      <c r="N610" s="6">
        <v>0.4</v>
      </c>
      <c r="O610" s="6">
        <v>0.2</v>
      </c>
      <c r="P610" s="6">
        <v>0.2</v>
      </c>
      <c r="Q610" s="7"/>
      <c r="R610" s="7"/>
    </row>
    <row r="611" spans="1:18">
      <c r="A611" s="4" t="s">
        <v>863</v>
      </c>
      <c r="B611" s="4">
        <f t="shared" si="9"/>
        <v>3</v>
      </c>
      <c r="C611" s="4" t="s">
        <v>337</v>
      </c>
      <c r="D611" s="1" t="str">
        <f>IFERROR(VLOOKUP(A611,[1]biopep_DB!$F$2:$J$1654,5,0),)</f>
        <v/>
      </c>
      <c r="G611" s="5">
        <v>375.46</v>
      </c>
      <c r="H611" s="5">
        <v>5.53</v>
      </c>
      <c r="I611" s="5">
        <v>-0.24</v>
      </c>
      <c r="J611" s="6">
        <v>1.9</v>
      </c>
      <c r="K611" s="5">
        <v>61.27</v>
      </c>
      <c r="L611" s="6">
        <v>1</v>
      </c>
      <c r="M611" s="6">
        <v>-2.6333</v>
      </c>
      <c r="N611" s="6">
        <v>0</v>
      </c>
      <c r="O611" s="6">
        <v>0.3333</v>
      </c>
      <c r="P611" s="6">
        <v>0.6667</v>
      </c>
      <c r="Q611" s="7"/>
      <c r="R611" s="7"/>
    </row>
    <row r="612" spans="1:18">
      <c r="A612" s="4" t="s">
        <v>864</v>
      </c>
      <c r="B612" s="4">
        <f t="shared" si="9"/>
        <v>3</v>
      </c>
      <c r="C612" s="4"/>
      <c r="D612" s="1" t="str">
        <f>IFERROR(VLOOKUP(A612,[1]biopep_DB!$F$2:$J$1654,5,0),)</f>
        <v/>
      </c>
      <c r="G612" s="5">
        <v>341.45</v>
      </c>
      <c r="H612" s="5">
        <v>5.53</v>
      </c>
      <c r="I612" s="5">
        <v>-0.24</v>
      </c>
      <c r="J612" s="6">
        <v>2.4667</v>
      </c>
      <c r="K612" s="5">
        <v>-2.93</v>
      </c>
      <c r="L612" s="6">
        <v>1</v>
      </c>
      <c r="M612" s="6">
        <v>-3.28</v>
      </c>
      <c r="N612" s="6">
        <v>0</v>
      </c>
      <c r="O612" s="6">
        <v>0.3333</v>
      </c>
      <c r="P612" s="6">
        <v>0.6667</v>
      </c>
      <c r="Q612" s="7"/>
      <c r="R612" s="7"/>
    </row>
    <row r="613" spans="1:18">
      <c r="A613" s="4" t="s">
        <v>865</v>
      </c>
      <c r="B613" s="4">
        <f t="shared" si="9"/>
        <v>8</v>
      </c>
      <c r="C613" s="4"/>
      <c r="G613" s="5">
        <v>840.02</v>
      </c>
      <c r="H613" s="5">
        <v>8.75</v>
      </c>
      <c r="I613" s="5">
        <v>0.76</v>
      </c>
      <c r="J613" s="6">
        <v>0.2875</v>
      </c>
      <c r="K613" s="5">
        <v>25.62</v>
      </c>
      <c r="L613" s="6">
        <v>0.625</v>
      </c>
      <c r="M613" s="6">
        <v>-1.1938</v>
      </c>
      <c r="N613" s="6">
        <v>0.25</v>
      </c>
      <c r="O613" s="6">
        <v>0.25</v>
      </c>
      <c r="P613" s="6">
        <v>0.5</v>
      </c>
      <c r="Q613" s="7"/>
      <c r="R613" s="7"/>
    </row>
    <row r="614" spans="1:18">
      <c r="A614" s="4" t="s">
        <v>866</v>
      </c>
      <c r="B614" s="4">
        <f t="shared" si="9"/>
        <v>3</v>
      </c>
      <c r="C614" s="4" t="s">
        <v>867</v>
      </c>
      <c r="D614" s="1" t="str">
        <f>IFERROR(VLOOKUP(A614,[1]biopep_DB!$F$2:$J$1654,5,0),)</f>
        <v/>
      </c>
      <c r="E614" s="1" t="str">
        <f>IFERROR(VLOOKUP(A614,[1]biopep_DB!$F$2:$L$1654,6,0),0)</f>
        <v/>
      </c>
      <c r="F614" s="1" t="str">
        <f>IFERROR(VLOOKUP(A614,[1]biopep_DB!$F$2:$L$1654,7,0),0)</f>
        <v/>
      </c>
      <c r="G614" s="5">
        <v>342.39</v>
      </c>
      <c r="H614" s="5">
        <v>5.53</v>
      </c>
      <c r="I614" s="5">
        <v>-0.24</v>
      </c>
      <c r="J614" s="6">
        <v>-0.2</v>
      </c>
      <c r="K614" s="5">
        <v>-2.93</v>
      </c>
      <c r="L614" s="6">
        <v>0.6667</v>
      </c>
      <c r="M614" s="6">
        <v>-1.1</v>
      </c>
      <c r="N614" s="6">
        <v>0</v>
      </c>
      <c r="O614" s="6">
        <v>0.6667</v>
      </c>
      <c r="P614" s="6">
        <v>0.3333</v>
      </c>
      <c r="Q614" s="7"/>
      <c r="R614" s="7"/>
    </row>
    <row r="615" spans="1:18">
      <c r="A615" s="4" t="s">
        <v>868</v>
      </c>
      <c r="B615" s="4">
        <f t="shared" si="9"/>
        <v>8</v>
      </c>
      <c r="C615" s="4"/>
      <c r="D615" s="1" t="str">
        <f>IFERROR(VLOOKUP(A615,[1]biopep_DB!$F$2:$J$1654,5,0),)</f>
        <v>Enterococcus faecalis strains from food, environmental, and clinical origin produce ACE-inhibitory peptides and other bioactive peptides during growth in bovine skim milk.</v>
      </c>
      <c r="E615" s="1" t="str">
        <f>IFERROR(VLOOKUP(A615,[1]biopep_DB!$F$2:$L$1654,6,0),0)</f>
        <v>10.1016/j.ijfoodmicro.2013.06.019</v>
      </c>
      <c r="F615" s="1" t="str">
        <f>IFERROR(VLOOKUP(A615,[1]biopep_DB!$F$2:$L$1654,7,0),0)</f>
        <v>23845432</v>
      </c>
      <c r="G615" s="5">
        <v>825.91</v>
      </c>
      <c r="H615" s="5">
        <v>4.6</v>
      </c>
      <c r="I615" s="5">
        <v>-1.23</v>
      </c>
      <c r="J615" s="6">
        <v>-0.3</v>
      </c>
      <c r="K615" s="5">
        <v>25.62</v>
      </c>
      <c r="L615" s="6">
        <v>0.5</v>
      </c>
      <c r="M615" s="6">
        <v>-0.835</v>
      </c>
      <c r="N615" s="6">
        <v>0.125</v>
      </c>
      <c r="O615" s="6">
        <v>0.625</v>
      </c>
      <c r="P615" s="6">
        <v>0.25</v>
      </c>
      <c r="Q615" s="7"/>
      <c r="R615" s="7"/>
    </row>
    <row r="616" spans="1:18">
      <c r="A616" s="4" t="s">
        <v>869</v>
      </c>
      <c r="B616" s="4">
        <f t="shared" si="9"/>
        <v>3</v>
      </c>
      <c r="C616" s="4" t="s">
        <v>36</v>
      </c>
      <c r="D616" s="1" t="str">
        <f>IFERROR(VLOOKUP(A616,[1]biopep_DB!$F$2:$J$1654,5,0),)</f>
        <v>Purification and characterization of angiotensin I-converting enzyme inhibitors from sour milk.; Structural requirements of Angiotensin I-converting enzyme inhibitory peptides: quantitative structure-activity relationship study of di- and tripeptides.; Evaluation of the allergenicity of goat milk, cow milk, and their lactosera in a guinea pig model.; Rheological, sensorial, and chemopreventive properties of milk fermented with exopolysaccharide-producing lactic cultures.; Antihypertensive peptides: production, bioavailability and incorporation into foods.; LC-MS/MS quantification of bioactive angiotensin I-converting enzyme inhibitory peptides in rye malt sourdoughs.; Antihypertensive peptides from food proteins: a review.; VPPIPP and IPPVPP: two hexapeptides innovated to exert antihypertensive activity.; What are the ideal properties for functional food peptides with antihypertensive effect? A computational peptidology approach.; Comparison of analytical methods to assay inhibitors of angiotensin I-converting enzyme.; Isolation and characterization of peptides with antihypertensive activity in foodstuffs.</v>
      </c>
      <c r="E616" s="1" t="str">
        <f>IFERROR(VLOOKUP(A616,[1]biopep_DB!$F$2:$L$1654,6,0),0)</f>
        <v>10.3168/jds.S0022-0302(95)76689-9; 10.1021/jf051263l; 10.3168/jds.2008-1125; 10.3168/jds.2008-1256; 10.1016/j.cis.2010.11.001; 10.1021/jf2033329; 10.1039/c2fo10192k; 10.1371/journal.pone.0062384; 10.1016/j.foodchem.2013.05.140; 10.1016/j.foodchem.2013.06.048; 10.1080/10408398.2012.664829</v>
      </c>
      <c r="F616" s="1" t="str">
        <f>IFERROR(VLOOKUP(A616,[1]biopep_DB!$F$2:$L$1654,7,0),0)</f>
        <v>7790570 16448176 19233776 19233777 21185549 21985248 22249830 23638059 23871047 23993489 24915368</v>
      </c>
      <c r="G616" s="5">
        <v>325.4</v>
      </c>
      <c r="H616" s="5">
        <v>5.53</v>
      </c>
      <c r="I616" s="5">
        <v>-0.24</v>
      </c>
      <c r="J616" s="6">
        <v>0.4333</v>
      </c>
      <c r="K616" s="5">
        <v>61.27</v>
      </c>
      <c r="L616" s="6">
        <v>1</v>
      </c>
      <c r="M616" s="6">
        <v>-1.64</v>
      </c>
      <c r="N616" s="6">
        <v>0</v>
      </c>
      <c r="O616" s="6">
        <v>0.6667</v>
      </c>
      <c r="P616" s="6">
        <v>0.3333</v>
      </c>
      <c r="Q616" s="7"/>
      <c r="R616" s="7"/>
    </row>
    <row r="617" spans="1:18">
      <c r="A617" s="4" t="s">
        <v>870</v>
      </c>
      <c r="B617" s="4">
        <f t="shared" si="9"/>
        <v>9</v>
      </c>
      <c r="C617" s="4" t="s">
        <v>871</v>
      </c>
      <c r="D617" s="1" t="str">
        <f>IFERROR(VLOOKUP(A617,[1]biopep_DB!$F$2:$J$1654,5,0),)</f>
        <v/>
      </c>
      <c r="E617" s="1" t="str">
        <f>IFERROR(VLOOKUP(A617,[1]biopep_DB!$F$2:$L$1654,6,0),0)</f>
        <v/>
      </c>
      <c r="F617" s="1" t="str">
        <f>IFERROR(VLOOKUP(A617,[1]biopep_DB!$F$2:$L$1654,7,0),0)</f>
        <v/>
      </c>
      <c r="G617" s="5">
        <v>1029.19</v>
      </c>
      <c r="H617" s="5">
        <v>5.52</v>
      </c>
      <c r="I617" s="5">
        <v>-0.24</v>
      </c>
      <c r="J617" s="6">
        <v>0.0667</v>
      </c>
      <c r="K617" s="5">
        <v>20.27</v>
      </c>
      <c r="L617" s="6">
        <v>0.6667</v>
      </c>
      <c r="M617" s="6">
        <v>-1.3144</v>
      </c>
      <c r="N617" s="6">
        <v>0</v>
      </c>
      <c r="O617" s="6">
        <v>0.4444</v>
      </c>
      <c r="P617" s="6">
        <v>0.5556</v>
      </c>
      <c r="Q617" s="7"/>
      <c r="R617" s="7"/>
    </row>
    <row r="618" spans="1:18">
      <c r="A618" s="4" t="s">
        <v>872</v>
      </c>
      <c r="B618" s="4">
        <f t="shared" si="9"/>
        <v>6</v>
      </c>
      <c r="C618" s="4"/>
      <c r="D618" s="1" t="str">
        <f>IFERROR(VLOOKUP(A618,[1]biopep_DB!$F$2:$J$1654,5,0),)</f>
        <v>Enterococcus faecalis strains from food, environmental, and clinical origin produce ACE-inhibitory peptides and other bioactive peptides during growth in bovine skim milk.</v>
      </c>
      <c r="E618" s="1" t="str">
        <f>IFERROR(VLOOKUP(A618,[1]biopep_DB!$F$2:$L$1654,6,0),0)</f>
        <v>10.1016/j.ijfoodmicro.2013.06.019</v>
      </c>
      <c r="F618" s="1" t="str">
        <f>IFERROR(VLOOKUP(A618,[1]biopep_DB!$F$2:$L$1654,7,0),0)</f>
        <v>23845432</v>
      </c>
      <c r="G618" s="5">
        <v>667.79</v>
      </c>
      <c r="H618" s="5">
        <v>5.53</v>
      </c>
      <c r="I618" s="5">
        <v>-0.24</v>
      </c>
      <c r="J618" s="6">
        <v>0.15</v>
      </c>
      <c r="K618" s="5">
        <v>23.07</v>
      </c>
      <c r="L618" s="6">
        <v>0.6667</v>
      </c>
      <c r="M618" s="6">
        <v>-1.37</v>
      </c>
      <c r="N618" s="6">
        <v>0.1667</v>
      </c>
      <c r="O618" s="6">
        <v>0.3333</v>
      </c>
      <c r="P618" s="6">
        <v>0.5</v>
      </c>
      <c r="Q618" s="7"/>
      <c r="R618" s="7"/>
    </row>
    <row r="619" spans="1:18">
      <c r="A619" s="4" t="s">
        <v>873</v>
      </c>
      <c r="B619" s="4">
        <f t="shared" si="9"/>
        <v>9</v>
      </c>
      <c r="C619" s="4"/>
      <c r="D619" s="1" t="str">
        <f>IFERROR(VLOOKUP(A619,[1]biopep_DB!$F$2:$J$1654,5,0),)</f>
        <v/>
      </c>
      <c r="E619" s="1" t="str">
        <f>IFERROR(VLOOKUP(A619,[1]biopep_DB!$F$2:$L$1654,6,0),0)</f>
        <v/>
      </c>
      <c r="F619" s="1" t="str">
        <f>IFERROR(VLOOKUP(A619,[1]biopep_DB!$F$2:$L$1654,7,0),0)</f>
        <v/>
      </c>
      <c r="G619" s="5">
        <v>965.14</v>
      </c>
      <c r="H619" s="5">
        <v>5.53</v>
      </c>
      <c r="I619" s="5">
        <v>-0.24</v>
      </c>
      <c r="J619" s="6">
        <v>0.3111</v>
      </c>
      <c r="K619" s="5">
        <v>40.11</v>
      </c>
      <c r="L619" s="6">
        <v>0.6667</v>
      </c>
      <c r="M619" s="6">
        <v>-1.3333</v>
      </c>
      <c r="N619" s="6">
        <v>0.1111</v>
      </c>
      <c r="O619" s="6">
        <v>0.3333</v>
      </c>
      <c r="P619" s="6">
        <v>0.5556</v>
      </c>
      <c r="Q619" s="7"/>
      <c r="R619" s="7"/>
    </row>
    <row r="620" spans="1:18">
      <c r="A620" s="4" t="s">
        <v>874</v>
      </c>
      <c r="B620" s="4">
        <f t="shared" si="9"/>
        <v>6</v>
      </c>
      <c r="C620" s="4" t="s">
        <v>875</v>
      </c>
      <c r="D620" s="1" t="str">
        <f>IFERROR(VLOOKUP(A620,[1]biopep_DB!$F$2:$J$1654,5,0),)</f>
        <v>VPPIPP and IPPVPP: two hexapeptides innovated to exert antihypertensive activity.</v>
      </c>
      <c r="E620" s="1" t="str">
        <f>IFERROR(VLOOKUP(A620,[1]biopep_DB!$F$2:$L$1654,6,0),0)</f>
        <v>10.1371/journal.pone.0062384</v>
      </c>
      <c r="F620" s="1" t="str">
        <f>IFERROR(VLOOKUP(A620,[1]biopep_DB!$F$2:$L$1654,7,0),0)</f>
        <v>23638059</v>
      </c>
      <c r="G620" s="5">
        <v>618.76</v>
      </c>
      <c r="H620" s="5">
        <v>5.53</v>
      </c>
      <c r="I620" s="5">
        <v>-0.24</v>
      </c>
      <c r="J620" s="6">
        <v>0.3833</v>
      </c>
      <c r="K620" s="5">
        <v>131.93</v>
      </c>
      <c r="L620" s="6">
        <v>1</v>
      </c>
      <c r="M620" s="6">
        <v>-1.4933</v>
      </c>
      <c r="N620" s="6">
        <v>0</v>
      </c>
      <c r="O620" s="6">
        <v>0.6667</v>
      </c>
      <c r="P620" s="6">
        <v>0.3333</v>
      </c>
      <c r="Q620" s="7"/>
      <c r="R620" s="7"/>
    </row>
    <row r="621" spans="1:18">
      <c r="A621" s="4" t="s">
        <v>876</v>
      </c>
      <c r="B621" s="4">
        <f t="shared" si="9"/>
        <v>3</v>
      </c>
      <c r="C621" s="4"/>
      <c r="D621" s="1" t="str">
        <f>IFERROR(VLOOKUP(A621,[1]biopep_DB!$F$2:$J$1654,5,0),)</f>
        <v>Angiotensin I-converting-enzyme-inhibitory and antibacterial peptides from Lactobacillus helveticus PR4 proteinase-hydrolyzed caseins of milk from six species.</v>
      </c>
      <c r="E621" s="1" t="str">
        <f>IFERROR(VLOOKUP(A621,[1]biopep_DB!$F$2:$L$1654,6,0),0)</f>
        <v>10.1128/AEM.69.9.5297-5305.2003</v>
      </c>
      <c r="F621" s="1" t="str">
        <f>IFERROR(VLOOKUP(A621,[1]biopep_DB!$F$2:$L$1654,7,0),0)</f>
        <v>12957917</v>
      </c>
      <c r="G621" s="5">
        <v>356.42</v>
      </c>
      <c r="H621" s="5">
        <v>5.53</v>
      </c>
      <c r="I621" s="5">
        <v>-0.24</v>
      </c>
      <c r="J621" s="6">
        <v>-0.2</v>
      </c>
      <c r="K621" s="5">
        <v>61.27</v>
      </c>
      <c r="L621" s="6">
        <v>0.6667</v>
      </c>
      <c r="M621" s="6">
        <v>-1.1867</v>
      </c>
      <c r="N621" s="6">
        <v>0</v>
      </c>
      <c r="O621" s="6">
        <v>0.3333</v>
      </c>
      <c r="P621" s="6">
        <v>0.3333</v>
      </c>
      <c r="Q621" s="7"/>
      <c r="R621" s="7"/>
    </row>
    <row r="622" spans="1:18">
      <c r="A622" s="4" t="s">
        <v>877</v>
      </c>
      <c r="B622" s="4">
        <f t="shared" si="9"/>
        <v>7</v>
      </c>
      <c r="C622" s="4" t="s">
        <v>878</v>
      </c>
      <c r="D622" s="1" t="str">
        <f>IFERROR(VLOOKUP(A622,[1]biopep_DB!$F$2:$J$1654,5,0),)</f>
        <v>Inhibition of angiotensin-converting enzyme by synthetic peptide fragments of various beta-caseins.</v>
      </c>
      <c r="E622" s="1" t="str">
        <f>IFERROR(VLOOKUP(A622,[1]biopep_DB!$F$2:$L$1654,6,0),0)</f>
        <v/>
      </c>
      <c r="F622" s="1" t="str">
        <f>IFERROR(VLOOKUP(A622,[1]biopep_DB!$F$2:$L$1654,7,0),0)</f>
        <v>1368548</v>
      </c>
      <c r="G622" s="5">
        <v>794.94</v>
      </c>
      <c r="H622" s="5">
        <v>4.05</v>
      </c>
      <c r="I622" s="5">
        <v>-1.24</v>
      </c>
      <c r="J622" s="6">
        <v>0.3286</v>
      </c>
      <c r="K622" s="5">
        <v>87</v>
      </c>
      <c r="L622" s="6">
        <v>0.7143</v>
      </c>
      <c r="M622" s="6">
        <v>-1.5543</v>
      </c>
      <c r="N622" s="6">
        <v>0.2857</v>
      </c>
      <c r="O622" s="6">
        <v>0.2857</v>
      </c>
      <c r="P622" s="6">
        <v>0.4286</v>
      </c>
      <c r="Q622" s="7"/>
      <c r="R622" s="7"/>
    </row>
    <row r="623" spans="1:18">
      <c r="A623" s="4" t="s">
        <v>879</v>
      </c>
      <c r="B623" s="4">
        <f t="shared" si="9"/>
        <v>3</v>
      </c>
      <c r="C623" s="4"/>
      <c r="D623" s="1" t="str">
        <f>IFERROR(VLOOKUP(A623,[1]biopep_DB!$F$2:$J$1654,5,0),)</f>
        <v/>
      </c>
      <c r="E623" s="1" t="str">
        <f>IFERROR(VLOOKUP(A623,[1]biopep_DB!$F$2:$L$1654,6,0),0)</f>
        <v/>
      </c>
      <c r="F623" s="1" t="str">
        <f>IFERROR(VLOOKUP(A623,[1]biopep_DB!$F$2:$L$1654,7,0),0)</f>
        <v/>
      </c>
      <c r="G623" s="5">
        <v>329.39</v>
      </c>
      <c r="H623" s="5">
        <v>5.53</v>
      </c>
      <c r="I623" s="5">
        <v>-0.24</v>
      </c>
      <c r="J623" s="6">
        <v>0.7333</v>
      </c>
      <c r="K623" s="5">
        <v>-2.93</v>
      </c>
      <c r="L623" s="6">
        <v>0.6667</v>
      </c>
      <c r="M623" s="6">
        <v>-1.5533</v>
      </c>
      <c r="N623" s="6">
        <v>0</v>
      </c>
      <c r="O623" s="6">
        <v>0.3333</v>
      </c>
      <c r="P623" s="6">
        <v>0.6667</v>
      </c>
      <c r="Q623" s="7"/>
      <c r="R623" s="7"/>
    </row>
    <row r="624" spans="1:18">
      <c r="A624" s="4" t="s">
        <v>880</v>
      </c>
      <c r="B624" s="4">
        <f t="shared" si="9"/>
        <v>3</v>
      </c>
      <c r="C624" s="4" t="s">
        <v>881</v>
      </c>
      <c r="D624" s="1" t="str">
        <f>IFERROR(VLOOKUP(A624,[1]biopep_DB!$F$2:$J$1654,5,0),)</f>
        <v>Angiotensin converting enzyme inhibitory peptides derived from food proteins: biochemistry, bioactivity and production.</v>
      </c>
      <c r="E624" s="1" t="str">
        <f>IFERROR(VLOOKUP(A624,[1]biopep_DB!$F$2:$L$1654,6,0),0)</f>
        <v>10.2174/138161207780363068</v>
      </c>
      <c r="F624" s="1" t="str">
        <f>IFERROR(VLOOKUP(A624,[1]biopep_DB!$F$2:$L$1654,7,0),0)</f>
        <v>17430180</v>
      </c>
      <c r="G624" s="5">
        <v>391.46</v>
      </c>
      <c r="H624" s="5">
        <v>5.52</v>
      </c>
      <c r="I624" s="5">
        <v>-0.24</v>
      </c>
      <c r="J624" s="6">
        <v>0.5333</v>
      </c>
      <c r="K624" s="5">
        <v>-2.93</v>
      </c>
      <c r="L624" s="6">
        <v>0.6667</v>
      </c>
      <c r="M624" s="6">
        <v>-1.5933</v>
      </c>
      <c r="N624" s="6">
        <v>0</v>
      </c>
      <c r="O624" s="6">
        <v>0.3333</v>
      </c>
      <c r="P624" s="6">
        <v>0.6667</v>
      </c>
      <c r="Q624" s="7"/>
      <c r="R624" s="7"/>
    </row>
    <row r="625" spans="1:18">
      <c r="A625" s="4" t="s">
        <v>882</v>
      </c>
      <c r="B625" s="4">
        <f t="shared" si="9"/>
        <v>2</v>
      </c>
      <c r="C625" s="4"/>
      <c r="D625" s="1" t="str">
        <f>IFERROR(VLOOKUP(A625,[1]biopep_DB!$F$2:$J$1654,5,0),)</f>
        <v>Three-dimensional holograph vector of atomic interaction field (3D-HoVAIF): a novel rotation-translation invariant 3D structure descriptor and its applications to peptides.</v>
      </c>
      <c r="E625" s="1" t="str">
        <f>IFERROR(VLOOKUP(A625,[1]biopep_DB!$F$2:$L$1654,6,0),0)</f>
        <v>10.1002/psc.892</v>
      </c>
      <c r="F625" s="1" t="str">
        <f>IFERROR(VLOOKUP(A625,[1]biopep_DB!$F$2:$L$1654,7,0),0)</f>
        <v>17654623</v>
      </c>
      <c r="G625" s="5">
        <v>259.3</v>
      </c>
      <c r="H625" s="5">
        <v>5.53</v>
      </c>
      <c r="I625" s="5">
        <v>-0.24</v>
      </c>
      <c r="J625" s="6">
        <v>0.5</v>
      </c>
      <c r="K625" s="5">
        <v>5</v>
      </c>
      <c r="L625" s="6">
        <v>0.5</v>
      </c>
      <c r="M625" s="6">
        <v>-1.78</v>
      </c>
      <c r="N625" s="6">
        <v>0</v>
      </c>
      <c r="O625" s="6">
        <v>0</v>
      </c>
      <c r="P625" s="6">
        <v>0.5</v>
      </c>
      <c r="Q625" s="7"/>
      <c r="R625" s="7"/>
    </row>
    <row r="626" spans="1:18">
      <c r="A626" s="4" t="s">
        <v>883</v>
      </c>
      <c r="B626" s="4">
        <f t="shared" si="9"/>
        <v>3</v>
      </c>
      <c r="C626" s="4" t="s">
        <v>31</v>
      </c>
      <c r="D626" s="1" t="str">
        <f>IFERROR(VLOOKUP(A626,[1]biopep_DB!$F$2:$J$1654,5,0),)</f>
        <v/>
      </c>
      <c r="E626" s="1" t="str">
        <f>IFERROR(VLOOKUP(A626,[1]biopep_DB!$F$2:$L$1654,6,0),0)</f>
        <v/>
      </c>
      <c r="F626" s="1" t="str">
        <f>IFERROR(VLOOKUP(A626,[1]biopep_DB!$F$2:$L$1654,7,0),0)</f>
        <v/>
      </c>
      <c r="G626" s="5">
        <v>406.48</v>
      </c>
      <c r="H626" s="5">
        <v>5.53</v>
      </c>
      <c r="I626" s="5">
        <v>-0.24</v>
      </c>
      <c r="J626" s="6">
        <v>1.2667</v>
      </c>
      <c r="K626" s="5">
        <v>-18.47</v>
      </c>
      <c r="L626" s="6">
        <v>0.6667</v>
      </c>
      <c r="M626" s="6">
        <v>-2.18</v>
      </c>
      <c r="N626" s="6">
        <v>0</v>
      </c>
      <c r="O626" s="6">
        <v>0</v>
      </c>
      <c r="P626" s="6">
        <v>0.6667</v>
      </c>
      <c r="Q626" s="7"/>
      <c r="R626" s="7"/>
    </row>
    <row r="627" spans="1:18">
      <c r="A627" s="4" t="s">
        <v>884</v>
      </c>
      <c r="B627" s="4">
        <f t="shared" si="9"/>
        <v>5</v>
      </c>
      <c r="C627" s="4" t="s">
        <v>31</v>
      </c>
      <c r="D627" s="1" t="str">
        <f>IFERROR(VLOOKUP(A627,[1]biopep_DB!$F$2:$J$1654,5,0),)</f>
        <v/>
      </c>
      <c r="E627" s="1" t="str">
        <f>IFERROR(VLOOKUP(A627,[1]biopep_DB!$F$2:$L$1654,6,0),0)</f>
        <v/>
      </c>
      <c r="F627" s="1" t="str">
        <f>IFERROR(VLOOKUP(A627,[1]biopep_DB!$F$2:$L$1654,7,0),0)</f>
        <v/>
      </c>
      <c r="G627" s="5">
        <v>584.62</v>
      </c>
      <c r="H627" s="5">
        <v>6.74</v>
      </c>
      <c r="I627" s="5">
        <v>-0.15</v>
      </c>
      <c r="J627" s="6">
        <v>-0.74</v>
      </c>
      <c r="K627" s="5">
        <v>8</v>
      </c>
      <c r="L627" s="6">
        <v>0.2</v>
      </c>
      <c r="M627" s="6">
        <v>-0.294</v>
      </c>
      <c r="N627" s="6">
        <v>0</v>
      </c>
      <c r="O627" s="6">
        <v>0.2</v>
      </c>
      <c r="P627" s="6">
        <v>0.4</v>
      </c>
      <c r="Q627" s="7"/>
      <c r="R627" s="7"/>
    </row>
    <row r="628" spans="1:18">
      <c r="A628" s="4" t="s">
        <v>885</v>
      </c>
      <c r="B628" s="4">
        <f t="shared" si="9"/>
        <v>10</v>
      </c>
      <c r="C628" s="4"/>
      <c r="D628" s="1" t="str">
        <f>IFERROR(VLOOKUP(A628,[1]biopep_DB!$F$2:$J$1654,5,0),)</f>
        <v>Casein fermentate of Lactobacillus animalis DPC6134 contains a range of novel propeptide angiotensin-converting enzyme inhibitors.</v>
      </c>
      <c r="E628" s="1" t="str">
        <f>IFERROR(VLOOKUP(A628,[1]biopep_DB!$F$2:$L$1654,6,0),0)</f>
        <v>10.1128/AEM.00096-07</v>
      </c>
      <c r="F628" s="1" t="str">
        <f>IFERROR(VLOOKUP(A628,[1]biopep_DB!$F$2:$L$1654,7,0),0)</f>
        <v>17483275</v>
      </c>
      <c r="G628" s="5">
        <v>1200.3</v>
      </c>
      <c r="H628" s="5">
        <v>4.68</v>
      </c>
      <c r="I628" s="5">
        <v>-1.23</v>
      </c>
      <c r="J628" s="6">
        <v>-1.61</v>
      </c>
      <c r="K628" s="5">
        <v>86.04</v>
      </c>
      <c r="L628" s="6">
        <v>0.3</v>
      </c>
      <c r="M628" s="6">
        <v>0.25</v>
      </c>
      <c r="N628" s="6">
        <v>0.3</v>
      </c>
      <c r="O628" s="6">
        <v>0.3</v>
      </c>
      <c r="P628" s="6">
        <v>0.2</v>
      </c>
      <c r="Q628" s="7"/>
      <c r="R628" s="7"/>
    </row>
    <row r="629" spans="1:18">
      <c r="A629" s="4" t="s">
        <v>886</v>
      </c>
      <c r="B629" s="4">
        <f t="shared" si="9"/>
        <v>3</v>
      </c>
      <c r="C629" s="4" t="s">
        <v>513</v>
      </c>
      <c r="D629" s="1" t="str">
        <f>IFERROR(VLOOKUP(A629,[1]biopep_DB!$F$2:$J$1654,5,0),)</f>
        <v>Angiotensin I converting enzyme inhibitory peptides produced by autolysis reactions from wheat bran.; Antihypertensive peptides from food proteins: a review.;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629" s="1" t="str">
        <f>IFERROR(VLOOKUP(A629,[1]biopep_DB!$F$2:$L$1654,6,0),0)</f>
        <v>10.1021/jf900857w; 10.1039/c2fo10192k; 10.1016/j.talanta.2012.12.041; 10.1016/j.foodchem.2013.05.140; 10.1080/10408398.2012.664829</v>
      </c>
      <c r="F629" s="1" t="str">
        <f>IFERROR(VLOOKUP(A629,[1]biopep_DB!$F$2:$L$1654,7,0),0)</f>
        <v>19572648 22249830 23598136 23871047 24915368</v>
      </c>
      <c r="G629" s="5">
        <v>356.42</v>
      </c>
      <c r="H629" s="5">
        <v>5.53</v>
      </c>
      <c r="I629" s="5">
        <v>-0.24</v>
      </c>
      <c r="J629" s="6">
        <v>-0.2</v>
      </c>
      <c r="K629" s="5">
        <v>70.87</v>
      </c>
      <c r="L629" s="6">
        <v>0.6667</v>
      </c>
      <c r="M629" s="6">
        <v>-1.1867</v>
      </c>
      <c r="N629" s="6">
        <v>0</v>
      </c>
      <c r="O629" s="6">
        <v>0.3333</v>
      </c>
      <c r="P629" s="6">
        <v>0.3333</v>
      </c>
      <c r="Q629" s="7"/>
      <c r="R629" s="7"/>
    </row>
    <row r="630" spans="1:18">
      <c r="A630" s="4" t="s">
        <v>887</v>
      </c>
      <c r="B630" s="4">
        <f t="shared" si="9"/>
        <v>9</v>
      </c>
      <c r="C630" s="4"/>
      <c r="G630" s="5">
        <v>982.13</v>
      </c>
      <c r="H630" s="5">
        <v>6</v>
      </c>
      <c r="I630" s="5">
        <v>-0.24</v>
      </c>
      <c r="J630" s="6">
        <v>-0.4556</v>
      </c>
      <c r="K630" s="5">
        <v>97.31</v>
      </c>
      <c r="L630" s="6">
        <v>0.5556</v>
      </c>
      <c r="M630" s="6">
        <v>-0.6922</v>
      </c>
      <c r="N630" s="6">
        <v>0.3333</v>
      </c>
      <c r="O630" s="6">
        <v>0.3333</v>
      </c>
      <c r="P630" s="6">
        <v>0.2222</v>
      </c>
      <c r="Q630" s="7"/>
      <c r="R630" s="7"/>
    </row>
    <row r="631" spans="1:18">
      <c r="A631" s="4" t="s">
        <v>888</v>
      </c>
      <c r="B631" s="4">
        <f t="shared" si="9"/>
        <v>9</v>
      </c>
      <c r="C631" s="4"/>
      <c r="G631" s="5">
        <v>1015.12</v>
      </c>
      <c r="H631" s="5">
        <v>5.53</v>
      </c>
      <c r="I631" s="5">
        <v>-0.24</v>
      </c>
      <c r="J631" s="6">
        <v>-0.6</v>
      </c>
      <c r="K631" s="5">
        <v>143.31</v>
      </c>
      <c r="L631" s="6">
        <v>0.5556</v>
      </c>
      <c r="M631" s="6">
        <v>-0.5322</v>
      </c>
      <c r="N631" s="6">
        <v>0.1111</v>
      </c>
      <c r="O631" s="6">
        <v>0.3333</v>
      </c>
      <c r="P631" s="6">
        <v>0.2222</v>
      </c>
      <c r="Q631" s="7"/>
      <c r="R631" s="7"/>
    </row>
    <row r="632" spans="1:18">
      <c r="A632" s="4" t="s">
        <v>889</v>
      </c>
      <c r="B632" s="4">
        <f t="shared" si="9"/>
        <v>3</v>
      </c>
      <c r="C632" s="4" t="s">
        <v>31</v>
      </c>
      <c r="D632" s="1" t="str">
        <f>IFERROR(VLOOKUP(A632,[1]biopep_DB!$F$2:$J$1654,5,0),)</f>
        <v/>
      </c>
      <c r="E632" s="1" t="str">
        <f>IFERROR(VLOOKUP(A632,[1]biopep_DB!$F$2:$L$1654,6,0),0)</f>
        <v/>
      </c>
      <c r="F632" s="1" t="str">
        <f>IFERROR(VLOOKUP(A632,[1]biopep_DB!$F$2:$L$1654,7,0),0)</f>
        <v/>
      </c>
      <c r="G632" s="5">
        <v>445.51</v>
      </c>
      <c r="H632" s="5">
        <v>5.53</v>
      </c>
      <c r="I632" s="5">
        <v>-0.24</v>
      </c>
      <c r="J632" s="6">
        <v>0.0333</v>
      </c>
      <c r="K632" s="5">
        <v>6.67</v>
      </c>
      <c r="L632" s="6">
        <v>0.6667</v>
      </c>
      <c r="M632" s="6">
        <v>-1.9633</v>
      </c>
      <c r="N632" s="6">
        <v>0</v>
      </c>
      <c r="O632" s="6">
        <v>0</v>
      </c>
      <c r="P632" s="6">
        <v>0.6667</v>
      </c>
      <c r="Q632" s="7"/>
      <c r="R632" s="7"/>
    </row>
    <row r="633" spans="1:18">
      <c r="A633" s="4" t="s">
        <v>890</v>
      </c>
      <c r="B633" s="4">
        <f t="shared" si="9"/>
        <v>5</v>
      </c>
      <c r="C633" s="4"/>
      <c r="D633" s="1" t="str">
        <f>IFERROR(VLOOKUP(A633,[1]biopep_DB!$F$2:$J$1654,5,0),)</f>
        <v/>
      </c>
      <c r="E633" s="1" t="str">
        <f>IFERROR(VLOOKUP(A633,[1]biopep_DB!$F$2:$L$1654,6,0),0)</f>
        <v/>
      </c>
      <c r="F633" s="1" t="str">
        <f>IFERROR(VLOOKUP(A633,[1]biopep_DB!$F$2:$L$1654,7,0),0)</f>
        <v/>
      </c>
      <c r="G633" s="5">
        <v>619.73</v>
      </c>
      <c r="H633" s="5">
        <v>5.52</v>
      </c>
      <c r="I633" s="5">
        <v>-0.25</v>
      </c>
      <c r="J633" s="6">
        <v>0.88</v>
      </c>
      <c r="K633" s="5">
        <v>8</v>
      </c>
      <c r="L633" s="6">
        <v>0.6</v>
      </c>
      <c r="M633" s="6">
        <v>-1.796</v>
      </c>
      <c r="N633" s="6">
        <v>0.2</v>
      </c>
      <c r="O633" s="6">
        <v>0</v>
      </c>
      <c r="P633" s="6">
        <v>0.4</v>
      </c>
      <c r="Q633" s="7"/>
      <c r="R633" s="7"/>
    </row>
    <row r="634" spans="1:18">
      <c r="A634" s="4" t="s">
        <v>891</v>
      </c>
      <c r="B634" s="4">
        <f t="shared" si="9"/>
        <v>3</v>
      </c>
      <c r="C634" s="4" t="s">
        <v>31</v>
      </c>
      <c r="D634" s="1" t="str">
        <f>IFERROR(VLOOKUP(A634,[1]biopep_DB!$F$2:$J$1654,5,0),)</f>
        <v/>
      </c>
      <c r="E634" s="1" t="str">
        <f>IFERROR(VLOOKUP(A634,[1]biopep_DB!$F$2:$L$1654,6,0),0)</f>
        <v/>
      </c>
      <c r="F634" s="1" t="str">
        <f>IFERROR(VLOOKUP(A634,[1]biopep_DB!$F$2:$L$1654,7,0),0)</f>
        <v/>
      </c>
      <c r="G634" s="5">
        <v>422.48</v>
      </c>
      <c r="H634" s="5">
        <v>5.52</v>
      </c>
      <c r="I634" s="5">
        <v>-0.24</v>
      </c>
      <c r="J634" s="6">
        <v>-0.1</v>
      </c>
      <c r="K634" s="5">
        <v>-18.47</v>
      </c>
      <c r="L634" s="6">
        <v>0.3333</v>
      </c>
      <c r="M634" s="6">
        <v>-1.14</v>
      </c>
      <c r="N634" s="6">
        <v>0</v>
      </c>
      <c r="O634" s="6">
        <v>0</v>
      </c>
      <c r="P634" s="6">
        <v>0.6667</v>
      </c>
      <c r="Q634" s="7"/>
      <c r="R634" s="7"/>
    </row>
    <row r="635" spans="1:18">
      <c r="A635" s="4" t="s">
        <v>892</v>
      </c>
      <c r="B635" s="4">
        <f t="shared" si="9"/>
        <v>5</v>
      </c>
      <c r="C635" s="4"/>
      <c r="D635" s="1" t="str">
        <f>IFERROR(VLOOKUP(A635,[1]biopep_DB!$F$2:$J$1654,5,0),)</f>
        <v/>
      </c>
      <c r="E635" s="1" t="str">
        <f>IFERROR(VLOOKUP(A635,[1]biopep_DB!$F$2:$L$1654,6,0),0)</f>
        <v/>
      </c>
      <c r="F635" s="1" t="str">
        <f>IFERROR(VLOOKUP(A635,[1]biopep_DB!$F$2:$L$1654,7,0),0)</f>
        <v/>
      </c>
      <c r="G635" s="5">
        <v>596.7</v>
      </c>
      <c r="H635" s="5">
        <v>5.52</v>
      </c>
      <c r="I635" s="5">
        <v>-0.25</v>
      </c>
      <c r="J635" s="6">
        <v>0.8</v>
      </c>
      <c r="K635" s="5">
        <v>-7.08</v>
      </c>
      <c r="L635" s="6">
        <v>0.4</v>
      </c>
      <c r="M635" s="6">
        <v>-1.302</v>
      </c>
      <c r="N635" s="6">
        <v>0.2</v>
      </c>
      <c r="O635" s="6">
        <v>0</v>
      </c>
      <c r="P635" s="6">
        <v>0.4</v>
      </c>
      <c r="Q635" s="7"/>
      <c r="R635" s="7"/>
    </row>
    <row r="636" spans="1:18">
      <c r="A636" s="4" t="s">
        <v>893</v>
      </c>
      <c r="B636" s="4">
        <f t="shared" si="9"/>
        <v>2</v>
      </c>
      <c r="C636" s="4" t="s">
        <v>36</v>
      </c>
      <c r="D636" s="1" t="str">
        <f>IFERROR(VLOOKUP(A636,[1]biopep_DB!$F$2:$J$1654,5,0),)</f>
        <v>Structural requirements of Angiotensin I-converting enzyme inhibitory peptides: quantitative structure-activity relationship study of di- and tripeptides.; Bioactive peptides in amaranth (Amaranthus hypochondriacus) seed.; Quality and acceptability of a set-type yogurt made from camel milk.; Model of the exofacial substrate-binding site and helical folding of the human Glut1 glucose transporter based on scanning mutagenesis.; Peptides with angiotensin I converting enzyme (ACE) inhibitory activity generated from porcine skeletal muscle proteins by the action of meat-borne Lactobacillus.</v>
      </c>
      <c r="E636" s="1" t="str">
        <f>IFERROR(VLOOKUP(A636,[1]biopep_DB!$F$2:$L$1654,6,0),0)</f>
        <v>10.1021/jf051263l; 10.1021/jf072911z; 10.3168/jds.2008-1408; 10.1021/bi900521n; 10.1016/j.jprot.2013.06.023</v>
      </c>
      <c r="F636" s="1" t="str">
        <f>IFERROR(VLOOKUP(A636,[1]biopep_DB!$F$2:$L$1654,7,0),0)</f>
        <v>16448176 18211015 19233778 19449892 23806758</v>
      </c>
      <c r="G636" s="5">
        <v>287.36</v>
      </c>
      <c r="H636" s="5">
        <v>9.75</v>
      </c>
      <c r="I636" s="5">
        <v>0.76</v>
      </c>
      <c r="J636" s="6">
        <v>0</v>
      </c>
      <c r="K636" s="5">
        <v>5</v>
      </c>
      <c r="L636" s="6">
        <v>0.5</v>
      </c>
      <c r="M636" s="6">
        <v>-1.1</v>
      </c>
      <c r="N636" s="6">
        <v>0</v>
      </c>
      <c r="O636" s="6">
        <v>0</v>
      </c>
      <c r="P636" s="6">
        <v>0.5</v>
      </c>
      <c r="Q636" s="7"/>
      <c r="R636" s="7"/>
    </row>
    <row r="637" spans="1:18">
      <c r="A637" s="4" t="s">
        <v>894</v>
      </c>
      <c r="B637" s="4">
        <f t="shared" si="9"/>
        <v>3</v>
      </c>
      <c r="C637" s="4" t="s">
        <v>36</v>
      </c>
      <c r="D637" s="1" t="str">
        <f>IFERROR(VLOOKUP(A637,[1]biopep_DB!$F$2:$J$1654,5,0),)</f>
        <v>Structures and activity of angiotensin-converting enzyme inhibitors in an alpha-zein hydrolysate.; Structural requirements of Angiotensin I-converting enzyme inhibitory peptides: quantitative structure-activity relationship study of di- and tripeptides.; Bioactive peptides in amaranth (Amaranthus hypochondriacus) seed.; Cellular membrane disruption by amyloid fibrils involved intermolecular disulfide cross-linking.; What are the ideal properties for functional food peptides with antihypertensive effect? A computational peptidology approach.</v>
      </c>
      <c r="E637" s="1" t="str">
        <f>IFERROR(VLOOKUP(A637,[1]biopep_DB!$F$2:$L$1654,6,0),0)</f>
        <v>10.1021/jf051263l; 10.1021/jf072911z; 10.1021/bi900219c; 10.1016/j.foodchem.2013.05.140</v>
      </c>
      <c r="F637" s="1" t="str">
        <f>IFERROR(VLOOKUP(A637,[1]biopep_DB!$F$2:$L$1654,7,0),0)</f>
        <v>1368684 16448176 18211015 19449893 23871047</v>
      </c>
      <c r="G637" s="5">
        <v>358.44</v>
      </c>
      <c r="H637" s="5">
        <v>9.75</v>
      </c>
      <c r="I637" s="5">
        <v>0.76</v>
      </c>
      <c r="J637" s="6">
        <v>0.6</v>
      </c>
      <c r="K637" s="5">
        <v>6.67</v>
      </c>
      <c r="L637" s="6">
        <v>0.6667</v>
      </c>
      <c r="M637" s="6">
        <v>-1.3367</v>
      </c>
      <c r="N637" s="6">
        <v>0.3333</v>
      </c>
      <c r="O637" s="6">
        <v>0</v>
      </c>
      <c r="P637" s="6">
        <v>0.3333</v>
      </c>
      <c r="Q637" s="7"/>
      <c r="R637" s="7"/>
    </row>
    <row r="638" spans="1:18">
      <c r="A638" s="4" t="s">
        <v>895</v>
      </c>
      <c r="B638" s="4">
        <f t="shared" si="9"/>
        <v>5</v>
      </c>
      <c r="C638" s="4" t="s">
        <v>896</v>
      </c>
      <c r="D638" s="1" t="str">
        <f>IFERROR(VLOOKUP(A638,[1]biopep_DB!$F$2:$J$1654,5,0),)</f>
        <v>Structures and activity of angiotensin-converting enzyme inhibitors in an alpha-zein hydrolysate.; Cellular membrane disruption by amyloid fibrils involved intermolecular disulfide cross-linking.; A new QSAR model, for angiotensin I-converting enzyme inhibitory oligopeptides.</v>
      </c>
      <c r="E638" s="1" t="str">
        <f>IFERROR(VLOOKUP(A638,[1]biopep_DB!$F$2:$L$1654,6,0),0)</f>
        <v>10.1021/bi900219c; 10.1016/j.foodchem.2012.09.092</v>
      </c>
      <c r="F638" s="1" t="str">
        <f>IFERROR(VLOOKUP(A638,[1]biopep_DB!$F$2:$L$1654,7,0),0)</f>
        <v>1368684 19449893 23194537</v>
      </c>
      <c r="G638" s="5">
        <v>614.69</v>
      </c>
      <c r="H638" s="5">
        <v>9.75</v>
      </c>
      <c r="I638" s="5">
        <v>0.76</v>
      </c>
      <c r="J638" s="6">
        <v>-1.04</v>
      </c>
      <c r="K638" s="5">
        <v>46.52</v>
      </c>
      <c r="L638" s="6">
        <v>0.4</v>
      </c>
      <c r="M638" s="6">
        <v>-0.258</v>
      </c>
      <c r="N638" s="6">
        <v>0.2</v>
      </c>
      <c r="O638" s="6">
        <v>0</v>
      </c>
      <c r="P638" s="6">
        <v>0.2</v>
      </c>
      <c r="Q638" s="7"/>
      <c r="R638" s="7"/>
    </row>
    <row r="639" spans="1:18">
      <c r="A639" s="4" t="s">
        <v>897</v>
      </c>
      <c r="B639" s="4">
        <f t="shared" si="9"/>
        <v>3</v>
      </c>
      <c r="C639" s="4" t="s">
        <v>31</v>
      </c>
      <c r="D639" s="1" t="str">
        <f>IFERROR(VLOOKUP(A639,[1]biopep_DB!$F$2:$J$1654,5,0),)</f>
        <v/>
      </c>
      <c r="E639" s="1" t="str">
        <f>IFERROR(VLOOKUP(A639,[1]biopep_DB!$F$2:$L$1654,6,0),0)</f>
        <v/>
      </c>
      <c r="F639" s="1" t="str">
        <f>IFERROR(VLOOKUP(A639,[1]biopep_DB!$F$2:$L$1654,7,0),0)</f>
        <v/>
      </c>
      <c r="G639" s="5">
        <v>402.45</v>
      </c>
      <c r="H639" s="5">
        <v>6.09</v>
      </c>
      <c r="I639" s="5">
        <v>-0.24</v>
      </c>
      <c r="J639" s="6">
        <v>-1.1667</v>
      </c>
      <c r="K639" s="5">
        <v>6.67</v>
      </c>
      <c r="L639" s="6">
        <v>0.3333</v>
      </c>
      <c r="M639" s="6">
        <v>-0.1733</v>
      </c>
      <c r="N639" s="6">
        <v>0</v>
      </c>
      <c r="O639" s="6">
        <v>0.3333</v>
      </c>
      <c r="P639" s="6">
        <v>0.3333</v>
      </c>
      <c r="Q639" s="7"/>
      <c r="R639" s="7"/>
    </row>
    <row r="640" spans="1:18">
      <c r="A640" s="4" t="s">
        <v>898</v>
      </c>
      <c r="B640" s="4">
        <f t="shared" si="9"/>
        <v>3</v>
      </c>
      <c r="C640" s="4" t="s">
        <v>31</v>
      </c>
      <c r="D640" s="1" t="str">
        <f>IFERROR(VLOOKUP(A640,[1]biopep_DB!$F$2:$J$1654,5,0),)</f>
        <v/>
      </c>
      <c r="E640" s="1" t="str">
        <f>IFERROR(VLOOKUP(A640,[1]biopep_DB!$F$2:$L$1654,6,0),0)</f>
        <v/>
      </c>
      <c r="F640" s="1" t="str">
        <f>IFERROR(VLOOKUP(A640,[1]biopep_DB!$F$2:$L$1654,7,0),0)</f>
        <v/>
      </c>
      <c r="G640" s="5">
        <v>424.5</v>
      </c>
      <c r="H640" s="5">
        <v>9.76</v>
      </c>
      <c r="I640" s="5">
        <v>0.85</v>
      </c>
      <c r="J640" s="6">
        <v>-1.0667</v>
      </c>
      <c r="K640" s="5">
        <v>70.87</v>
      </c>
      <c r="L640" s="6">
        <v>0.3333</v>
      </c>
      <c r="M640" s="6">
        <v>-0.4033</v>
      </c>
      <c r="N640" s="6">
        <v>0</v>
      </c>
      <c r="O640" s="6">
        <v>0</v>
      </c>
      <c r="P640" s="6">
        <v>0.3333</v>
      </c>
      <c r="Q640" s="7"/>
      <c r="R640" s="7"/>
    </row>
    <row r="641" spans="1:18">
      <c r="A641" s="4" t="s">
        <v>899</v>
      </c>
      <c r="B641" s="4">
        <f t="shared" si="9"/>
        <v>3</v>
      </c>
      <c r="C641" s="4" t="s">
        <v>31</v>
      </c>
      <c r="D641" s="1" t="str">
        <f>IFERROR(VLOOKUP(A641,[1]biopep_DB!$F$2:$J$1654,5,0),)</f>
        <v/>
      </c>
      <c r="E641" s="1" t="str">
        <f>IFERROR(VLOOKUP(A641,[1]biopep_DB!$F$2:$L$1654,6,0),0)</f>
        <v/>
      </c>
      <c r="F641" s="1" t="str">
        <f>IFERROR(VLOOKUP(A641,[1]biopep_DB!$F$2:$L$1654,7,0),0)</f>
        <v/>
      </c>
      <c r="G641" s="5">
        <v>401.46</v>
      </c>
      <c r="H641" s="5">
        <v>9.75</v>
      </c>
      <c r="I641" s="5">
        <v>0.76</v>
      </c>
      <c r="J641" s="6">
        <v>-1.1667</v>
      </c>
      <c r="K641" s="5">
        <v>47.8</v>
      </c>
      <c r="L641" s="6">
        <v>0.3333</v>
      </c>
      <c r="M641" s="6">
        <v>-0.1933</v>
      </c>
      <c r="N641" s="6">
        <v>0</v>
      </c>
      <c r="O641" s="6">
        <v>0.3333</v>
      </c>
      <c r="P641" s="6">
        <v>0.3333</v>
      </c>
      <c r="Q641" s="7"/>
      <c r="R641" s="7"/>
    </row>
    <row r="642" spans="1:18">
      <c r="A642" s="4" t="s">
        <v>900</v>
      </c>
      <c r="B642" s="4">
        <f t="shared" si="9"/>
        <v>3</v>
      </c>
      <c r="C642" s="4" t="s">
        <v>31</v>
      </c>
      <c r="D642" s="1" t="str">
        <f>IFERROR(VLOOKUP(A642,[1]biopep_DB!$F$2:$J$1654,5,0),)</f>
        <v>Angiotensin I-converting enzyme inhibitory peptides derived from bonito bowels autolysate.; Structural requirements of Angiotensin I-converting enzyme inhibitory peptides: quantitative structure-activity relationship study of di- and tripeptides.; What are the ideal properties for functional food peptides with antihypertensive effect? A computational peptidology approach.; Isolation and characterization of peptides with antihypertensive activity in foodstuffs.</v>
      </c>
      <c r="E642" s="1" t="str">
        <f>IFERROR(VLOOKUP(A642,[1]biopep_DB!$F$2:$L$1654,6,0),0)</f>
        <v>10.1271/bbb.57.695; 10.1021/jf051263l; 10.1016/j.foodchem.2013.05.140; 10.1080/10408398.2012.664829</v>
      </c>
      <c r="F642" s="1" t="str">
        <f>IFERROR(VLOOKUP(A642,[1]biopep_DB!$F$2:$L$1654,7,0),0)</f>
        <v>7763772 16448176 23871047 24915368</v>
      </c>
      <c r="G642" s="5">
        <v>384.47</v>
      </c>
      <c r="H642" s="5">
        <v>9.75</v>
      </c>
      <c r="I642" s="5">
        <v>0.76</v>
      </c>
      <c r="J642" s="6">
        <v>-0.5333</v>
      </c>
      <c r="K642" s="5">
        <v>70.87</v>
      </c>
      <c r="L642" s="6">
        <v>0.6667</v>
      </c>
      <c r="M642" s="6">
        <v>-0.7333</v>
      </c>
      <c r="N642" s="6">
        <v>0</v>
      </c>
      <c r="O642" s="6">
        <v>0.3333</v>
      </c>
      <c r="P642" s="6">
        <v>0.3333</v>
      </c>
      <c r="Q642" s="7"/>
      <c r="R642" s="7"/>
    </row>
    <row r="643" spans="1:18">
      <c r="A643" s="4" t="s">
        <v>901</v>
      </c>
      <c r="B643" s="4">
        <f t="shared" si="9"/>
        <v>5</v>
      </c>
      <c r="C643" s="4" t="s">
        <v>902</v>
      </c>
      <c r="D643" s="1" t="str">
        <f>IFERROR(VLOOKUP(A643,[1]biopep_DB!$F$2:$J$1654,5,0),)</f>
        <v>Isolation and characterization of angiotensin I-converting enzyme inhibitory peptides derived from bonito bowels.; A new QSAR model, for angiotensin I-converting enzyme inhibitory oligopeptides.</v>
      </c>
      <c r="E643" s="1" t="str">
        <f>IFERROR(VLOOKUP(A643,[1]biopep_DB!$F$2:$L$1654,6,0),0)</f>
        <v>10.1271/bbb.57.1743; 10.1016/j.foodchem.2012.09.092</v>
      </c>
      <c r="F643" s="1" t="str">
        <f>IFERROR(VLOOKUP(A643,[1]biopep_DB!$F$2:$L$1654,7,0),0)</f>
        <v>7764272 23194537</v>
      </c>
      <c r="G643" s="5">
        <v>611.73</v>
      </c>
      <c r="H643" s="5">
        <v>9.75</v>
      </c>
      <c r="I643" s="5">
        <v>0.76</v>
      </c>
      <c r="J643" s="6">
        <v>-0.18</v>
      </c>
      <c r="K643" s="5">
        <v>85.04</v>
      </c>
      <c r="L643" s="6">
        <v>0.6</v>
      </c>
      <c r="M643" s="6">
        <v>-0.976</v>
      </c>
      <c r="N643" s="6">
        <v>0</v>
      </c>
      <c r="O643" s="6">
        <v>0.2</v>
      </c>
      <c r="P643" s="6">
        <v>0.4</v>
      </c>
      <c r="Q643" s="7"/>
      <c r="R643" s="7"/>
    </row>
    <row r="644" spans="1:18">
      <c r="A644" s="4" t="s">
        <v>903</v>
      </c>
      <c r="B644" s="4">
        <f t="shared" si="9"/>
        <v>5</v>
      </c>
      <c r="C644" s="4" t="s">
        <v>31</v>
      </c>
      <c r="D644" s="1" t="str">
        <f>IFERROR(VLOOKUP(A644,[1]biopep_DB!$F$2:$J$1654,5,0),)</f>
        <v/>
      </c>
      <c r="E644" s="1" t="str">
        <f>IFERROR(VLOOKUP(A644,[1]biopep_DB!$F$2:$L$1654,6,0),0)</f>
        <v/>
      </c>
      <c r="F644" s="1" t="str">
        <f>IFERROR(VLOOKUP(A644,[1]biopep_DB!$F$2:$L$1654,7,0),0)</f>
        <v/>
      </c>
      <c r="G644" s="5">
        <v>628.72</v>
      </c>
      <c r="H644" s="5">
        <v>12</v>
      </c>
      <c r="I644" s="5">
        <v>1.76</v>
      </c>
      <c r="J644" s="6">
        <v>-1.68</v>
      </c>
      <c r="K644" s="5">
        <v>105.58</v>
      </c>
      <c r="L644" s="6">
        <v>0.2</v>
      </c>
      <c r="M644" s="6">
        <v>0.188</v>
      </c>
      <c r="N644" s="6">
        <v>0</v>
      </c>
      <c r="O644" s="6">
        <v>0.2</v>
      </c>
      <c r="P644" s="6">
        <v>0.2</v>
      </c>
      <c r="Q644" s="7"/>
      <c r="R644" s="7"/>
    </row>
    <row r="645" spans="1:18">
      <c r="A645" s="4" t="s">
        <v>904</v>
      </c>
      <c r="B645" s="4">
        <f t="shared" si="9"/>
        <v>3</v>
      </c>
      <c r="C645" s="4" t="s">
        <v>31</v>
      </c>
      <c r="D645" s="1" t="str">
        <f>IFERROR(VLOOKUP(A645,[1]biopep_DB!$F$2:$J$1654,5,0),)</f>
        <v/>
      </c>
      <c r="E645" s="1" t="str">
        <f>IFERROR(VLOOKUP(A645,[1]biopep_DB!$F$2:$L$1654,6,0),0)</f>
        <v/>
      </c>
      <c r="F645" s="1" t="str">
        <f>IFERROR(VLOOKUP(A645,[1]biopep_DB!$F$2:$L$1654,7,0),0)</f>
        <v/>
      </c>
      <c r="G645" s="5">
        <v>473.57</v>
      </c>
      <c r="H645" s="5">
        <v>9.75</v>
      </c>
      <c r="I645" s="5">
        <v>0.76</v>
      </c>
      <c r="J645" s="6">
        <v>-0.3</v>
      </c>
      <c r="K645" s="5">
        <v>197.6</v>
      </c>
      <c r="L645" s="6">
        <v>0.6667</v>
      </c>
      <c r="M645" s="6">
        <v>-1.51</v>
      </c>
      <c r="N645" s="6">
        <v>0</v>
      </c>
      <c r="O645" s="6">
        <v>0</v>
      </c>
      <c r="P645" s="6">
        <v>0.6667</v>
      </c>
      <c r="Q645" s="7"/>
      <c r="R645" s="7"/>
    </row>
    <row r="646" spans="1:18">
      <c r="A646" s="4" t="s">
        <v>905</v>
      </c>
      <c r="B646" s="4">
        <f t="shared" ref="B646:B709" si="10">LEN(A646)</f>
        <v>5</v>
      </c>
      <c r="C646" s="4" t="s">
        <v>31</v>
      </c>
      <c r="D646" s="1" t="str">
        <f>IFERROR(VLOOKUP(A646,[1]biopep_DB!$F$2:$J$1654,5,0),)</f>
        <v/>
      </c>
      <c r="E646" s="1" t="str">
        <f>IFERROR(VLOOKUP(A646,[1]biopep_DB!$F$2:$L$1654,6,0),0)</f>
        <v/>
      </c>
      <c r="F646" s="1" t="str">
        <f>IFERROR(VLOOKUP(A646,[1]biopep_DB!$F$2:$L$1654,7,0),0)</f>
        <v/>
      </c>
      <c r="G646" s="5">
        <v>677.82</v>
      </c>
      <c r="H646" s="5">
        <v>8.25</v>
      </c>
      <c r="I646" s="5">
        <v>0.75</v>
      </c>
      <c r="J646" s="6">
        <v>0.18</v>
      </c>
      <c r="K646" s="5">
        <v>187.76</v>
      </c>
      <c r="L646" s="6">
        <v>0.4</v>
      </c>
      <c r="M646" s="6">
        <v>-1.11</v>
      </c>
      <c r="N646" s="6">
        <v>0</v>
      </c>
      <c r="O646" s="6">
        <v>0</v>
      </c>
      <c r="P646" s="6">
        <v>0.6</v>
      </c>
      <c r="Q646" s="7"/>
      <c r="R646" s="7"/>
    </row>
    <row r="647" spans="1:18">
      <c r="A647" s="4" t="s">
        <v>906</v>
      </c>
      <c r="B647" s="4">
        <f t="shared" si="10"/>
        <v>3</v>
      </c>
      <c r="C647" s="4" t="s">
        <v>907</v>
      </c>
      <c r="D647" s="1" t="str">
        <f>IFERROR(VLOOKUP(A647,[1]biopep_DB!$F$2:$J$1654,5,0),)</f>
        <v/>
      </c>
      <c r="E647" s="1" t="str">
        <f>IFERROR(VLOOKUP(A647,[1]biopep_DB!$F$2:$L$1654,6,0),0)</f>
        <v/>
      </c>
      <c r="F647" s="1" t="str">
        <f>IFERROR(VLOOKUP(A647,[1]biopep_DB!$F$2:$L$1654,7,0),0)</f>
        <v/>
      </c>
      <c r="G647" s="5">
        <v>450.53</v>
      </c>
      <c r="H647" s="5">
        <v>8.75</v>
      </c>
      <c r="I647" s="5">
        <v>0.76</v>
      </c>
      <c r="J647" s="6">
        <v>-0.4333</v>
      </c>
      <c r="K647" s="5">
        <v>-18.47</v>
      </c>
      <c r="L647" s="6">
        <v>0.3333</v>
      </c>
      <c r="M647" s="6">
        <v>-0.6867</v>
      </c>
      <c r="N647" s="6">
        <v>0</v>
      </c>
      <c r="O647" s="6">
        <v>0</v>
      </c>
      <c r="P647" s="6">
        <v>0.6667</v>
      </c>
      <c r="Q647" s="7"/>
      <c r="R647" s="7"/>
    </row>
    <row r="648" spans="1:18">
      <c r="A648" s="4" t="s">
        <v>908</v>
      </c>
      <c r="B648" s="4">
        <f t="shared" si="10"/>
        <v>5</v>
      </c>
      <c r="C648" s="4"/>
      <c r="D648" s="1" t="str">
        <f>IFERROR(VLOOKUP(A648,[1]biopep_DB!$F$2:$J$1654,5,0),)</f>
        <v/>
      </c>
      <c r="E648" s="1" t="str">
        <f>IFERROR(VLOOKUP(A648,[1]biopep_DB!$F$2:$L$1654,6,0),0)</f>
        <v/>
      </c>
      <c r="F648" s="1" t="str">
        <f>IFERROR(VLOOKUP(A648,[1]biopep_DB!$F$2:$L$1654,7,0),0)</f>
        <v/>
      </c>
      <c r="G648" s="5">
        <v>654.78</v>
      </c>
      <c r="H648" s="5">
        <v>8.22</v>
      </c>
      <c r="I648" s="5">
        <v>0.75</v>
      </c>
      <c r="J648" s="6">
        <v>0.1</v>
      </c>
      <c r="K648" s="5">
        <v>58.12</v>
      </c>
      <c r="L648" s="6">
        <v>0.2</v>
      </c>
      <c r="M648" s="6">
        <v>-0.616</v>
      </c>
      <c r="N648" s="6">
        <v>0</v>
      </c>
      <c r="O648" s="6">
        <v>0</v>
      </c>
      <c r="P648" s="6">
        <v>0.6</v>
      </c>
      <c r="Q648" s="7"/>
      <c r="R648" s="7"/>
    </row>
    <row r="649" spans="1:18">
      <c r="A649" s="4" t="s">
        <v>909</v>
      </c>
      <c r="B649" s="4">
        <f t="shared" si="10"/>
        <v>7</v>
      </c>
      <c r="C649" s="4" t="s">
        <v>896</v>
      </c>
      <c r="D649" s="1" t="str">
        <f>IFERROR(VLOOKUP(A649,[1]biopep_DB!$F$2:$J$1654,5,0),)</f>
        <v>Vegetable foods: a cheap source of proteins and peptides with antihypertensive, antioxidant, and other less occurrence bioactivities.</v>
      </c>
      <c r="E649" s="1" t="str">
        <f>IFERROR(VLOOKUP(A649,[1]biopep_DB!$F$2:$L$1654,6,0),0)</f>
        <v>10.1016/j.talanta.2012.12.041</v>
      </c>
      <c r="F649" s="1" t="str">
        <f>IFERROR(VLOOKUP(A649,[1]biopep_DB!$F$2:$L$1654,7,0),0)</f>
        <v>23598136</v>
      </c>
      <c r="G649" s="5">
        <v>874.04</v>
      </c>
      <c r="H649" s="5">
        <v>10.84</v>
      </c>
      <c r="I649" s="5">
        <v>1.76</v>
      </c>
      <c r="J649" s="6">
        <v>-0.5714</v>
      </c>
      <c r="K649" s="5">
        <v>2.41</v>
      </c>
      <c r="L649" s="6">
        <v>0.4286</v>
      </c>
      <c r="M649" s="6">
        <v>-0.7429</v>
      </c>
      <c r="N649" s="6">
        <v>0.1429</v>
      </c>
      <c r="O649" s="6">
        <v>0.2857</v>
      </c>
      <c r="P649" s="6">
        <v>0.4286</v>
      </c>
      <c r="Q649" s="7"/>
      <c r="R649" s="7"/>
    </row>
    <row r="650" spans="1:18">
      <c r="A650" s="4" t="s">
        <v>910</v>
      </c>
      <c r="B650" s="4">
        <f t="shared" si="10"/>
        <v>8</v>
      </c>
      <c r="C650" s="4" t="s">
        <v>911</v>
      </c>
      <c r="D650" s="1" t="str">
        <f>IFERROR(VLOOKUP(A650,[1]biopep_DB!$F$2:$J$1654,5,0),)</f>
        <v>A new QSAR model, for angiotensin I-converting enzyme inhibitory oligopeptides.</v>
      </c>
      <c r="E650" s="1" t="str">
        <f>IFERROR(VLOOKUP(A650,[1]biopep_DB!$F$2:$L$1654,6,0),0)</f>
        <v>10.1016/j.foodchem.2012.09.092</v>
      </c>
      <c r="F650" s="1" t="str">
        <f>IFERROR(VLOOKUP(A650,[1]biopep_DB!$F$2:$L$1654,7,0),0)</f>
        <v>23194537</v>
      </c>
      <c r="G650" s="5">
        <v>1045.23</v>
      </c>
      <c r="H650" s="5">
        <v>8.6</v>
      </c>
      <c r="I650" s="5">
        <v>0.85</v>
      </c>
      <c r="J650" s="6">
        <v>0.3875</v>
      </c>
      <c r="K650" s="5">
        <v>63.67</v>
      </c>
      <c r="L650" s="6">
        <v>0.5</v>
      </c>
      <c r="M650" s="6">
        <v>-1.5825</v>
      </c>
      <c r="N650" s="6">
        <v>0.125</v>
      </c>
      <c r="O650" s="6">
        <v>0.125</v>
      </c>
      <c r="P650" s="6">
        <v>0.625</v>
      </c>
      <c r="Q650" s="7"/>
      <c r="R650" s="7"/>
    </row>
    <row r="651" spans="1:18">
      <c r="A651" s="4" t="s">
        <v>912</v>
      </c>
      <c r="B651" s="4">
        <f t="shared" si="10"/>
        <v>3</v>
      </c>
      <c r="C651" s="4" t="s">
        <v>31</v>
      </c>
      <c r="G651" s="5">
        <v>315.37</v>
      </c>
      <c r="H651" s="5">
        <v>5.53</v>
      </c>
      <c r="I651" s="5">
        <v>-0.24</v>
      </c>
      <c r="J651" s="6">
        <v>0.7</v>
      </c>
      <c r="K651" s="5">
        <v>153.13</v>
      </c>
      <c r="L651" s="6">
        <v>0.6667</v>
      </c>
      <c r="M651" s="6">
        <v>-1.36</v>
      </c>
      <c r="N651" s="6">
        <v>0</v>
      </c>
      <c r="O651" s="6">
        <v>0.6667</v>
      </c>
      <c r="P651" s="6">
        <v>0.3333</v>
      </c>
      <c r="Q651" s="7"/>
      <c r="R651" s="7"/>
    </row>
    <row r="652" spans="1:18">
      <c r="A652" s="4" t="s">
        <v>913</v>
      </c>
      <c r="B652" s="4">
        <f t="shared" si="10"/>
        <v>10</v>
      </c>
      <c r="C652" s="4"/>
      <c r="G652" s="5">
        <v>1035.32</v>
      </c>
      <c r="H652" s="5">
        <v>5.52</v>
      </c>
      <c r="I652" s="5">
        <v>-0.25</v>
      </c>
      <c r="J652" s="6">
        <v>2.32</v>
      </c>
      <c r="K652" s="5">
        <v>58.29</v>
      </c>
      <c r="L652" s="6">
        <v>0.6</v>
      </c>
      <c r="M652" s="6">
        <v>-2.661</v>
      </c>
      <c r="N652" s="6">
        <v>0.3</v>
      </c>
      <c r="O652" s="6">
        <v>0.3</v>
      </c>
      <c r="P652" s="6">
        <v>0.5</v>
      </c>
      <c r="Q652" s="7"/>
      <c r="R652" s="7"/>
    </row>
    <row r="653" spans="1:18">
      <c r="A653" s="4" t="s">
        <v>914</v>
      </c>
      <c r="B653" s="4">
        <f t="shared" si="10"/>
        <v>5</v>
      </c>
      <c r="C653" s="4" t="s">
        <v>31</v>
      </c>
      <c r="D653" s="1" t="str">
        <f>IFERROR(VLOOKUP(A653,[1]biopep_DB!$F$2:$J$1654,5,0),)</f>
        <v/>
      </c>
      <c r="G653" s="5">
        <v>520.58</v>
      </c>
      <c r="H653" s="5">
        <v>8.75</v>
      </c>
      <c r="I653" s="5">
        <v>0.76</v>
      </c>
      <c r="J653" s="6">
        <v>-0.36</v>
      </c>
      <c r="K653" s="5">
        <v>85.04</v>
      </c>
      <c r="L653" s="6">
        <v>0.2</v>
      </c>
      <c r="M653" s="6">
        <v>-0.164</v>
      </c>
      <c r="N653" s="6">
        <v>0.2</v>
      </c>
      <c r="O653" s="6">
        <v>0.6</v>
      </c>
      <c r="P653" s="6">
        <v>0.2</v>
      </c>
      <c r="Q653" s="7"/>
      <c r="R653" s="7"/>
    </row>
    <row r="654" spans="1:18">
      <c r="A654" s="4" t="s">
        <v>915</v>
      </c>
      <c r="B654" s="4">
        <f t="shared" si="10"/>
        <v>3</v>
      </c>
      <c r="C654" s="4" t="s">
        <v>31</v>
      </c>
      <c r="G654" s="5">
        <v>404.46</v>
      </c>
      <c r="H654" s="5">
        <v>5.53</v>
      </c>
      <c r="I654" s="5">
        <v>-0.24</v>
      </c>
      <c r="J654" s="6">
        <v>0.9333</v>
      </c>
      <c r="K654" s="5">
        <v>6.67</v>
      </c>
      <c r="L654" s="6">
        <v>0.6667</v>
      </c>
      <c r="M654" s="6">
        <v>-2.1367</v>
      </c>
      <c r="N654" s="6">
        <v>0</v>
      </c>
      <c r="O654" s="6">
        <v>0.3333</v>
      </c>
      <c r="P654" s="6">
        <v>0.6667</v>
      </c>
      <c r="Q654" s="7"/>
      <c r="R654" s="7"/>
    </row>
    <row r="655" spans="1:18">
      <c r="A655" s="4" t="s">
        <v>916</v>
      </c>
      <c r="B655" s="4">
        <f t="shared" si="10"/>
        <v>3</v>
      </c>
      <c r="C655" s="4" t="s">
        <v>31</v>
      </c>
      <c r="D655" s="1" t="str">
        <f>IFERROR(VLOOKUP(A655,[1]biopep_DB!$F$2:$J$1654,5,0),)</f>
        <v/>
      </c>
      <c r="E655" s="1" t="str">
        <f>IFERROR(VLOOKUP(A655,[1]biopep_DB!$F$2:$L$1654,6,0),0)</f>
        <v/>
      </c>
      <c r="F655" s="1" t="str">
        <f>IFERROR(VLOOKUP(A655,[1]biopep_DB!$F$2:$L$1654,7,0),0)</f>
        <v/>
      </c>
      <c r="G655" s="5">
        <v>335.42</v>
      </c>
      <c r="H655" s="5">
        <v>5.52</v>
      </c>
      <c r="I655" s="5">
        <v>-0.25</v>
      </c>
      <c r="J655" s="6">
        <v>2.1</v>
      </c>
      <c r="K655" s="5">
        <v>6.67</v>
      </c>
      <c r="L655" s="6">
        <v>0.3333</v>
      </c>
      <c r="M655" s="6">
        <v>-1.98</v>
      </c>
      <c r="N655" s="6">
        <v>0</v>
      </c>
      <c r="O655" s="6">
        <v>0</v>
      </c>
      <c r="P655" s="6">
        <v>0.6667</v>
      </c>
      <c r="Q655" s="7"/>
      <c r="R655" s="7"/>
    </row>
    <row r="656" spans="1:18">
      <c r="A656" s="4" t="s">
        <v>917</v>
      </c>
      <c r="B656" s="4">
        <f t="shared" si="10"/>
        <v>3</v>
      </c>
      <c r="C656" s="4" t="s">
        <v>36</v>
      </c>
      <c r="D656" s="1" t="str">
        <f>IFERROR(VLOOKUP(A656,[1]biopep_DB!$F$2:$J$1654,5,0),)</f>
        <v>Structural requirements of Angiotensin I-converting enzyme inhibitory peptides: quantitative structure-activity relationship study of di- and tripeptides.; Isolation and characterization of peptides with antihypertensive activity in foodstuffs.</v>
      </c>
      <c r="E656" s="1" t="str">
        <f>IFERROR(VLOOKUP(A656,[1]biopep_DB!$F$2:$L$1654,6,0),0)</f>
        <v>10.1021/jf051263l; 10.1080/10408398.2012.664829</v>
      </c>
      <c r="F656" s="1" t="str">
        <f>IFERROR(VLOOKUP(A656,[1]biopep_DB!$F$2:$L$1654,7,0),0)</f>
        <v>16448176 24915368</v>
      </c>
      <c r="G656" s="5">
        <v>379.45</v>
      </c>
      <c r="H656" s="5">
        <v>5.53</v>
      </c>
      <c r="I656" s="5">
        <v>-0.24</v>
      </c>
      <c r="J656" s="6">
        <v>2.2</v>
      </c>
      <c r="K656" s="5">
        <v>47.8</v>
      </c>
      <c r="L656" s="6">
        <v>0.6667</v>
      </c>
      <c r="M656" s="6">
        <v>-2.5467</v>
      </c>
      <c r="N656" s="6">
        <v>0</v>
      </c>
      <c r="O656" s="6">
        <v>0</v>
      </c>
      <c r="P656" s="6">
        <v>1</v>
      </c>
      <c r="Q656" s="7"/>
      <c r="R656" s="7"/>
    </row>
    <row r="657" spans="1:18">
      <c r="A657" s="4" t="s">
        <v>918</v>
      </c>
      <c r="B657" s="4">
        <f t="shared" si="10"/>
        <v>3</v>
      </c>
      <c r="C657" s="4" t="s">
        <v>919</v>
      </c>
      <c r="D657" s="1" t="str">
        <f>IFERROR(VLOOKUP(A657,[1]biopep_DB!$F$2:$J$1654,5,0),)</f>
        <v/>
      </c>
      <c r="E657" s="1" t="str">
        <f>IFERROR(VLOOKUP(A657,[1]biopep_DB!$F$2:$L$1654,6,0),0)</f>
        <v/>
      </c>
      <c r="F657" s="1" t="str">
        <f>IFERROR(VLOOKUP(A657,[1]biopep_DB!$F$2:$L$1654,7,0),0)</f>
        <v/>
      </c>
      <c r="G657" s="5">
        <v>329.39</v>
      </c>
      <c r="H657" s="5">
        <v>5.53</v>
      </c>
      <c r="I657" s="5">
        <v>-0.24</v>
      </c>
      <c r="J657" s="6">
        <v>0.7333</v>
      </c>
      <c r="K657" s="5">
        <v>6.67</v>
      </c>
      <c r="L657" s="6">
        <v>0.6667</v>
      </c>
      <c r="M657" s="6">
        <v>-1.5533</v>
      </c>
      <c r="N657" s="6">
        <v>0</v>
      </c>
      <c r="O657" s="6">
        <v>0.3333</v>
      </c>
      <c r="P657" s="6">
        <v>0.6667</v>
      </c>
      <c r="Q657" s="7"/>
      <c r="R657" s="7"/>
    </row>
    <row r="658" spans="1:18">
      <c r="A658" s="4" t="s">
        <v>920</v>
      </c>
      <c r="B658" s="4">
        <f t="shared" si="10"/>
        <v>7</v>
      </c>
      <c r="C658" s="4"/>
      <c r="D658" s="1" t="str">
        <f>IFERROR(VLOOKUP(A658,[1]biopep_DB!$F$2:$J$1654,5,0),)</f>
        <v>Enterococcus faecalis strains from food, environmental, and clinical origin produce ACE-inhibitory peptides and other bioactive peptides during growth in bovine skim milk.</v>
      </c>
      <c r="E658" s="1" t="str">
        <f>IFERROR(VLOOKUP(A658,[1]biopep_DB!$F$2:$L$1654,6,0),0)</f>
        <v>10.1016/j.ijfoodmicro.2013.06.019</v>
      </c>
      <c r="F658" s="1" t="str">
        <f>IFERROR(VLOOKUP(A658,[1]biopep_DB!$F$2:$L$1654,7,0),0)</f>
        <v>23845432</v>
      </c>
      <c r="G658" s="5">
        <v>872.07</v>
      </c>
      <c r="H658" s="5">
        <v>11.17</v>
      </c>
      <c r="I658" s="5">
        <v>2.76</v>
      </c>
      <c r="J658" s="6">
        <v>-1.0714</v>
      </c>
      <c r="K658" s="5">
        <v>42.4</v>
      </c>
      <c r="L658" s="6">
        <v>0.2857</v>
      </c>
      <c r="M658" s="6">
        <v>-0.2971</v>
      </c>
      <c r="N658" s="6">
        <v>0.2857</v>
      </c>
      <c r="O658" s="6">
        <v>0.1429</v>
      </c>
      <c r="P658" s="6">
        <v>0.4286</v>
      </c>
      <c r="Q658" s="7"/>
      <c r="R658" s="7"/>
    </row>
    <row r="659" spans="1:18">
      <c r="A659" s="4" t="s">
        <v>921</v>
      </c>
      <c r="B659" s="4">
        <f t="shared" si="10"/>
        <v>5</v>
      </c>
      <c r="C659" s="4" t="s">
        <v>31</v>
      </c>
      <c r="G659" s="5">
        <v>617.7</v>
      </c>
      <c r="H659" s="5">
        <v>9.75</v>
      </c>
      <c r="I659" s="5">
        <v>0.76</v>
      </c>
      <c r="J659" s="6">
        <v>-0.98</v>
      </c>
      <c r="K659" s="5">
        <v>-7.08</v>
      </c>
      <c r="L659" s="6">
        <v>0.2</v>
      </c>
      <c r="M659" s="6">
        <v>-0.064</v>
      </c>
      <c r="N659" s="6">
        <v>0</v>
      </c>
      <c r="O659" s="6">
        <v>0</v>
      </c>
      <c r="P659" s="6">
        <v>0.6</v>
      </c>
      <c r="Q659" s="7"/>
      <c r="R659" s="7"/>
    </row>
    <row r="660" spans="1:18">
      <c r="A660" s="4" t="s">
        <v>922</v>
      </c>
      <c r="B660" s="4">
        <f t="shared" si="10"/>
        <v>4</v>
      </c>
      <c r="C660" s="4" t="s">
        <v>923</v>
      </c>
      <c r="D660" s="1" t="str">
        <f>IFERROR(VLOOKUP(A660,[1]biopep_DB!$F$2:$J$1654,5,0),)</f>
        <v>Isolation and characterization of peptides with antihypertensive activity in foodstuffs.</v>
      </c>
      <c r="E660" s="1" t="str">
        <f>IFERROR(VLOOKUP(A660,[1]biopep_DB!$F$2:$L$1654,6,0),0)</f>
        <v>10.1080/10408398.2012.664829</v>
      </c>
      <c r="F660" s="1" t="str">
        <f>IFERROR(VLOOKUP(A660,[1]biopep_DB!$F$2:$L$1654,7,0),0)</f>
        <v>24915368</v>
      </c>
      <c r="G660" s="5">
        <v>551.64</v>
      </c>
      <c r="H660" s="5">
        <v>8.75</v>
      </c>
      <c r="I660" s="5">
        <v>0.76</v>
      </c>
      <c r="J660" s="6">
        <v>-0.5</v>
      </c>
      <c r="K660" s="5">
        <v>-11.35</v>
      </c>
      <c r="L660" s="6">
        <v>0.25</v>
      </c>
      <c r="M660" s="6">
        <v>-0.45</v>
      </c>
      <c r="N660" s="6">
        <v>0</v>
      </c>
      <c r="O660" s="6">
        <v>0</v>
      </c>
      <c r="P660" s="6">
        <v>0.75</v>
      </c>
      <c r="Q660" s="7"/>
      <c r="R660" s="7"/>
    </row>
    <row r="661" spans="1:18">
      <c r="A661" s="4" t="s">
        <v>924</v>
      </c>
      <c r="B661" s="4">
        <f t="shared" si="10"/>
        <v>3</v>
      </c>
      <c r="C661" s="4" t="s">
        <v>36</v>
      </c>
      <c r="D661" s="1" t="str">
        <f>IFERROR(VLOOKUP(A661,[1]biopep_DB!$F$2:$J$1654,5,0),)</f>
        <v>Structural requirements of Angiotensin I-converting enzyme inhibitory peptides: quantitative structure-activity relationship study of di- and tripeptides.; Peptide inhibitors for angiotensin I-converting enzyme from enzymatic hydrolysates of porcine skeletal muscle proteins.</v>
      </c>
      <c r="E661" s="1" t="str">
        <f>IFERROR(VLOOKUP(A661,[1]biopep_DB!$F$2:$L$1654,6,0),0)</f>
        <v>10.1021/jf051263l; 10.1016/s0309-1740(00)00108-x</v>
      </c>
      <c r="F661" s="1" t="str">
        <f>IFERROR(VLOOKUP(A661,[1]biopep_DB!$F$2:$L$1654,7,0),0)</f>
        <v>16448176 22061507</v>
      </c>
      <c r="G661" s="5">
        <v>333.38</v>
      </c>
      <c r="H661" s="5">
        <v>5.53</v>
      </c>
      <c r="I661" s="5">
        <v>-0.24</v>
      </c>
      <c r="J661" s="6">
        <v>1.0333</v>
      </c>
      <c r="K661" s="5">
        <v>6.67</v>
      </c>
      <c r="L661" s="6">
        <v>0.3333</v>
      </c>
      <c r="M661" s="6">
        <v>-1.4667</v>
      </c>
      <c r="N661" s="6">
        <v>0</v>
      </c>
      <c r="O661" s="6">
        <v>0</v>
      </c>
      <c r="P661" s="6">
        <v>1</v>
      </c>
      <c r="Q661" s="7"/>
      <c r="R661" s="7"/>
    </row>
    <row r="662" spans="1:18">
      <c r="A662" s="4" t="s">
        <v>925</v>
      </c>
      <c r="B662" s="4">
        <f t="shared" si="10"/>
        <v>5</v>
      </c>
      <c r="C662" s="4" t="s">
        <v>926</v>
      </c>
      <c r="D662" s="1" t="str">
        <f>IFERROR(VLOOKUP(A662,[1]biopep_DB!$F$2:$J$1654,5,0),)</f>
        <v>Angiotensin-I converting enzyme inhibitory peptide derived from porcine skeletal muscle myosin and its antihypertensive activity in spontaneously hypertensive rats.; Angiotensin I-converting enzyme-inhibitory peptides obtained from chicken collagen hydrolysate.; Peptide inhibitors for angiotensin I-converting enzyme from enzymatic hydrolysates of porcine skeletal muscle proteins.; Antihypertensive peptides from food proteins: a review.; A new QSAR model, for angiotensin I-converting enzyme inhibitory oligopeptides.; Isolation and characterization of peptides with antihypertensive activity in foodstuffs.</v>
      </c>
      <c r="E662" s="1" t="str">
        <f>IFERROR(VLOOKUP(A662,[1]biopep_DB!$F$2:$L$1654,6,0),0)</f>
        <v>10.1111/j.1750-3841.2007.00571.x; 10.1021/jf072669w; 10.1016/s0309-1740(00)00108-x; 10.1039/c2fo10192k; 10.1016/j.foodchem.2012.09.092; 10.1080/10408398.2012.664829</v>
      </c>
      <c r="F662" s="1" t="str">
        <f>IFERROR(VLOOKUP(A662,[1]biopep_DB!$F$2:$L$1654,7,0),0)</f>
        <v>18034756 18808143 22061507 22249830 23194537 24915368</v>
      </c>
      <c r="G662" s="5">
        <v>544.6</v>
      </c>
      <c r="H662" s="5">
        <v>5.53</v>
      </c>
      <c r="I662" s="5">
        <v>-0.24</v>
      </c>
      <c r="J662" s="6">
        <v>-0.4</v>
      </c>
      <c r="K662" s="5">
        <v>-27.82</v>
      </c>
      <c r="L662" s="6">
        <v>0.4</v>
      </c>
      <c r="M662" s="6">
        <v>-0.556</v>
      </c>
      <c r="N662" s="6">
        <v>0</v>
      </c>
      <c r="O662" s="6">
        <v>0.4</v>
      </c>
      <c r="P662" s="6">
        <v>0.6</v>
      </c>
      <c r="Q662" s="7"/>
      <c r="R662" s="7"/>
    </row>
    <row r="663" spans="1:18">
      <c r="A663" s="4" t="s">
        <v>927</v>
      </c>
      <c r="B663" s="4">
        <f t="shared" si="10"/>
        <v>6</v>
      </c>
      <c r="C663" s="4"/>
      <c r="D663" s="1" t="str">
        <f>IFERROR(VLOOKUP(A663,[1]biopep_DB!$F$2:$J$1654,5,0),)</f>
        <v>Angiotensin I-converting enzyme inhibitory peptides generated from in vitro gastrointestinal digestion of pork meat.</v>
      </c>
      <c r="E663" s="1" t="str">
        <f>IFERROR(VLOOKUP(A663,[1]biopep_DB!$F$2:$L$1654,6,0),0)</f>
        <v>10.1021/jf904204n</v>
      </c>
      <c r="F663" s="1" t="str">
        <f>IFERROR(VLOOKUP(A663,[1]biopep_DB!$F$2:$L$1654,7,0),0)</f>
        <v>20151679</v>
      </c>
      <c r="G663" s="5">
        <v>707.77</v>
      </c>
      <c r="H663" s="5">
        <v>5.52</v>
      </c>
      <c r="I663" s="5">
        <v>-0.24</v>
      </c>
      <c r="J663" s="6">
        <v>-0.55</v>
      </c>
      <c r="K663" s="5">
        <v>-21.52</v>
      </c>
      <c r="L663" s="6">
        <v>0.3333</v>
      </c>
      <c r="M663" s="6">
        <v>-0.44</v>
      </c>
      <c r="N663" s="6">
        <v>0</v>
      </c>
      <c r="O663" s="6">
        <v>0.3333</v>
      </c>
      <c r="P663" s="6">
        <v>0.6667</v>
      </c>
      <c r="Q663" s="7"/>
      <c r="R663" s="7"/>
    </row>
    <row r="664" spans="1:18">
      <c r="A664" s="4" t="s">
        <v>928</v>
      </c>
      <c r="B664" s="4">
        <f t="shared" si="10"/>
        <v>2</v>
      </c>
      <c r="C664" s="4"/>
      <c r="D664" s="1" t="str">
        <f>IFERROR(VLOOKUP(A664,[1]biopep_DB!$F$2:$J$1654,5,0),)</f>
        <v>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v>
      </c>
      <c r="E664" s="1" t="str">
        <f>IFERROR(VLOOKUP(A664,[1]biopep_DB!$F$2:$L$1654,6,0),0)</f>
        <v>10.1002/psc.800; 10.1002/psc.892</v>
      </c>
      <c r="F664" s="1" t="str">
        <f>IFERROR(VLOOKUP(A664,[1]biopep_DB!$F$2:$L$1654,7,0),0)</f>
        <v>17117396 17654623</v>
      </c>
      <c r="G664" s="5">
        <v>230.3</v>
      </c>
      <c r="H664" s="5">
        <v>5.53</v>
      </c>
      <c r="I664" s="5">
        <v>-0.24</v>
      </c>
      <c r="J664" s="6">
        <v>4.35</v>
      </c>
      <c r="K664" s="5">
        <v>-37.45</v>
      </c>
      <c r="L664" s="6">
        <v>1</v>
      </c>
      <c r="M664" s="6">
        <v>-4.48</v>
      </c>
      <c r="N664" s="6">
        <v>0</v>
      </c>
      <c r="O664" s="6">
        <v>0</v>
      </c>
      <c r="P664" s="6">
        <v>1</v>
      </c>
      <c r="Q664" s="7"/>
      <c r="R664" s="7"/>
    </row>
    <row r="665" spans="1:18">
      <c r="A665" s="4" t="s">
        <v>929</v>
      </c>
      <c r="B665" s="4">
        <f t="shared" si="10"/>
        <v>3</v>
      </c>
      <c r="C665" s="4" t="s">
        <v>930</v>
      </c>
      <c r="D665" s="1" t="str">
        <f>IFERROR(VLOOKUP(A665,[1]biopep_DB!$F$2:$J$1654,5,0),)</f>
        <v>Antihypertensive peptides from food proteins: a review.</v>
      </c>
      <c r="E665" s="1" t="str">
        <f>IFERROR(VLOOKUP(A665,[1]biopep_DB!$F$2:$L$1654,6,0),0)</f>
        <v>10.1039/c2fo10192k</v>
      </c>
      <c r="F665" s="1" t="str">
        <f>IFERROR(VLOOKUP(A665,[1]biopep_DB!$F$2:$L$1654,7,0),0)</f>
        <v>22249830</v>
      </c>
      <c r="G665" s="5">
        <v>377.48</v>
      </c>
      <c r="H665" s="5">
        <v>5.53</v>
      </c>
      <c r="I665" s="5">
        <v>-0.24</v>
      </c>
      <c r="J665" s="6">
        <v>3.8333</v>
      </c>
      <c r="K665" s="5">
        <v>-21.63</v>
      </c>
      <c r="L665" s="6">
        <v>1</v>
      </c>
      <c r="M665" s="6">
        <v>-3.98</v>
      </c>
      <c r="N665" s="6">
        <v>0</v>
      </c>
      <c r="O665" s="6">
        <v>0</v>
      </c>
      <c r="P665" s="6">
        <v>1</v>
      </c>
      <c r="Q665" s="7"/>
      <c r="R665" s="7"/>
    </row>
    <row r="666" spans="1:18">
      <c r="A666" s="4" t="s">
        <v>931</v>
      </c>
      <c r="B666" s="4">
        <f t="shared" si="10"/>
        <v>9</v>
      </c>
      <c r="C666" s="4"/>
      <c r="G666" s="5">
        <v>960.09</v>
      </c>
      <c r="H666" s="5">
        <v>6.74</v>
      </c>
      <c r="I666" s="5">
        <v>-0.15</v>
      </c>
      <c r="J666" s="6">
        <v>0.7111</v>
      </c>
      <c r="K666" s="5">
        <v>23.39</v>
      </c>
      <c r="L666" s="6">
        <v>0.5556</v>
      </c>
      <c r="M666" s="6">
        <v>-1.6111</v>
      </c>
      <c r="N666" s="6">
        <v>0.1111</v>
      </c>
      <c r="O666" s="6">
        <v>0.3333</v>
      </c>
      <c r="P666" s="6">
        <v>0.4444</v>
      </c>
      <c r="Q666" s="7"/>
      <c r="R666" s="7"/>
    </row>
    <row r="667" spans="1:18">
      <c r="A667" s="4" t="s">
        <v>932</v>
      </c>
      <c r="B667" s="4">
        <f t="shared" si="10"/>
        <v>8</v>
      </c>
      <c r="C667" s="4"/>
      <c r="D667" s="1" t="str">
        <f>IFERROR(VLOOKUP(A667,[1]biopep_DB!$F$2:$J$1654,5,0),)</f>
        <v>Temporal gene expression and probiotic attributes of Lactobacillus acidophilus during growth in milk.</v>
      </c>
      <c r="E667" s="1" t="str">
        <f>IFERROR(VLOOKUP(A667,[1]biopep_DB!$F$2:$L$1654,6,0),0)</f>
        <v>10.3168/jds.2008-1457</v>
      </c>
      <c r="F667" s="1" t="str">
        <f>IFERROR(VLOOKUP(A667,[1]biopep_DB!$F$2:$L$1654,7,0),0)</f>
        <v>19233780</v>
      </c>
      <c r="G667" s="5">
        <v>862.98</v>
      </c>
      <c r="H667" s="5">
        <v>9.76</v>
      </c>
      <c r="I667" s="5">
        <v>0.85</v>
      </c>
      <c r="J667" s="6">
        <v>-0.6125</v>
      </c>
      <c r="K667" s="5">
        <v>11.6</v>
      </c>
      <c r="L667" s="6">
        <v>0.375</v>
      </c>
      <c r="M667" s="6">
        <v>-0.7212</v>
      </c>
      <c r="N667" s="6">
        <v>0</v>
      </c>
      <c r="O667" s="6">
        <v>0.375</v>
      </c>
      <c r="P667" s="6">
        <v>0.25</v>
      </c>
      <c r="Q667" s="7"/>
      <c r="R667" s="7"/>
    </row>
    <row r="668" spans="1:18">
      <c r="A668" s="4" t="s">
        <v>933</v>
      </c>
      <c r="B668" s="4">
        <f t="shared" si="10"/>
        <v>6</v>
      </c>
      <c r="C668" s="4" t="s">
        <v>934</v>
      </c>
      <c r="D668" s="1" t="str">
        <f>IFERROR(VLOOKUP(A668,[1]biopep_DB!$F$2:$J$1654,5,0),)</f>
        <v>Antihypertensive peptides from food proteins: a review.; A new QSAR model, for angiotensin I-converting enzyme inhibitory oligopeptides.</v>
      </c>
      <c r="E668" s="1" t="str">
        <f>IFERROR(VLOOKUP(A668,[1]biopep_DB!$F$2:$L$1654,6,0),0)</f>
        <v>10.1039/c2fo10192k; 10.1016/j.foodchem.2012.09.092</v>
      </c>
      <c r="F668" s="1" t="str">
        <f>IFERROR(VLOOKUP(A668,[1]biopep_DB!$F$2:$L$1654,7,0),0)</f>
        <v>22249830 23194537</v>
      </c>
      <c r="G668" s="5">
        <v>696.84</v>
      </c>
      <c r="H668" s="5">
        <v>12</v>
      </c>
      <c r="I668" s="5">
        <v>1.76</v>
      </c>
      <c r="J668" s="6">
        <v>-0.3833</v>
      </c>
      <c r="K668" s="5">
        <v>-0.43</v>
      </c>
      <c r="L668" s="6">
        <v>0.5</v>
      </c>
      <c r="M668" s="6">
        <v>-0.7433</v>
      </c>
      <c r="N668" s="6">
        <v>0</v>
      </c>
      <c r="O668" s="6">
        <v>0.3333</v>
      </c>
      <c r="P668" s="6">
        <v>0.3333</v>
      </c>
      <c r="Q668" s="7"/>
      <c r="R668" s="7"/>
    </row>
    <row r="669" spans="1:18">
      <c r="A669" s="4" t="s">
        <v>935</v>
      </c>
      <c r="B669" s="4">
        <f t="shared" si="10"/>
        <v>7</v>
      </c>
      <c r="C669" s="4" t="s">
        <v>936</v>
      </c>
      <c r="D669" s="1" t="str">
        <f>IFERROR(VLOOKUP(A669,[1]biopep_DB!$F$2:$J$1654,5,0),)</f>
        <v>Review on the angiotensin-I-converting enzyme (ACE) inhibitor peptides from marine proteins.</v>
      </c>
      <c r="E669" s="1" t="str">
        <f>IFERROR(VLOOKUP(A669,[1]biopep_DB!$F$2:$L$1654,6,0),0)</f>
        <v>10.1007/s12010-012-0024-y</v>
      </c>
      <c r="F669" s="1" t="str">
        <f>IFERROR(VLOOKUP(A669,[1]biopep_DB!$F$2:$L$1654,7,0),0)</f>
        <v>23271625</v>
      </c>
      <c r="G669" s="5">
        <v>833.98</v>
      </c>
      <c r="H669" s="5">
        <v>12</v>
      </c>
      <c r="I669" s="5">
        <v>1.85</v>
      </c>
      <c r="J669" s="6">
        <v>-0.7857</v>
      </c>
      <c r="K669" s="5">
        <v>28.57</v>
      </c>
      <c r="L669" s="6">
        <v>0.4286</v>
      </c>
      <c r="M669" s="6">
        <v>-0.4957</v>
      </c>
      <c r="N669" s="6">
        <v>0</v>
      </c>
      <c r="O669" s="6">
        <v>0.2857</v>
      </c>
      <c r="P669" s="6">
        <v>0.2857</v>
      </c>
      <c r="Q669" s="7"/>
      <c r="R669" s="7"/>
    </row>
    <row r="670" spans="1:18">
      <c r="A670" s="4" t="s">
        <v>937</v>
      </c>
      <c r="B670" s="4">
        <f t="shared" si="10"/>
        <v>9</v>
      </c>
      <c r="C670" s="4" t="s">
        <v>938</v>
      </c>
      <c r="D670" s="1" t="str">
        <f>IFERROR(VLOOKUP(A670,[1]biopep_DB!$F$2:$J$1654,5,0),)</f>
        <v>Peptide inhibitors for angiotensin I-converting enzyme from thermolysin digest of dried bonito.; QSAR study on angiotensin-converting enzyme inhibitor oligopeptides based on a novel set of sequence information descriptors.; Antihypertensive peptides from food proteins: a review.; A new QSAR model, for angiotensin I-converting enzyme inhibitory oligopeptides.; Review on the angiotensin-I-converting enzyme (ACE) inhibitor peptides from marine proteins.; Isolation and characterization of peptides with antihypertensive activity in foodstuffs.</v>
      </c>
      <c r="E670" s="1" t="str">
        <f>IFERROR(VLOOKUP(A670,[1]biopep_DB!$F$2:$L$1654,6,0),0)</f>
        <v>10.1271/bbb.56.1541; 10.1007/s00894-010-0862-x; 10.1039/c2fo10192k; 10.1016/j.foodchem.2012.09.092; 10.1007/s12010-012-0024-y; 10.1080/10408398.2012.664829</v>
      </c>
      <c r="F670" s="1" t="str">
        <f>IFERROR(VLOOKUP(A670,[1]biopep_DB!$F$2:$L$1654,7,0),0)</f>
        <v>1369054 20941517 22249830 23194537 23271625 24915368</v>
      </c>
      <c r="G670" s="5">
        <v>1019.16</v>
      </c>
      <c r="H670" s="5">
        <v>12</v>
      </c>
      <c r="I670" s="5">
        <v>1.85</v>
      </c>
      <c r="J670" s="6">
        <v>-1.0444</v>
      </c>
      <c r="K670" s="5">
        <v>24.44</v>
      </c>
      <c r="L670" s="6">
        <v>0.3333</v>
      </c>
      <c r="M670" s="6">
        <v>-0.3389</v>
      </c>
      <c r="N670" s="6">
        <v>0</v>
      </c>
      <c r="O670" s="6">
        <v>0.3333</v>
      </c>
      <c r="P670" s="6">
        <v>0.2222</v>
      </c>
      <c r="Q670" s="7"/>
      <c r="R670" s="7"/>
    </row>
    <row r="671" spans="1:18">
      <c r="A671" s="4" t="s">
        <v>939</v>
      </c>
      <c r="B671" s="4">
        <f t="shared" si="10"/>
        <v>9</v>
      </c>
      <c r="C671" s="4" t="s">
        <v>938</v>
      </c>
      <c r="D671" s="1" t="str">
        <f>IFERROR(VLOOKUP(A671,[1]biopep_DB!$F$2:$J$1654,5,0),)</f>
        <v/>
      </c>
      <c r="E671" s="1" t="str">
        <f>IFERROR(VLOOKUP(A671,[1]biopep_DB!$F$2:$L$1654,6,0),0)</f>
        <v/>
      </c>
      <c r="F671" s="1" t="str">
        <f>IFERROR(VLOOKUP(A671,[1]biopep_DB!$F$2:$L$1654,7,0),0)</f>
        <v/>
      </c>
      <c r="G671" s="5">
        <v>1078.23</v>
      </c>
      <c r="H671" s="5">
        <v>12</v>
      </c>
      <c r="I671" s="5">
        <v>2.85</v>
      </c>
      <c r="J671" s="6">
        <v>-1.3667</v>
      </c>
      <c r="K671" s="5">
        <v>138.71</v>
      </c>
      <c r="L671" s="6">
        <v>0.2222</v>
      </c>
      <c r="M671" s="6">
        <v>-0.0367</v>
      </c>
      <c r="N671" s="6">
        <v>0</v>
      </c>
      <c r="O671" s="6">
        <v>0.2222</v>
      </c>
      <c r="P671" s="6">
        <v>0.2222</v>
      </c>
      <c r="Q671" s="7"/>
      <c r="R671" s="7"/>
    </row>
    <row r="672" spans="1:18">
      <c r="A672" s="4" t="s">
        <v>940</v>
      </c>
      <c r="B672" s="4">
        <f t="shared" si="10"/>
        <v>4</v>
      </c>
      <c r="C672" s="4"/>
      <c r="D672" s="1" t="str">
        <f>IFERROR(VLOOKUP(A672,[1]biopep_DB!$F$2:$J$1654,5,0),)</f>
        <v>What are the ideal properties for functional food peptides with antihypertensive effect? A computational peptidology approach.</v>
      </c>
      <c r="E672" s="1" t="str">
        <f>IFERROR(VLOOKUP(A672,[1]biopep_DB!$F$2:$L$1654,6,0),0)</f>
        <v>10.1016/j.foodchem.2013.05.140</v>
      </c>
      <c r="F672" s="1" t="str">
        <f>IFERROR(VLOOKUP(A672,[1]biopep_DB!$F$2:$L$1654,7,0),0)</f>
        <v>23871047</v>
      </c>
      <c r="G672" s="5">
        <v>490.64</v>
      </c>
      <c r="H672" s="5">
        <v>5.53</v>
      </c>
      <c r="I672" s="5">
        <v>-0.24</v>
      </c>
      <c r="J672" s="6">
        <v>4</v>
      </c>
      <c r="K672" s="5">
        <v>-13.73</v>
      </c>
      <c r="L672" s="6">
        <v>1</v>
      </c>
      <c r="M672" s="6">
        <v>-4.215</v>
      </c>
      <c r="N672" s="6">
        <v>0</v>
      </c>
      <c r="O672" s="6">
        <v>0</v>
      </c>
      <c r="P672" s="6">
        <v>1</v>
      </c>
      <c r="Q672" s="7"/>
      <c r="R672" s="7"/>
    </row>
    <row r="673" spans="1:18">
      <c r="A673" s="4" t="s">
        <v>941</v>
      </c>
      <c r="B673" s="4">
        <f t="shared" si="10"/>
        <v>10</v>
      </c>
      <c r="C673" s="4"/>
      <c r="D673" s="1" t="str">
        <f>IFERROR(VLOOKUP(A673,[1]biopep_DB!$F$2:$J$1654,5,0),)</f>
        <v>Casein fermentate of Lactobacillus animalis DPC6134 contains a range of novel propeptide angiotensin-converting enzyme inhibitors.</v>
      </c>
      <c r="E673" s="1" t="str">
        <f>IFERROR(VLOOKUP(A673,[1]biopep_DB!$F$2:$L$1654,6,0),0)</f>
        <v>10.1128/AEM.00096-07</v>
      </c>
      <c r="F673" s="1" t="str">
        <f>IFERROR(VLOOKUP(A673,[1]biopep_DB!$F$2:$L$1654,7,0),0)</f>
        <v>17483275</v>
      </c>
      <c r="G673" s="5">
        <v>1150.28</v>
      </c>
      <c r="H673" s="5">
        <v>6.75</v>
      </c>
      <c r="I673" s="5">
        <v>-0.15</v>
      </c>
      <c r="J673" s="6">
        <v>-0.71</v>
      </c>
      <c r="K673" s="5">
        <v>39.03</v>
      </c>
      <c r="L673" s="6">
        <v>0.4</v>
      </c>
      <c r="M673" s="6">
        <v>-0.497</v>
      </c>
      <c r="N673" s="6">
        <v>0.2</v>
      </c>
      <c r="O673" s="6">
        <v>0.3</v>
      </c>
      <c r="P673" s="6">
        <v>0.3</v>
      </c>
      <c r="Q673" s="7"/>
      <c r="R673" s="7"/>
    </row>
    <row r="674" spans="1:18">
      <c r="A674" s="4" t="s">
        <v>942</v>
      </c>
      <c r="B674" s="4">
        <f t="shared" si="10"/>
        <v>3</v>
      </c>
      <c r="C674" s="4" t="s">
        <v>36</v>
      </c>
      <c r="D674" s="1" t="str">
        <f>IFERROR(VLOOKUP(A674,[1]biopep_DB!$F$2:$J$1654,5,0),)</f>
        <v>Structural requirements of Angiotensin I-converting enzyme inhibitory peptides: quantitative structure-activity relationship study of di- and tripeptides.</v>
      </c>
      <c r="E674" s="1" t="str">
        <f>IFERROR(VLOOKUP(A674,[1]biopep_DB!$F$2:$L$1654,6,0),0)</f>
        <v>10.1021/jf051263l</v>
      </c>
      <c r="F674" s="1" t="str">
        <f>IFERROR(VLOOKUP(A674,[1]biopep_DB!$F$2:$L$1654,7,0),0)</f>
        <v>16448176</v>
      </c>
      <c r="G674" s="5">
        <v>358.43</v>
      </c>
      <c r="H674" s="5">
        <v>5.53</v>
      </c>
      <c r="I674" s="5">
        <v>-0.24</v>
      </c>
      <c r="J674" s="6">
        <v>1.7333</v>
      </c>
      <c r="K674" s="5">
        <v>-21.63</v>
      </c>
      <c r="L674" s="6">
        <v>0.6667</v>
      </c>
      <c r="M674" s="6">
        <v>-2.5333</v>
      </c>
      <c r="N674" s="6">
        <v>0</v>
      </c>
      <c r="O674" s="6">
        <v>0</v>
      </c>
      <c r="P674" s="6">
        <v>0.6667</v>
      </c>
      <c r="Q674" s="7"/>
      <c r="R674" s="7"/>
    </row>
    <row r="675" spans="1:18">
      <c r="A675" s="4" t="s">
        <v>943</v>
      </c>
      <c r="B675" s="4">
        <f t="shared" si="10"/>
        <v>11</v>
      </c>
      <c r="C675" s="4"/>
      <c r="G675" s="5">
        <v>1215.38</v>
      </c>
      <c r="H675" s="5">
        <v>5.84</v>
      </c>
      <c r="I675" s="5">
        <v>-0.24</v>
      </c>
      <c r="J675" s="6">
        <v>-0.2182</v>
      </c>
      <c r="K675" s="5">
        <v>-20.01</v>
      </c>
      <c r="L675" s="6">
        <v>0.5455</v>
      </c>
      <c r="M675" s="6">
        <v>-1.0282</v>
      </c>
      <c r="N675" s="6">
        <v>0.1818</v>
      </c>
      <c r="O675" s="6">
        <v>0.4545</v>
      </c>
      <c r="P675" s="6">
        <v>0.2727</v>
      </c>
      <c r="Q675" s="7"/>
      <c r="R675" s="7"/>
    </row>
    <row r="676" spans="1:18">
      <c r="A676" s="4" t="s">
        <v>944</v>
      </c>
      <c r="B676" s="4">
        <f t="shared" si="10"/>
        <v>4</v>
      </c>
      <c r="C676" s="4" t="s">
        <v>945</v>
      </c>
      <c r="D676" s="1" t="str">
        <f>IFERROR(VLOOKUP(A676,[1]biopep_DB!$F$2:$J$1654,5,0),)</f>
        <v>Review on the angiotensin-I-converting enzyme (ACE) inhibitor peptides from marine proteins.; Vegetable foods: a cheap source of proteins and peptides with antihypertensive, antioxidant, and other less occurrence bioactivities.</v>
      </c>
      <c r="E676" s="1" t="str">
        <f>IFERROR(VLOOKUP(A676,[1]biopep_DB!$F$2:$L$1654,6,0),0)</f>
        <v>10.1007/s12010-012-0024-y; 10.1016/j.talanta.2012.12.041</v>
      </c>
      <c r="F676" s="1" t="str">
        <f>IFERROR(VLOOKUP(A676,[1]biopep_DB!$F$2:$L$1654,7,0),0)</f>
        <v>23271625 23598136</v>
      </c>
      <c r="G676" s="5">
        <v>458.55</v>
      </c>
      <c r="H676" s="5">
        <v>4.6</v>
      </c>
      <c r="I676" s="5">
        <v>-1.23</v>
      </c>
      <c r="J676" s="6">
        <v>2.35</v>
      </c>
      <c r="K676" s="5">
        <v>-13.73</v>
      </c>
      <c r="L676" s="6">
        <v>0.75</v>
      </c>
      <c r="M676" s="6">
        <v>-2.84</v>
      </c>
      <c r="N676" s="6">
        <v>0.25</v>
      </c>
      <c r="O676" s="6">
        <v>0</v>
      </c>
      <c r="P676" s="6">
        <v>0.75</v>
      </c>
      <c r="Q676" s="7"/>
      <c r="R676" s="7"/>
    </row>
    <row r="677" spans="1:18">
      <c r="A677" s="4" t="s">
        <v>946</v>
      </c>
      <c r="B677" s="4">
        <f t="shared" si="10"/>
        <v>3</v>
      </c>
      <c r="C677" s="4" t="s">
        <v>36</v>
      </c>
      <c r="D677" s="1" t="str">
        <f>IFERROR(VLOOKUP(A677,[1]biopep_DB!$F$2:$J$1654,5,0),)</f>
        <v>Determination of antihypertensive small peptides, Val-Tyr and Ile-Val-Tyr, by fluorometric high-performance liquid chromatography combined with a double heart-cut column-switching technique.; Structural requirements of Angiotensin I-converting enzyme inhibitory peptides: quantitative structure-activity relationship study of di- and tripeptides.; Antihypertensive effect of angiotensin I-converting enzyme inhibitory peptides from a sesame protein hydrolysate in spontaneously hypertensive rats.; Inhibition strength of short peptides derived from an ACE inhibitory peptide.; Vegetable foods: a cheap source of proteins and peptides with antihypertensive, antioxidant, and other less occurrence bioactivities.; What are the ideal properties for functional food peptides with antihypertensive effect? A computational peptidology approach.; Comparison of analytical methods to assay inhibitors of angiotensin I-converting enzyme.; Isolation and characterization of peptides with antihypertensive activity in foodstuffs.</v>
      </c>
      <c r="E677" s="1" t="str">
        <f>IFERROR(VLOOKUP(A677,[1]biopep_DB!$F$2:$L$1654,6,0),0)</f>
        <v>10.2116/analsci.21.997; 10.1021/jf051263l; 10.1271/bbb.70.1118; 10.1021/jf202902r; 10.1016/j.talanta.2012.12.041; 10.1016/j.foodchem.2013.05.140; 10.1016/j.foodchem.2013.06.048; 10.1080/10408398.2012.664829</v>
      </c>
      <c r="F677" s="1" t="str">
        <f>IFERROR(VLOOKUP(A677,[1]biopep_DB!$F$2:$L$1654,7,0),0)</f>
        <v>16122175 16448176 16717411 21923188 23598136 23871047 23993489 24915368</v>
      </c>
      <c r="G677" s="5">
        <v>393.48</v>
      </c>
      <c r="H677" s="5">
        <v>5.52</v>
      </c>
      <c r="I677" s="5">
        <v>-0.24</v>
      </c>
      <c r="J677" s="6">
        <v>2.4667</v>
      </c>
      <c r="K677" s="5">
        <v>-46.77</v>
      </c>
      <c r="L677" s="6">
        <v>0.6667</v>
      </c>
      <c r="M677" s="6">
        <v>-2.94</v>
      </c>
      <c r="N677" s="6">
        <v>0</v>
      </c>
      <c r="O677" s="6">
        <v>0</v>
      </c>
      <c r="P677" s="6">
        <v>1</v>
      </c>
      <c r="Q677" s="7"/>
      <c r="R677" s="7"/>
    </row>
    <row r="678" spans="1:18">
      <c r="A678" s="4" t="s">
        <v>947</v>
      </c>
      <c r="B678" s="4">
        <f t="shared" si="10"/>
        <v>2</v>
      </c>
      <c r="C678" s="4" t="s">
        <v>31</v>
      </c>
      <c r="D678" s="1" t="str">
        <f>IFERROR(VLOOKUP(A678,[1]biopep_DB!$F$2:$J$1654,5,0),)</f>
        <v>Angiotensin I-converting enzyme inhibitory peptides derived from wakame (Undaria pinnatifida) and their antihypertensive effect in spontaneously hypertensive rats.; Antihypertensive effects of Undaria pinnatifida (wakame) peptide on blood pressure in spontaneously hypertensive rats.;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Inhibition strength of short peptides derived from an ACE inhibitory peptide.; Antihypertensive peptides from food proteins: a review.;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678" s="1" t="str">
        <f>IFERROR(VLOOKUP(A678,[1]biopep_DB!$F$2:$L$1654,6,0),0)</f>
        <v>10.1021/jf020482t; 10.1016/j.jnutbio.2003.11.004; 10.1021/jf051263l; 10.1002/psc.892; 10.1007/s00894-010-0862-x; 10.1021/jf202902r; 10.1039/c2fo10192k; 10.1007/s12010-012-0024-y; 10.1016/j.talanta.2012.12.041; 10.1016/j.foodchem.2013.05.140; 10.1080/10408398.2012.664829</v>
      </c>
      <c r="F678" s="1" t="str">
        <f>IFERROR(VLOOKUP(A678,[1]biopep_DB!$F$2:$L$1654,7,0),0)</f>
        <v>12358510 15135150 16448176 17654623 20941517 21923188 22249830 23271625 23598136 23871047 24915368</v>
      </c>
      <c r="G678" s="5">
        <v>317.38</v>
      </c>
      <c r="H678" s="5">
        <v>5.53</v>
      </c>
      <c r="I678" s="5">
        <v>-0.24</v>
      </c>
      <c r="J678" s="6">
        <v>1.8</v>
      </c>
      <c r="K678" s="5">
        <v>5</v>
      </c>
      <c r="L678" s="6">
        <v>1</v>
      </c>
      <c r="M678" s="6">
        <v>-3.625</v>
      </c>
      <c r="N678" s="6">
        <v>0</v>
      </c>
      <c r="O678" s="6">
        <v>0</v>
      </c>
      <c r="P678" s="6">
        <v>1</v>
      </c>
      <c r="Q678" s="7"/>
      <c r="R678" s="7"/>
    </row>
    <row r="679" spans="1:18">
      <c r="A679" s="4" t="s">
        <v>948</v>
      </c>
      <c r="B679" s="4">
        <f t="shared" si="10"/>
        <v>3</v>
      </c>
      <c r="C679" s="4" t="s">
        <v>36</v>
      </c>
      <c r="D679" s="1" t="str">
        <f>IFERROR(VLOOKUP(A679,[1]biopep_DB!$F$2:$J$1654,5,0),)</f>
        <v>Structural requirements of Angiotensin I-converting enzyme inhibitory peptides: quantitative structure-activity relationship study of di- and tripeptides.; Antihypertensive peptides from food proteins: a review.; Review on the angiotensin-I-converting enzyme (ACE) inhibitor peptides from marine proteins.</v>
      </c>
      <c r="E679" s="1" t="str">
        <f>IFERROR(VLOOKUP(A679,[1]biopep_DB!$F$2:$L$1654,6,0),0)</f>
        <v>10.1021/jf051263l; 10.1039/c2fo10192k; 10.1007/s12010-012-0024-y</v>
      </c>
      <c r="F679" s="1" t="str">
        <f>IFERROR(VLOOKUP(A679,[1]biopep_DB!$F$2:$L$1654,7,0),0)</f>
        <v>16448176 22249830 23271625</v>
      </c>
      <c r="G679" s="5">
        <v>454.52</v>
      </c>
      <c r="H679" s="5">
        <v>6.74</v>
      </c>
      <c r="I679" s="5">
        <v>-0.15</v>
      </c>
      <c r="J679" s="6">
        <v>0.1333</v>
      </c>
      <c r="K679" s="5">
        <v>85.6</v>
      </c>
      <c r="L679" s="6">
        <v>0.6667</v>
      </c>
      <c r="M679" s="6">
        <v>-2.0867</v>
      </c>
      <c r="N679" s="6">
        <v>0</v>
      </c>
      <c r="O679" s="6">
        <v>0</v>
      </c>
      <c r="P679" s="6">
        <v>0.6667</v>
      </c>
      <c r="Q679" s="7"/>
      <c r="R679" s="7"/>
    </row>
    <row r="680" spans="1:18">
      <c r="A680" s="4" t="s">
        <v>949</v>
      </c>
      <c r="B680" s="4">
        <f t="shared" si="10"/>
        <v>5</v>
      </c>
      <c r="C680" s="4" t="s">
        <v>31</v>
      </c>
      <c r="D680" s="1" t="str">
        <f>IFERROR(VLOOKUP(A680,[1]biopep_DB!$F$2:$J$1654,5,0),)</f>
        <v>Peptide inhibitors for angiotensin I-converting enzyme from thermolysin digest of dried bonito.; Antihypertensive peptides from food proteins: a review.; A new QSAR model, for angiotensin I-converting enzyme inhibitory oligopeptides.; Review on the angiotensin-I-converting enzyme (ACE) inhibitor peptides from marine proteins.</v>
      </c>
      <c r="E680" s="1" t="str">
        <f>IFERROR(VLOOKUP(A680,[1]biopep_DB!$F$2:$L$1654,6,0),0)</f>
        <v>10.1271/bbb.56.1541; 10.1039/c2fo10192k; 10.1016/j.foodchem.2012.09.092; 10.1007/s12010-012-0024-y</v>
      </c>
      <c r="F680" s="1" t="str">
        <f>IFERROR(VLOOKUP(A680,[1]biopep_DB!$F$2:$L$1654,7,0),0)</f>
        <v>1369054 22249830 23194537 23271625</v>
      </c>
      <c r="G680" s="5">
        <v>692.77</v>
      </c>
      <c r="H680" s="5">
        <v>6.92</v>
      </c>
      <c r="I680" s="5">
        <v>-0.07</v>
      </c>
      <c r="J680" s="6">
        <v>-0.7</v>
      </c>
      <c r="K680" s="5">
        <v>40.28</v>
      </c>
      <c r="L680" s="6">
        <v>0.4</v>
      </c>
      <c r="M680" s="6">
        <v>-1.002</v>
      </c>
      <c r="N680" s="6">
        <v>0</v>
      </c>
      <c r="O680" s="6">
        <v>0</v>
      </c>
      <c r="P680" s="6">
        <v>0.6</v>
      </c>
      <c r="Q680" s="7"/>
      <c r="R680" s="7"/>
    </row>
    <row r="681" spans="1:18">
      <c r="A681" s="4" t="s">
        <v>950</v>
      </c>
      <c r="B681" s="4">
        <f t="shared" si="10"/>
        <v>11</v>
      </c>
      <c r="C681" s="4"/>
      <c r="G681" s="5">
        <v>1515.67</v>
      </c>
      <c r="H681" s="5">
        <v>6.92</v>
      </c>
      <c r="I681" s="5">
        <v>-0.06</v>
      </c>
      <c r="J681" s="6">
        <v>-0.8818</v>
      </c>
      <c r="K681" s="5">
        <v>82.13</v>
      </c>
      <c r="L681" s="6">
        <v>0.3636</v>
      </c>
      <c r="M681" s="6">
        <v>-0.6173</v>
      </c>
      <c r="N681" s="6">
        <v>0.1818</v>
      </c>
      <c r="O681" s="6">
        <v>0.0909</v>
      </c>
      <c r="P681" s="6">
        <v>0.5455</v>
      </c>
      <c r="Q681" s="7"/>
      <c r="R681" s="7"/>
    </row>
    <row r="682" spans="1:18">
      <c r="A682" s="4" t="s">
        <v>951</v>
      </c>
      <c r="B682" s="4">
        <f t="shared" si="10"/>
        <v>2</v>
      </c>
      <c r="C682" s="4" t="s">
        <v>36</v>
      </c>
      <c r="D682" s="1" t="str">
        <f>IFERROR(VLOOKUP(A682,[1]biopep_DB!$F$2:$J$1654,5,0),)</f>
        <v>Peptide inhibitors for angiotensin I-converting enzyme from thermolysin digest of dried bonito.; Angiotensin I-converting enzyme inhibitory peptides in an alkaline protease hydrolyzate derived from sardine muscle.; Angiotensin I-converting enzyme inhibitory peptides derived from wakame (Undaria pinnatifida) and their antihypertensive effect in spontaneously hypertensive rats.; New antihypertensive peptides isolated from rapeseed.; Antihypertensive effects of Undaria pinnatifida (wakame) peptide on blood pressure in spontaneously hypertensive rats.;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Bioactive peptides in amaranth (Amaranthus hypochondriacus) seed.; Model of the exofacial substrate-binding site and helical folding of the human Glut1 glucose transporter based on scanning mutagenesis.; Angiotensin I converting enzyme inhibitory peptides produced by autolysis reactions from wheat bran.; Antihypertensive peptides from food proteins: a review.; Review on the angiotensin-I-converting enzyme (ACE) inhibitor peptides from marine proteins.;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Glycinyl-histidinyl-serine (GHS), a novel rapeseed protein-derived peptide has blood pressure-lowering effect in spontaneously hypertensive rats.; Isolation and characterization of peptides with antihypertensive activity in foodstuffs.</v>
      </c>
      <c r="E682" s="1" t="str">
        <f>IFERROR(VLOOKUP(A682,[1]biopep_DB!$F$2:$L$1654,6,0),0)</f>
        <v>10.1271/bbb.56.1541; 10.1271/bbb.58.2244; 10.1021/jf020482t; 10.1016/s0196-9781(03)00174-8; 10.1016/j.jnutbio.2003.11.004; 10.1021/jf051263l; 10.1002/psc.892; 10.1021/jf072911z; 10.1021/bi900521n; 10.1021/jf900857w; 10.1039/c2fo10192k; 10.1007/s12010-012-0024-y; 10.1016/j.talanta.2012.12.041; 10.1016/j.jprot.2013.06.023; 10.1016/j.foodchem.2013.05.140; 10.1021/jf400865m; 10.1080/10408398.2012.664829</v>
      </c>
      <c r="F682" s="1" t="str">
        <f>IFERROR(VLOOKUP(A682,[1]biopep_DB!$F$2:$L$1654,7,0),0)</f>
        <v>1369054 7765718 12358510 12948830 15135150 16448176 17654623 18211015 19449892 19572648 22249830 23271625 23598136 23806758 23871047 23919612 24915368</v>
      </c>
      <c r="G682" s="5">
        <v>294.35</v>
      </c>
      <c r="H682" s="5">
        <v>5.52</v>
      </c>
      <c r="I682" s="5">
        <v>-0.24</v>
      </c>
      <c r="J682" s="6">
        <v>1.6</v>
      </c>
      <c r="K682" s="5">
        <v>5</v>
      </c>
      <c r="L682" s="6">
        <v>0.5</v>
      </c>
      <c r="M682" s="6">
        <v>-2.39</v>
      </c>
      <c r="N682" s="6">
        <v>0</v>
      </c>
      <c r="O682" s="6">
        <v>0</v>
      </c>
      <c r="P682" s="6">
        <v>1</v>
      </c>
      <c r="Q682" s="7"/>
      <c r="R682" s="7"/>
    </row>
    <row r="683" spans="1:18">
      <c r="A683" s="4" t="s">
        <v>952</v>
      </c>
      <c r="B683" s="4">
        <f t="shared" si="10"/>
        <v>5</v>
      </c>
      <c r="C683" s="4" t="s">
        <v>31</v>
      </c>
      <c r="D683" s="1" t="str">
        <f>IFERROR(VLOOKUP(A683,[1]biopep_DB!$F$2:$J$1654,5,0),)</f>
        <v/>
      </c>
      <c r="E683" s="1" t="str">
        <f>IFERROR(VLOOKUP(A683,[1]biopep_DB!$F$2:$L$1654,6,0),0)</f>
        <v/>
      </c>
      <c r="F683" s="1" t="str">
        <f>IFERROR(VLOOKUP(A683,[1]biopep_DB!$F$2:$L$1654,7,0),0)</f>
        <v/>
      </c>
      <c r="G683" s="5">
        <v>643.68</v>
      </c>
      <c r="H683" s="5">
        <v>4.05</v>
      </c>
      <c r="I683" s="5">
        <v>-1.24</v>
      </c>
      <c r="J683" s="6">
        <v>-0.4</v>
      </c>
      <c r="K683" s="5">
        <v>-24.06</v>
      </c>
      <c r="L683" s="6">
        <v>0.2</v>
      </c>
      <c r="M683" s="6">
        <v>-0.788</v>
      </c>
      <c r="N683" s="6">
        <v>0.2</v>
      </c>
      <c r="O683" s="6">
        <v>0.2</v>
      </c>
      <c r="P683" s="6">
        <v>0.6</v>
      </c>
      <c r="Q683" s="7"/>
      <c r="R683" s="7"/>
    </row>
    <row r="684" spans="1:18">
      <c r="A684" s="4" t="s">
        <v>953</v>
      </c>
      <c r="B684" s="4">
        <f t="shared" si="10"/>
        <v>3</v>
      </c>
      <c r="C684" s="4" t="s">
        <v>954</v>
      </c>
      <c r="D684" s="1" t="str">
        <f>IFERROR(VLOOKUP(A684,[1]biopep_DB!$F$2:$J$1654,5,0),)</f>
        <v/>
      </c>
      <c r="E684" s="1" t="str">
        <f>IFERROR(VLOOKUP(A684,[1]biopep_DB!$F$2:$L$1654,6,0),0)</f>
        <v/>
      </c>
      <c r="F684" s="1" t="str">
        <f>IFERROR(VLOOKUP(A684,[1]biopep_DB!$F$2:$L$1654,7,0),0)</f>
        <v/>
      </c>
      <c r="G684" s="5">
        <v>422.52</v>
      </c>
      <c r="H684" s="5">
        <v>8.59</v>
      </c>
      <c r="I684" s="5">
        <v>0.76</v>
      </c>
      <c r="J684" s="6">
        <v>-0.2333</v>
      </c>
      <c r="K684" s="5">
        <v>6.67</v>
      </c>
      <c r="L684" s="6">
        <v>0.3333</v>
      </c>
      <c r="M684" s="6">
        <v>-1.0667</v>
      </c>
      <c r="N684" s="6">
        <v>0.3333</v>
      </c>
      <c r="O684" s="6">
        <v>0</v>
      </c>
      <c r="P684" s="6">
        <v>0.6667</v>
      </c>
      <c r="Q684" s="7"/>
      <c r="R684" s="7"/>
    </row>
    <row r="685" spans="1:18">
      <c r="A685" s="4" t="s">
        <v>955</v>
      </c>
      <c r="B685" s="4">
        <f t="shared" si="10"/>
        <v>4</v>
      </c>
      <c r="C685" s="4" t="s">
        <v>956</v>
      </c>
      <c r="D685" s="1" t="str">
        <f>IFERROR(VLOOKUP(A685,[1]biopep_DB!$F$2:$J$1654,5,0),)</f>
        <v>Vegetable foods: a cheap source of proteins and peptides with antihypertensive, antioxidant, and other less occurrence bioactivities.; Isolation and characterization of peptides with antihypertensive activity in foodstuffs.</v>
      </c>
      <c r="E685" s="1" t="str">
        <f>IFERROR(VLOOKUP(A685,[1]biopep_DB!$F$2:$L$1654,6,0),0)</f>
        <v>10.1016/j.talanta.2012.12.041; 10.1080/10408398.2012.664829</v>
      </c>
      <c r="F685" s="1" t="str">
        <f>IFERROR(VLOOKUP(A685,[1]biopep_DB!$F$2:$L$1654,7,0),0)</f>
        <v>23598136 24915368</v>
      </c>
      <c r="G685" s="5">
        <v>520.66</v>
      </c>
      <c r="H685" s="5">
        <v>5.52</v>
      </c>
      <c r="I685" s="5">
        <v>-0.24</v>
      </c>
      <c r="J685" s="6">
        <v>2.7</v>
      </c>
      <c r="K685" s="5">
        <v>7.5</v>
      </c>
      <c r="L685" s="6">
        <v>0.75</v>
      </c>
      <c r="M685" s="6">
        <v>-3.655</v>
      </c>
      <c r="N685" s="6">
        <v>0.5</v>
      </c>
      <c r="O685" s="6">
        <v>0</v>
      </c>
      <c r="P685" s="6">
        <v>1</v>
      </c>
      <c r="Q685" s="7"/>
      <c r="R685" s="7"/>
    </row>
    <row r="686" spans="1:18">
      <c r="A686" s="4" t="s">
        <v>957</v>
      </c>
      <c r="B686" s="4">
        <f t="shared" si="10"/>
        <v>3</v>
      </c>
      <c r="C686" s="4" t="s">
        <v>958</v>
      </c>
      <c r="D686" s="1" t="str">
        <f>IFERROR(VLOOKUP(A686,[1]biopep_DB!$F$2:$J$1654,5,0),)</f>
        <v>The potential role of milk-derived peptides in cardiovascular disease.; What are the ideal properties for functional food peptides with antihypertensive effect? A computational peptidology approach.</v>
      </c>
      <c r="E686" s="1" t="str">
        <f>IFERROR(VLOOKUP(A686,[1]biopep_DB!$F$2:$L$1654,6,0),0)</f>
        <v>10.1039/c1fo10017c; 10.1016/j.foodchem.2013.05.140</v>
      </c>
      <c r="F686" s="1" t="str">
        <f>IFERROR(VLOOKUP(A686,[1]biopep_DB!$F$2:$L$1654,7,0),0)</f>
        <v>21779574 23871047</v>
      </c>
      <c r="G686" s="5">
        <v>391.46</v>
      </c>
      <c r="H686" s="5">
        <v>5.52</v>
      </c>
      <c r="I686" s="5">
        <v>-0.24</v>
      </c>
      <c r="J686" s="6">
        <v>0.5333</v>
      </c>
      <c r="K686" s="5">
        <v>47.8</v>
      </c>
      <c r="L686" s="6">
        <v>0.6667</v>
      </c>
      <c r="M686" s="6">
        <v>-1.5933</v>
      </c>
      <c r="N686" s="6">
        <v>0</v>
      </c>
      <c r="O686" s="6">
        <v>0.3333</v>
      </c>
      <c r="P686" s="6">
        <v>0.6667</v>
      </c>
      <c r="Q686" s="7"/>
      <c r="R686" s="7"/>
    </row>
    <row r="687" spans="1:18">
      <c r="A687" s="4" t="s">
        <v>959</v>
      </c>
      <c r="B687" s="4">
        <f t="shared" si="10"/>
        <v>4</v>
      </c>
      <c r="C687" s="4" t="s">
        <v>105</v>
      </c>
      <c r="D687" s="1" t="str">
        <f>IFERROR(VLOOKUP(A687,[1]biopep_DB!$F$2:$J$1654,5,0),)</f>
        <v>Structure and activity of angiotensin I converting enzyme inhibitory peptides from sake and sake lees.</v>
      </c>
      <c r="E687" s="1" t="str">
        <f>IFERROR(VLOOKUP(A687,[1]biopep_DB!$F$2:$L$1654,6,0),0)</f>
        <v>10.1271/bbb.58.1767</v>
      </c>
      <c r="F687" s="1" t="str">
        <f>IFERROR(VLOOKUP(A687,[1]biopep_DB!$F$2:$L$1654,7,0),0)</f>
        <v>7765503</v>
      </c>
      <c r="G687" s="5">
        <v>547.65</v>
      </c>
      <c r="H687" s="5">
        <v>8.75</v>
      </c>
      <c r="I687" s="5">
        <v>0.76</v>
      </c>
      <c r="J687" s="6">
        <v>-0.725</v>
      </c>
      <c r="K687" s="5">
        <v>19.5</v>
      </c>
      <c r="L687" s="6">
        <v>0.5</v>
      </c>
      <c r="M687" s="6">
        <v>-0.515</v>
      </c>
      <c r="N687" s="6">
        <v>0</v>
      </c>
      <c r="O687" s="6">
        <v>0.25</v>
      </c>
      <c r="P687" s="6">
        <v>0.5</v>
      </c>
      <c r="Q687" s="7"/>
      <c r="R687" s="7"/>
    </row>
    <row r="688" spans="1:18">
      <c r="A688" s="4" t="s">
        <v>960</v>
      </c>
      <c r="B688" s="4">
        <f t="shared" si="10"/>
        <v>5</v>
      </c>
      <c r="C688" s="4" t="s">
        <v>961</v>
      </c>
      <c r="D688" s="1" t="str">
        <f>IFERROR(VLOOKUP(A688,[1]biopep_DB!$F$2:$J$1654,5,0),)</f>
        <v>Structure and activity of angiotensin I converting enzyme inhibitory peptides from sake and sake lees.; A new QSAR model, for angiotensin I-converting enzyme inhibitory oligopeptides.; Vegetable foods: a cheap source of proteins and peptides with antihypertensive, antioxidant, and other less occurrence bioactivities.</v>
      </c>
      <c r="E688" s="1" t="str">
        <f>IFERROR(VLOOKUP(A688,[1]biopep_DB!$F$2:$L$1654,6,0),0)</f>
        <v>10.1271/bbb.58.1767; 10.1016/j.foodchem.2012.09.092; 10.1016/j.talanta.2012.12.041</v>
      </c>
      <c r="F688" s="1" t="str">
        <f>IFERROR(VLOOKUP(A688,[1]biopep_DB!$F$2:$L$1654,7,0),0)</f>
        <v>7765503 23194537 23598136</v>
      </c>
      <c r="G688" s="5">
        <v>710.82</v>
      </c>
      <c r="H688" s="5">
        <v>8.59</v>
      </c>
      <c r="I688" s="5">
        <v>0.76</v>
      </c>
      <c r="J688" s="6">
        <v>-0.84</v>
      </c>
      <c r="K688" s="5">
        <v>2.52</v>
      </c>
      <c r="L688" s="6">
        <v>0.4</v>
      </c>
      <c r="M688" s="6">
        <v>-0.384</v>
      </c>
      <c r="N688" s="6">
        <v>0</v>
      </c>
      <c r="O688" s="6">
        <v>0.2</v>
      </c>
      <c r="P688" s="6">
        <v>0.6</v>
      </c>
      <c r="Q688" s="7"/>
      <c r="R688" s="7"/>
    </row>
    <row r="689" spans="1:18">
      <c r="A689" s="4" t="s">
        <v>962</v>
      </c>
      <c r="B689" s="4">
        <f t="shared" si="10"/>
        <v>13</v>
      </c>
      <c r="C689" s="4" t="s">
        <v>963</v>
      </c>
      <c r="D689" s="1" t="str">
        <f>IFERROR(VLOOKUP(A689,[1]biopep_DB!$F$2:$J$1654,5,0),)</f>
        <v/>
      </c>
      <c r="E689" s="1" t="str">
        <f>IFERROR(VLOOKUP(A689,[1]biopep_DB!$F$2:$L$1654,6,0),0)</f>
        <v/>
      </c>
      <c r="F689" s="1" t="str">
        <f>IFERROR(VLOOKUP(A689,[1]biopep_DB!$F$2:$L$1654,7,0),0)</f>
        <v/>
      </c>
      <c r="G689" s="5">
        <v>1562.8</v>
      </c>
      <c r="H689" s="5">
        <v>5.52</v>
      </c>
      <c r="I689" s="5">
        <v>-0.24</v>
      </c>
      <c r="J689" s="6">
        <v>-0.0923</v>
      </c>
      <c r="K689" s="5">
        <v>87.48</v>
      </c>
      <c r="L689" s="6">
        <v>0.6154</v>
      </c>
      <c r="M689" s="6">
        <v>-1.0692</v>
      </c>
      <c r="N689" s="6">
        <v>0.0769</v>
      </c>
      <c r="O689" s="6">
        <v>0.3846</v>
      </c>
      <c r="P689" s="6">
        <v>0.4615</v>
      </c>
      <c r="Q689" s="7"/>
      <c r="R689" s="7"/>
    </row>
    <row r="690" spans="1:18">
      <c r="A690" s="4" t="s">
        <v>964</v>
      </c>
      <c r="B690" s="4">
        <f t="shared" si="10"/>
        <v>5</v>
      </c>
      <c r="C690" s="4" t="s">
        <v>31</v>
      </c>
      <c r="D690" s="1" t="str">
        <f>IFERROR(VLOOKUP(A690,[1]biopep_DB!$F$2:$J$1654,5,0),)</f>
        <v/>
      </c>
      <c r="E690" s="1" t="str">
        <f>IFERROR(VLOOKUP(A690,[1]biopep_DB!$F$2:$L$1654,6,0),0)</f>
        <v/>
      </c>
      <c r="F690" s="1" t="str">
        <f>IFERROR(VLOOKUP(A690,[1]biopep_DB!$F$2:$L$1654,7,0),0)</f>
        <v/>
      </c>
      <c r="G690" s="5">
        <v>609.63</v>
      </c>
      <c r="H690" s="5">
        <v>5.52</v>
      </c>
      <c r="I690" s="5">
        <v>-0.24</v>
      </c>
      <c r="J690" s="6">
        <v>-0.92</v>
      </c>
      <c r="K690" s="5">
        <v>8</v>
      </c>
      <c r="L690" s="6">
        <v>0.2</v>
      </c>
      <c r="M690" s="6">
        <v>-0.14</v>
      </c>
      <c r="N690" s="6">
        <v>0</v>
      </c>
      <c r="O690" s="6">
        <v>0.6</v>
      </c>
      <c r="P690" s="6">
        <v>0.4</v>
      </c>
      <c r="Q690" s="7"/>
      <c r="R690" s="7"/>
    </row>
    <row r="691" spans="1:18">
      <c r="A691" s="4" t="s">
        <v>965</v>
      </c>
      <c r="B691" s="4">
        <f t="shared" si="10"/>
        <v>11</v>
      </c>
      <c r="C691" s="4"/>
      <c r="D691" s="1" t="str">
        <f>IFERROR(VLOOKUP(A691,[1]biopep_DB!$F$2:$J$1654,5,0),)</f>
        <v>Identification of novel bradykinin-potentiating peptides and C-type natriuretic peptide from Lachesis muta venom.</v>
      </c>
      <c r="E691" s="1" t="str">
        <f>IFERROR(VLOOKUP(A691,[1]biopep_DB!$F$2:$L$1654,6,0),0)</f>
        <v>10.1016/j.toxicon.2005.03.006</v>
      </c>
      <c r="F691" s="1" t="str">
        <f>IFERROR(VLOOKUP(A691,[1]biopep_DB!$F$2:$L$1654,7,0),0)</f>
        <v>15876444</v>
      </c>
      <c r="G691" s="4"/>
      <c r="H691" s="4"/>
      <c r="I691" s="4"/>
      <c r="J691" s="4"/>
      <c r="K691" s="4"/>
      <c r="L691" s="4"/>
      <c r="M691" s="4"/>
      <c r="N691" s="4"/>
      <c r="O691" s="4"/>
      <c r="P691" s="4"/>
      <c r="Q691" s="4"/>
      <c r="R691" s="4"/>
    </row>
    <row r="692" spans="1:18">
      <c r="A692" s="4" t="s">
        <v>966</v>
      </c>
      <c r="B692" s="4">
        <f t="shared" si="10"/>
        <v>13</v>
      </c>
      <c r="C692" s="4"/>
      <c r="D692" s="1" t="str">
        <f>IFERROR(VLOOKUP(A692,[1]biopep_DB!$F$2:$J$1654,5,0),)</f>
        <v>Angiotensin-converting enzyme inhibitors from the venom of Bothrops jararaca. Isolation, elucidation of structure, and synthesis.</v>
      </c>
      <c r="E692" s="1" t="str">
        <f>IFERROR(VLOOKUP(A692,[1]biopep_DB!$F$2:$L$1654,6,0),0)</f>
        <v>10.1021/bi00798a004</v>
      </c>
      <c r="F692" s="1" t="str">
        <f>IFERROR(VLOOKUP(A692,[1]biopep_DB!$F$2:$L$1654,7,0),0)</f>
        <v>4334402</v>
      </c>
      <c r="G692" s="4"/>
      <c r="H692" s="4"/>
      <c r="I692" s="4"/>
      <c r="J692" s="4"/>
      <c r="K692" s="4"/>
      <c r="L692" s="4"/>
      <c r="M692" s="4"/>
      <c r="N692" s="4"/>
      <c r="O692" s="4"/>
      <c r="P692" s="4"/>
      <c r="Q692" s="4"/>
      <c r="R692" s="4"/>
    </row>
    <row r="693" spans="1:18">
      <c r="A693" s="4" t="s">
        <v>967</v>
      </c>
      <c r="B693" s="4">
        <f t="shared" si="10"/>
        <v>11</v>
      </c>
      <c r="C693" s="4"/>
      <c r="D693" s="1" t="str">
        <f>IFERROR(VLOOKUP(A693,[1]biopep_DB!$F$2:$J$1654,5,0),)</f>
        <v>Bradykinin-potentiating peptides from the venom of Agkistrodon halys blomhoffi. Isolation of five bradykinin potentiators and the amino acid sequences of two of them, potentiators B and C.</v>
      </c>
      <c r="E693" s="1" t="str">
        <f>IFERROR(VLOOKUP(A693,[1]biopep_DB!$F$2:$L$1654,6,0),0)</f>
        <v>10.1021/bi00782a007</v>
      </c>
      <c r="F693" s="1" t="str">
        <f>IFERROR(VLOOKUP(A693,[1]biopep_DB!$F$2:$L$1654,7,0),0)</f>
        <v>4323853</v>
      </c>
      <c r="G693" s="4"/>
      <c r="H693" s="4"/>
      <c r="I693" s="4"/>
      <c r="J693" s="4"/>
      <c r="K693" s="4"/>
      <c r="L693" s="4"/>
      <c r="M693" s="4"/>
      <c r="N693" s="4"/>
      <c r="O693" s="4"/>
      <c r="P693" s="4"/>
      <c r="Q693" s="4"/>
      <c r="R693" s="4"/>
    </row>
    <row r="694" spans="1:18">
      <c r="A694" s="4" t="s">
        <v>968</v>
      </c>
      <c r="B694" s="4">
        <f t="shared" si="10"/>
        <v>11</v>
      </c>
      <c r="C694" s="4"/>
      <c r="D694" s="1" t="str">
        <f>IFERROR(VLOOKUP(A694,[1]biopep_DB!$F$2:$J$1654,5,0),)</f>
        <v>Inhibition of angiotensin-coverting enzyme by analogs of peptides from Bothrops jararaca venom.</v>
      </c>
      <c r="E694" s="1" t="str">
        <f>IFERROR(VLOOKUP(A694,[1]biopep_DB!$F$2:$L$1654,6,0),0)</f>
        <v>10.1007/BF01930447</v>
      </c>
      <c r="F694" s="1" t="str">
        <f>IFERROR(VLOOKUP(A694,[1]biopep_DB!$F$2:$L$1654,7,0),0)</f>
        <v>4354751</v>
      </c>
      <c r="G694" s="4"/>
      <c r="H694" s="4"/>
      <c r="I694" s="4"/>
      <c r="J694" s="4"/>
      <c r="K694" s="4"/>
      <c r="L694" s="4"/>
      <c r="M694" s="4"/>
      <c r="N694" s="4"/>
      <c r="O694" s="4"/>
      <c r="P694" s="4"/>
      <c r="Q694" s="4"/>
      <c r="R694" s="4"/>
    </row>
    <row r="695" spans="1:18">
      <c r="A695" s="4" t="s">
        <v>969</v>
      </c>
      <c r="B695" s="4">
        <f t="shared" si="10"/>
        <v>11</v>
      </c>
      <c r="C695" s="4"/>
      <c r="D695" s="1" t="str">
        <f>IFERROR(VLOOKUP(A695,[1]biopep_DB!$F$2:$J$1654,5,0),)</f>
        <v/>
      </c>
      <c r="E695" s="1" t="str">
        <f>IFERROR(VLOOKUP(A695,[1]biopep_DB!$F$2:$L$1654,6,0),0)</f>
        <v/>
      </c>
      <c r="F695" s="1" t="str">
        <f>IFERROR(VLOOKUP(A695,[1]biopep_DB!$F$2:$L$1654,7,0),0)</f>
        <v/>
      </c>
      <c r="G695" s="4"/>
      <c r="H695" s="4"/>
      <c r="I695" s="4"/>
      <c r="J695" s="4"/>
      <c r="K695" s="4"/>
      <c r="L695" s="4"/>
      <c r="M695" s="4"/>
      <c r="N695" s="4"/>
      <c r="O695" s="4"/>
      <c r="P695" s="4"/>
      <c r="Q695" s="4"/>
      <c r="R695" s="4"/>
    </row>
    <row r="696" spans="1:18">
      <c r="A696" s="4" t="s">
        <v>970</v>
      </c>
      <c r="B696" s="4">
        <f t="shared" si="10"/>
        <v>10</v>
      </c>
      <c r="C696" s="4"/>
      <c r="D696" s="1" t="str">
        <f>IFERROR(VLOOKUP(A696,[1]biopep_DB!$F$2:$J$1654,5,0),)</f>
        <v>Structure of potentiator A, one of the five bradykinin potentiating peptides from the venom of Agkistrodon halys blomhoffii.</v>
      </c>
      <c r="E696" s="1" t="str">
        <f>IFERROR(VLOOKUP(A696,[1]biopep_DB!$F$2:$L$1654,6,0),0)</f>
        <v>10.1007/BF01926673</v>
      </c>
      <c r="F696" s="1" t="str">
        <f>IFERROR(VLOOKUP(A696,[1]biopep_DB!$F$2:$L$1654,7,0),0)</f>
        <v>4730295</v>
      </c>
      <c r="G696" s="4"/>
      <c r="H696" s="4"/>
      <c r="I696" s="4"/>
      <c r="J696" s="4"/>
      <c r="K696" s="4"/>
      <c r="L696" s="4"/>
      <c r="M696" s="4"/>
      <c r="N696" s="4"/>
      <c r="O696" s="4"/>
      <c r="P696" s="4"/>
      <c r="Q696" s="4"/>
      <c r="R696" s="4"/>
    </row>
    <row r="697" spans="1:18">
      <c r="A697" s="4" t="s">
        <v>971</v>
      </c>
      <c r="B697" s="4">
        <f t="shared" si="10"/>
        <v>12</v>
      </c>
      <c r="C697" s="4"/>
      <c r="D697" s="1" t="str">
        <f>IFERROR(VLOOKUP(A697,[1]biopep_DB!$F$2:$J$1654,5,0),)</f>
        <v>Identification of novel bradykinin-potentiating peptides and C-type natriuretic peptide from Lachesis muta venom.</v>
      </c>
      <c r="E697" s="1" t="str">
        <f>IFERROR(VLOOKUP(A697,[1]biopep_DB!$F$2:$L$1654,6,0),0)</f>
        <v>10.1016/j.toxicon.2005.03.006</v>
      </c>
      <c r="F697" s="1" t="str">
        <f>IFERROR(VLOOKUP(A697,[1]biopep_DB!$F$2:$L$1654,7,0),0)</f>
        <v>15876444</v>
      </c>
      <c r="G697" s="4"/>
      <c r="H697" s="4"/>
      <c r="I697" s="4"/>
      <c r="J697" s="4"/>
      <c r="K697" s="4"/>
      <c r="L697" s="4"/>
      <c r="M697" s="4"/>
      <c r="N697" s="4"/>
      <c r="O697" s="4"/>
      <c r="P697" s="4"/>
      <c r="Q697" s="4"/>
      <c r="R697" s="4"/>
    </row>
    <row r="698" spans="1:18">
      <c r="A698" s="4" t="s">
        <v>972</v>
      </c>
      <c r="B698" s="4">
        <f t="shared" si="10"/>
        <v>12</v>
      </c>
      <c r="C698" s="4"/>
      <c r="D698" s="1" t="str">
        <f>IFERROR(VLOOKUP(A698,[1]biopep_DB!$F$2:$J$1654,5,0),)</f>
        <v>Identification of novel bradykinin-potentiating peptides and C-type natriuretic peptide from Lachesis muta venom.</v>
      </c>
      <c r="E698" s="1" t="str">
        <f>IFERROR(VLOOKUP(A698,[1]biopep_DB!$F$2:$L$1654,6,0),0)</f>
        <v>10.1016/j.toxicon.2005.03.006</v>
      </c>
      <c r="F698" s="1" t="str">
        <f>IFERROR(VLOOKUP(A698,[1]biopep_DB!$F$2:$L$1654,7,0),0)</f>
        <v>15876444</v>
      </c>
      <c r="G698" s="4"/>
      <c r="H698" s="4"/>
      <c r="I698" s="4"/>
      <c r="J698" s="4"/>
      <c r="K698" s="4"/>
      <c r="L698" s="4"/>
      <c r="M698" s="4"/>
      <c r="N698" s="4"/>
      <c r="O698" s="4"/>
      <c r="P698" s="4"/>
      <c r="Q698" s="4"/>
      <c r="R698" s="4"/>
    </row>
    <row r="699" spans="1:18">
      <c r="A699" s="4" t="s">
        <v>973</v>
      </c>
      <c r="B699" s="4">
        <f t="shared" si="10"/>
        <v>3</v>
      </c>
      <c r="C699" s="4"/>
      <c r="D699" s="1" t="str">
        <f>IFERROR(VLOOKUP(A699,[1]biopep_DB!$F$2:$J$1654,5,0),)</f>
        <v>Primary structure and biological activity of bradykinin potentiating peptides from Bothrops insularis snake venom.</v>
      </c>
      <c r="E699" s="1" t="str">
        <f>IFERROR(VLOOKUP(A699,[1]biopep_DB!$F$2:$L$1654,6,0),0)</f>
        <v>10.1007/BF01025312</v>
      </c>
      <c r="F699" s="1" t="str">
        <f>IFERROR(VLOOKUP(A699,[1]biopep_DB!$F$2:$L$1654,7,0),0)</f>
        <v>2386615</v>
      </c>
      <c r="G699" s="4"/>
      <c r="H699" s="4"/>
      <c r="I699" s="4"/>
      <c r="J699" s="4"/>
      <c r="K699" s="4"/>
      <c r="L699" s="4"/>
      <c r="M699" s="4"/>
      <c r="N699" s="4"/>
      <c r="O699" s="4"/>
      <c r="P699" s="4"/>
      <c r="Q699" s="4"/>
      <c r="R699" s="4"/>
    </row>
    <row r="700" spans="1:18">
      <c r="A700" s="4" t="s">
        <v>974</v>
      </c>
      <c r="B700" s="4">
        <f t="shared" si="10"/>
        <v>10</v>
      </c>
      <c r="C700" s="4"/>
      <c r="D700" s="1" t="str">
        <f>IFERROR(VLOOKUP(A700,[1]biopep_DB!$F$2:$J$1654,5,0),)</f>
        <v>High throughput screening of bradykinin-potentiating peptides in Bothrops moojeni snake venom using precursor ion mass spectrometry.</v>
      </c>
      <c r="E700" s="1" t="str">
        <f>IFERROR(VLOOKUP(A700,[1]biopep_DB!$F$2:$L$1654,6,0),0)</f>
        <v>10.1016/j.toxicon.2008.02.019</v>
      </c>
      <c r="F700" s="1" t="str">
        <f>IFERROR(VLOOKUP(A700,[1]biopep_DB!$F$2:$L$1654,7,0),0)</f>
        <v>18471845</v>
      </c>
      <c r="G700" s="4"/>
      <c r="H700" s="4"/>
      <c r="I700" s="4"/>
      <c r="J700" s="4"/>
      <c r="K700" s="4"/>
      <c r="L700" s="4"/>
      <c r="M700" s="4"/>
      <c r="N700" s="4"/>
      <c r="O700" s="4"/>
      <c r="P700" s="4"/>
      <c r="Q700" s="4"/>
      <c r="R700" s="4"/>
    </row>
    <row r="701" spans="1:18">
      <c r="A701" s="4" t="s">
        <v>975</v>
      </c>
      <c r="B701" s="4">
        <f t="shared" si="10"/>
        <v>5</v>
      </c>
      <c r="C701" s="4"/>
      <c r="D701" s="1" t="str">
        <f>IFERROR(VLOOKUP(A701,[1]biopep_DB!$F$2:$J$1654,5,0),)</f>
        <v>Isolation of bradykinin-potentiating peptides from Bothrops jararaca venom.</v>
      </c>
      <c r="E701" s="1" t="str">
        <f>IFERROR(VLOOKUP(A701,[1]biopep_DB!$F$2:$L$1654,6,0),0)</f>
        <v>10.1021/bi00815a005</v>
      </c>
      <c r="F701" s="1" t="str">
        <f>IFERROR(VLOOKUP(A701,[1]biopep_DB!$F$2:$L$1654,7,0),0)</f>
        <v>4317874</v>
      </c>
      <c r="G701" s="4"/>
      <c r="H701" s="4"/>
      <c r="I701" s="4"/>
      <c r="J701" s="4"/>
      <c r="K701" s="4"/>
      <c r="L701" s="4"/>
      <c r="M701" s="4"/>
      <c r="N701" s="4"/>
      <c r="O701" s="4"/>
      <c r="P701" s="4"/>
      <c r="Q701" s="4"/>
      <c r="R701" s="4"/>
    </row>
    <row r="702" spans="1:18">
      <c r="A702" s="4" t="s">
        <v>976</v>
      </c>
      <c r="B702" s="4">
        <f t="shared" si="10"/>
        <v>11</v>
      </c>
      <c r="C702" s="4"/>
      <c r="D702" s="1" t="str">
        <f>IFERROR(VLOOKUP(A702,[1]biopep_DB!$F$2:$J$1654,5,0),)</f>
        <v>Identification of novel bradykinin-potentiating peptides and C-type natriuretic peptide from Lachesis muta venom.</v>
      </c>
      <c r="E702" s="1" t="str">
        <f>IFERROR(VLOOKUP(A702,[1]biopep_DB!$F$2:$L$1654,6,0),0)</f>
        <v>10.1016/j.toxicon.2005.03.006</v>
      </c>
      <c r="F702" s="1" t="str">
        <f>IFERROR(VLOOKUP(A702,[1]biopep_DB!$F$2:$L$1654,7,0),0)</f>
        <v>15876444</v>
      </c>
      <c r="G702" s="4"/>
      <c r="H702" s="4"/>
      <c r="I702" s="4"/>
      <c r="J702" s="4"/>
      <c r="K702" s="4"/>
      <c r="L702" s="4"/>
      <c r="M702" s="4"/>
      <c r="N702" s="4"/>
      <c r="O702" s="4"/>
      <c r="P702" s="4"/>
      <c r="Q702" s="4"/>
      <c r="R702" s="4"/>
    </row>
    <row r="703" spans="1:18">
      <c r="A703" s="4" t="s">
        <v>977</v>
      </c>
      <c r="B703" s="4">
        <f t="shared" si="10"/>
        <v>11</v>
      </c>
      <c r="C703" s="4"/>
      <c r="D703" s="1" t="str">
        <f>IFERROR(VLOOKUP(A703,[1]biopep_DB!$F$2:$J$1654,5,0),)</f>
        <v>Inhibition of angiotensin-coverting enzyme by analogs of peptides from Bothrops jararaca venom.</v>
      </c>
      <c r="E703" s="1" t="str">
        <f>IFERROR(VLOOKUP(A703,[1]biopep_DB!$F$2:$L$1654,6,0),0)</f>
        <v>10.1007/BF01930447</v>
      </c>
      <c r="F703" s="1" t="str">
        <f>IFERROR(VLOOKUP(A703,[1]biopep_DB!$F$2:$L$1654,7,0),0)</f>
        <v>4354751</v>
      </c>
      <c r="G703" s="4"/>
      <c r="H703" s="4"/>
      <c r="I703" s="4"/>
      <c r="J703" s="4"/>
      <c r="K703" s="4"/>
      <c r="L703" s="4"/>
      <c r="M703" s="4"/>
      <c r="N703" s="4"/>
      <c r="O703" s="4"/>
      <c r="P703" s="4"/>
      <c r="Q703" s="4"/>
      <c r="R703" s="4"/>
    </row>
    <row r="704" spans="1:18">
      <c r="A704" s="4" t="s">
        <v>978</v>
      </c>
      <c r="B704" s="4">
        <f t="shared" si="10"/>
        <v>11</v>
      </c>
      <c r="C704" s="4"/>
      <c r="D704" s="1" t="str">
        <f>IFERROR(VLOOKUP(A704,[1]biopep_DB!$F$2:$J$1654,5,0),)</f>
        <v>Structure of bradykinin-potentiating peptide containing tryptophan from the venom of Agkistrodon halys blomhoffii.</v>
      </c>
      <c r="E704" s="1" t="str">
        <f>IFERROR(VLOOKUP(A704,[1]biopep_DB!$F$2:$L$1654,6,0),0)</f>
        <v>10.1007/BF01897966</v>
      </c>
      <c r="F704" s="1" t="str">
        <f>IFERROR(VLOOKUP(A704,[1]biopep_DB!$F$2:$L$1654,7,0),0)</f>
        <v>5530287</v>
      </c>
      <c r="G704" s="4"/>
      <c r="H704" s="4"/>
      <c r="I704" s="4"/>
      <c r="J704" s="4"/>
      <c r="K704" s="4"/>
      <c r="L704" s="4"/>
      <c r="M704" s="4"/>
      <c r="N704" s="4"/>
      <c r="O704" s="4"/>
      <c r="P704" s="4"/>
      <c r="Q704" s="4"/>
      <c r="R704" s="4"/>
    </row>
    <row r="705" spans="1:18">
      <c r="A705" s="4" t="s">
        <v>979</v>
      </c>
      <c r="B705" s="4">
        <f t="shared" si="10"/>
        <v>10</v>
      </c>
      <c r="C705" s="4"/>
      <c r="D705" s="1" t="str">
        <f>IFERROR(VLOOKUP(A705,[1]biopep_DB!$F$2:$J$1654,5,0),)</f>
        <v>High throughput screening of bradykinin-potentiating peptides in Bothrops moojeni snake venom using precursor ion mass spectrometry.</v>
      </c>
      <c r="E705" s="1" t="str">
        <f>IFERROR(VLOOKUP(A705,[1]biopep_DB!$F$2:$L$1654,6,0),0)</f>
        <v>10.1016/j.toxicon.2008.02.019</v>
      </c>
      <c r="F705" s="1" t="str">
        <f>IFERROR(VLOOKUP(A705,[1]biopep_DB!$F$2:$L$1654,7,0),0)</f>
        <v>18471845</v>
      </c>
      <c r="G705" s="4"/>
      <c r="H705" s="4"/>
      <c r="I705" s="4"/>
      <c r="J705" s="4"/>
      <c r="K705" s="4"/>
      <c r="L705" s="4"/>
      <c r="M705" s="4"/>
      <c r="N705" s="4"/>
      <c r="O705" s="4"/>
      <c r="P705" s="4"/>
      <c r="Q705" s="4"/>
      <c r="R705" s="4"/>
    </row>
    <row r="706" spans="1:18">
      <c r="A706" s="4" t="s">
        <v>980</v>
      </c>
      <c r="B706" s="4">
        <f t="shared" si="10"/>
        <v>4</v>
      </c>
      <c r="C706" s="4"/>
      <c r="D706" s="1" t="str">
        <f>IFERROR(VLOOKUP(A706,[1]biopep_DB!$F$2:$J$1654,5,0),)</f>
        <v>High throughput screening of bradykinin-potentiating peptides in Bothrops moojeni snake venom using precursor ion mass spectrometry.</v>
      </c>
      <c r="E706" s="1" t="str">
        <f>IFERROR(VLOOKUP(A706,[1]biopep_DB!$F$2:$L$1654,6,0),0)</f>
        <v>10.1016/j.toxicon.2008.02.019</v>
      </c>
      <c r="F706" s="1" t="str">
        <f>IFERROR(VLOOKUP(A706,[1]biopep_DB!$F$2:$L$1654,7,0),0)</f>
        <v>18471845</v>
      </c>
      <c r="G706" s="4"/>
      <c r="H706" s="4"/>
      <c r="I706" s="4"/>
      <c r="J706" s="4"/>
      <c r="K706" s="4"/>
      <c r="L706" s="4"/>
      <c r="M706" s="4"/>
      <c r="N706" s="4"/>
      <c r="O706" s="4"/>
      <c r="P706" s="4"/>
      <c r="Q706" s="4"/>
      <c r="R706" s="4"/>
    </row>
    <row r="707" spans="1:18">
      <c r="A707" s="4" t="s">
        <v>981</v>
      </c>
      <c r="B707" s="4">
        <f t="shared" si="10"/>
        <v>7</v>
      </c>
      <c r="C707" s="4"/>
      <c r="D707" s="1" t="str">
        <f>IFERROR(VLOOKUP(A707,[1]biopep_DB!$F$2:$J$1654,5,0),)</f>
        <v>High throughput screening of bradykinin-potentiating peptides in Bothrops moojeni snake venom using precursor ion mass spectrometry.</v>
      </c>
      <c r="E707" s="1" t="str">
        <f>IFERROR(VLOOKUP(A707,[1]biopep_DB!$F$2:$L$1654,6,0),0)</f>
        <v>10.1016/j.toxicon.2008.02.019</v>
      </c>
      <c r="F707" s="1" t="str">
        <f>IFERROR(VLOOKUP(A707,[1]biopep_DB!$F$2:$L$1654,7,0),0)</f>
        <v>18471845</v>
      </c>
      <c r="G707" s="4"/>
      <c r="H707" s="4"/>
      <c r="I707" s="4"/>
      <c r="J707" s="4"/>
      <c r="K707" s="4"/>
      <c r="L707" s="4"/>
      <c r="M707" s="4"/>
      <c r="N707" s="4"/>
      <c r="O707" s="4"/>
      <c r="P707" s="4"/>
      <c r="Q707" s="4"/>
      <c r="R707" s="4"/>
    </row>
    <row r="708" spans="1:18">
      <c r="A708" s="4" t="s">
        <v>982</v>
      </c>
      <c r="B708" s="4">
        <f t="shared" si="10"/>
        <v>9</v>
      </c>
      <c r="C708" s="4"/>
      <c r="D708" s="1" t="str">
        <f>IFERROR(VLOOKUP(A708,[1]biopep_DB!$F$2:$J$1654,5,0),)</f>
        <v>High throughput screening of bradykinin-potentiating peptides in Bothrops moojeni snake venom using precursor ion mass spectrometry.</v>
      </c>
      <c r="E708" s="1" t="str">
        <f>IFERROR(VLOOKUP(A708,[1]biopep_DB!$F$2:$L$1654,6,0),0)</f>
        <v>10.1016/j.toxicon.2008.02.019</v>
      </c>
      <c r="F708" s="1" t="str">
        <f>IFERROR(VLOOKUP(A708,[1]biopep_DB!$F$2:$L$1654,7,0),0)</f>
        <v>18471845</v>
      </c>
      <c r="G708" s="4"/>
      <c r="H708" s="4"/>
      <c r="I708" s="4"/>
      <c r="J708" s="4"/>
      <c r="K708" s="4"/>
      <c r="L708" s="4"/>
      <c r="M708" s="4"/>
      <c r="N708" s="4"/>
      <c r="O708" s="4"/>
      <c r="P708" s="4"/>
      <c r="Q708" s="4"/>
      <c r="R708" s="4"/>
    </row>
    <row r="709" spans="1:18">
      <c r="A709" s="4" t="s">
        <v>983</v>
      </c>
      <c r="B709" s="4">
        <f t="shared" si="10"/>
        <v>9</v>
      </c>
      <c r="C709" s="4"/>
      <c r="D709" s="1" t="str">
        <f>IFERROR(VLOOKUP(A709,[1]biopep_DB!$F$2:$J$1654,5,0),)</f>
        <v>High throughput screening of bradykinin-potentiating peptides in Bothrops moojeni snake venom using precursor ion mass spectrometry.</v>
      </c>
      <c r="E709" s="1" t="str">
        <f>IFERROR(VLOOKUP(A709,[1]biopep_DB!$F$2:$L$1654,6,0),0)</f>
        <v>10.1016/j.toxicon.2008.02.019</v>
      </c>
      <c r="F709" s="1" t="str">
        <f>IFERROR(VLOOKUP(A709,[1]biopep_DB!$F$2:$L$1654,7,0),0)</f>
        <v>18471845</v>
      </c>
      <c r="G709" s="4"/>
      <c r="H709" s="4"/>
      <c r="I709" s="4"/>
      <c r="J709" s="4"/>
      <c r="K709" s="4"/>
      <c r="L709" s="4"/>
      <c r="M709" s="4"/>
      <c r="N709" s="4"/>
      <c r="O709" s="4"/>
      <c r="P709" s="4"/>
      <c r="Q709" s="4"/>
      <c r="R709" s="4"/>
    </row>
    <row r="710" spans="1:18">
      <c r="A710" s="4" t="s">
        <v>984</v>
      </c>
      <c r="B710" s="4">
        <f t="shared" ref="B710:B773" si="11">LEN(A710)</f>
        <v>10</v>
      </c>
      <c r="C710" s="4"/>
      <c r="D710" s="1" t="str">
        <f>IFERROR(VLOOKUP(A710,[1]biopep_DB!$F$2:$J$1654,5,0),)</f>
        <v>High throughput screening of bradykinin-potentiating peptides in Bothrops moojeni snake venom using precursor ion mass spectrometry.</v>
      </c>
      <c r="E710" s="1" t="str">
        <f>IFERROR(VLOOKUP(A710,[1]biopep_DB!$F$2:$L$1654,6,0),0)</f>
        <v>10.1016/j.toxicon.2008.02.019</v>
      </c>
      <c r="F710" s="1" t="str">
        <f>IFERROR(VLOOKUP(A710,[1]biopep_DB!$F$2:$L$1654,7,0),0)</f>
        <v>18471845</v>
      </c>
      <c r="G710" s="4"/>
      <c r="H710" s="4"/>
      <c r="I710" s="4"/>
      <c r="J710" s="4"/>
      <c r="K710" s="4"/>
      <c r="L710" s="4"/>
      <c r="M710" s="4"/>
      <c r="N710" s="4"/>
      <c r="O710" s="4"/>
      <c r="P710" s="4"/>
      <c r="Q710" s="4"/>
      <c r="R710" s="4"/>
    </row>
    <row r="711" spans="1:18">
      <c r="A711" s="4" t="s">
        <v>985</v>
      </c>
      <c r="B711" s="4">
        <f t="shared" si="11"/>
        <v>10</v>
      </c>
      <c r="C711" s="4"/>
      <c r="D711" s="1" t="str">
        <f>IFERROR(VLOOKUP(A711,[1]biopep_DB!$F$2:$J$1654,5,0),)</f>
        <v>High throughput screening of bradykinin-potentiating peptides in Bothrops moojeni snake venom using precursor ion mass spectrometry.</v>
      </c>
      <c r="E711" s="1" t="str">
        <f>IFERROR(VLOOKUP(A711,[1]biopep_DB!$F$2:$L$1654,6,0),0)</f>
        <v>10.1016/j.toxicon.2008.02.019</v>
      </c>
      <c r="F711" s="1" t="str">
        <f>IFERROR(VLOOKUP(A711,[1]biopep_DB!$F$2:$L$1654,7,0),0)</f>
        <v>18471845</v>
      </c>
      <c r="G711" s="4"/>
      <c r="H711" s="4"/>
      <c r="I711" s="4"/>
      <c r="J711" s="4"/>
      <c r="K711" s="4"/>
      <c r="L711" s="4"/>
      <c r="M711" s="4"/>
      <c r="N711" s="4"/>
      <c r="O711" s="4"/>
      <c r="P711" s="4"/>
      <c r="Q711" s="4"/>
      <c r="R711" s="4"/>
    </row>
    <row r="712" spans="1:18">
      <c r="A712" s="4" t="s">
        <v>986</v>
      </c>
      <c r="B712" s="4">
        <f t="shared" si="11"/>
        <v>6</v>
      </c>
      <c r="C712" s="4"/>
      <c r="D712" s="1" t="str">
        <f>IFERROR(VLOOKUP(A712,[1]biopep_DB!$F$2:$J$1654,5,0),)</f>
        <v>High throughput screening of bradykinin-potentiating peptides in Bothrops moojeni snake venom using precursor ion mass spectrometry.</v>
      </c>
      <c r="E712" s="1" t="str">
        <f>IFERROR(VLOOKUP(A712,[1]biopep_DB!$F$2:$L$1654,6,0),0)</f>
        <v>10.1016/j.toxicon.2008.02.019</v>
      </c>
      <c r="F712" s="1" t="str">
        <f>IFERROR(VLOOKUP(A712,[1]biopep_DB!$F$2:$L$1654,7,0),0)</f>
        <v>18471845</v>
      </c>
      <c r="G712" s="4"/>
      <c r="H712" s="4"/>
      <c r="I712" s="4"/>
      <c r="J712" s="4"/>
      <c r="K712" s="4"/>
      <c r="L712" s="4"/>
      <c r="M712" s="4"/>
      <c r="N712" s="4"/>
      <c r="O712" s="4"/>
      <c r="P712" s="4"/>
      <c r="Q712" s="4"/>
      <c r="R712" s="4"/>
    </row>
    <row r="713" spans="1:18">
      <c r="A713" s="4" t="s">
        <v>987</v>
      </c>
      <c r="B713" s="4">
        <f t="shared" si="11"/>
        <v>12</v>
      </c>
      <c r="C713" s="4"/>
      <c r="D713" s="1" t="str">
        <f>IFERROR(VLOOKUP(A713,[1]biopep_DB!$F$2:$J$1654,5,0),)</f>
        <v>High throughput screening of bradykinin-potentiating peptides in Bothrops moojeni snake venom using precursor ion mass spectrometry.</v>
      </c>
      <c r="E713" s="1" t="str">
        <f>IFERROR(VLOOKUP(A713,[1]biopep_DB!$F$2:$L$1654,6,0),0)</f>
        <v>10.1016/j.toxicon.2008.02.019</v>
      </c>
      <c r="F713" s="1" t="str">
        <f>IFERROR(VLOOKUP(A713,[1]biopep_DB!$F$2:$L$1654,7,0),0)</f>
        <v>18471845</v>
      </c>
      <c r="G713" s="4"/>
      <c r="H713" s="4"/>
      <c r="I713" s="4"/>
      <c r="J713" s="4"/>
      <c r="K713" s="4"/>
      <c r="L713" s="4"/>
      <c r="M713" s="4"/>
      <c r="N713" s="4"/>
      <c r="O713" s="4"/>
      <c r="P713" s="4"/>
      <c r="Q713" s="4"/>
      <c r="R713" s="4"/>
    </row>
    <row r="714" spans="1:18">
      <c r="A714" s="4" t="s">
        <v>988</v>
      </c>
      <c r="B714" s="4">
        <f t="shared" si="11"/>
        <v>6</v>
      </c>
      <c r="C714" s="4"/>
      <c r="D714" s="1" t="str">
        <f>IFERROR(VLOOKUP(A714,[1]biopep_DB!$F$2:$J$1654,5,0),)</f>
        <v>A novel peptide from the ACEI/BPP-CNP precursor in the venom of Crotalus durissus collilineatus.</v>
      </c>
      <c r="E714" s="1" t="str">
        <f>IFERROR(VLOOKUP(A714,[1]biopep_DB!$F$2:$L$1654,6,0),0)</f>
        <v>10.1016/j.cbpc.2006.04.006</v>
      </c>
      <c r="F714" s="1" t="str">
        <f>IFERROR(VLOOKUP(A714,[1]biopep_DB!$F$2:$L$1654,7,0),0)</f>
        <v>16979945</v>
      </c>
      <c r="G714" s="4"/>
      <c r="H714" s="4"/>
      <c r="I714" s="4"/>
      <c r="J714" s="4"/>
      <c r="K714" s="4"/>
      <c r="L714" s="4"/>
      <c r="M714" s="4"/>
      <c r="N714" s="4"/>
      <c r="O714" s="4"/>
      <c r="P714" s="4"/>
      <c r="Q714" s="4"/>
      <c r="R714" s="4"/>
    </row>
    <row r="715" spans="1:18">
      <c r="A715" s="4" t="s">
        <v>989</v>
      </c>
      <c r="B715" s="4">
        <f t="shared" si="11"/>
        <v>11</v>
      </c>
      <c r="C715" s="4"/>
      <c r="D715" s="1" t="str">
        <f>IFERROR(VLOOKUP(A715,[1]biopep_DB!$F$2:$J$1654,5,0),)</f>
        <v>High throughput screening of bradykinin-potentiating peptides in Bothrops moojeni snake venom using precursor ion mass spectrometry.</v>
      </c>
      <c r="E715" s="1" t="str">
        <f>IFERROR(VLOOKUP(A715,[1]biopep_DB!$F$2:$L$1654,6,0),0)</f>
        <v>10.1016/j.toxicon.2008.02.019</v>
      </c>
      <c r="F715" s="1" t="str">
        <f>IFERROR(VLOOKUP(A715,[1]biopep_DB!$F$2:$L$1654,7,0),0)</f>
        <v>18471845</v>
      </c>
      <c r="G715" s="4"/>
      <c r="H715" s="4"/>
      <c r="I715" s="4"/>
      <c r="J715" s="4"/>
      <c r="K715" s="4"/>
      <c r="L715" s="4"/>
      <c r="M715" s="4"/>
      <c r="N715" s="4"/>
      <c r="O715" s="4"/>
      <c r="P715" s="4"/>
      <c r="Q715" s="4"/>
      <c r="R715" s="4"/>
    </row>
    <row r="716" spans="1:18">
      <c r="A716" s="4" t="s">
        <v>990</v>
      </c>
      <c r="B716" s="4">
        <f t="shared" si="11"/>
        <v>10</v>
      </c>
      <c r="C716" s="4"/>
      <c r="D716" s="1" t="str">
        <f>IFERROR(VLOOKUP(A716,[1]biopep_DB!$F$2:$J$1654,5,0),)</f>
        <v>Angiotensin-converting enzyme inhibitors from the venom of Bothrops jararaca. Isolation, elucidation of structure, and synthesis.</v>
      </c>
      <c r="E716" s="1" t="str">
        <f>IFERROR(VLOOKUP(A716,[1]biopep_DB!$F$2:$L$1654,6,0),0)</f>
        <v>10.1021/bi00798a004</v>
      </c>
      <c r="F716" s="1" t="str">
        <f>IFERROR(VLOOKUP(A716,[1]biopep_DB!$F$2:$L$1654,7,0),0)</f>
        <v>4334402</v>
      </c>
      <c r="G716" s="4"/>
      <c r="H716" s="4"/>
      <c r="I716" s="4"/>
      <c r="J716" s="4"/>
      <c r="K716" s="4"/>
      <c r="L716" s="4"/>
      <c r="M716" s="4"/>
      <c r="N716" s="4"/>
      <c r="O716" s="4"/>
      <c r="P716" s="4"/>
      <c r="Q716" s="4"/>
      <c r="R716" s="4"/>
    </row>
    <row r="717" spans="1:18">
      <c r="A717" s="4" t="s">
        <v>991</v>
      </c>
      <c r="B717" s="4">
        <f t="shared" si="11"/>
        <v>10</v>
      </c>
      <c r="C717" s="4"/>
      <c r="D717" s="1" t="str">
        <f>IFERROR(VLOOKUP(A717,[1]biopep_DB!$F$2:$J$1654,5,0),)</f>
        <v>A novel peptide from the ACEI/BPP-CNP precursor in the venom of Crotalus durissus collilineatus.</v>
      </c>
      <c r="E717" s="1" t="str">
        <f>IFERROR(VLOOKUP(A717,[1]biopep_DB!$F$2:$L$1654,6,0),0)</f>
        <v>10.1016/j.cbpc.2006.04.006</v>
      </c>
      <c r="F717" s="1" t="str">
        <f>IFERROR(VLOOKUP(A717,[1]biopep_DB!$F$2:$L$1654,7,0),0)</f>
        <v>16979945</v>
      </c>
      <c r="G717" s="4"/>
      <c r="H717" s="4"/>
      <c r="I717" s="4"/>
      <c r="J717" s="4"/>
      <c r="K717" s="4"/>
      <c r="L717" s="4"/>
      <c r="M717" s="4"/>
      <c r="N717" s="4"/>
      <c r="O717" s="4"/>
      <c r="P717" s="4"/>
      <c r="Q717" s="4"/>
      <c r="R717" s="4"/>
    </row>
    <row r="718" spans="1:18">
      <c r="A718" s="4" t="s">
        <v>992</v>
      </c>
      <c r="B718" s="4">
        <f t="shared" si="11"/>
        <v>4</v>
      </c>
      <c r="C718" s="4"/>
      <c r="D718" s="1" t="str">
        <f>IFERROR(VLOOKUP(A718,[1]biopep_DB!$F$2:$J$1654,5,0),)</f>
        <v>High throughput screening of bradykinin-potentiating peptides in Bothrops moojeni snake venom using precursor ion mass spectrometry.</v>
      </c>
      <c r="E718" s="1" t="str">
        <f>IFERROR(VLOOKUP(A718,[1]biopep_DB!$F$2:$L$1654,6,0),0)</f>
        <v>10.1016/j.toxicon.2008.02.019</v>
      </c>
      <c r="F718" s="1" t="str">
        <f>IFERROR(VLOOKUP(A718,[1]biopep_DB!$F$2:$L$1654,7,0),0)</f>
        <v>18471845</v>
      </c>
      <c r="G718" s="4"/>
      <c r="H718" s="4"/>
      <c r="I718" s="4"/>
      <c r="J718" s="4"/>
      <c r="K718" s="4"/>
      <c r="L718" s="4"/>
      <c r="M718" s="4"/>
      <c r="N718" s="4"/>
      <c r="O718" s="4"/>
      <c r="P718" s="4"/>
      <c r="Q718" s="4"/>
      <c r="R718" s="4"/>
    </row>
    <row r="719" spans="1:18">
      <c r="A719" s="4" t="s">
        <v>993</v>
      </c>
      <c r="B719" s="4">
        <f t="shared" si="11"/>
        <v>10</v>
      </c>
      <c r="C719" s="4"/>
      <c r="D719" s="1" t="str">
        <f>IFERROR(VLOOKUP(A719,[1]biopep_DB!$F$2:$J$1654,5,0),)</f>
        <v>Angiotensin-converting enzyme inhibitors from the venom of Bothrops jararaca. Isolation, elucidation of structure, and synthesis.</v>
      </c>
      <c r="E719" s="1" t="str">
        <f>IFERROR(VLOOKUP(A719,[1]biopep_DB!$F$2:$L$1654,6,0),0)</f>
        <v>10.1021/bi00798a004</v>
      </c>
      <c r="F719" s="1" t="str">
        <f>IFERROR(VLOOKUP(A719,[1]biopep_DB!$F$2:$L$1654,7,0),0)</f>
        <v>4334402</v>
      </c>
      <c r="G719" s="4"/>
      <c r="H719" s="4"/>
      <c r="I719" s="4"/>
      <c r="J719" s="4"/>
      <c r="K719" s="4"/>
      <c r="L719" s="4"/>
      <c r="M719" s="4"/>
      <c r="N719" s="4"/>
      <c r="O719" s="4"/>
      <c r="P719" s="4"/>
      <c r="Q719" s="4"/>
      <c r="R719" s="4"/>
    </row>
    <row r="720" spans="1:18">
      <c r="A720" s="4" t="s">
        <v>994</v>
      </c>
      <c r="B720" s="4">
        <f t="shared" si="11"/>
        <v>4</v>
      </c>
      <c r="C720" s="4"/>
      <c r="D720" s="1" t="str">
        <f>IFERROR(VLOOKUP(A720,[1]biopep_DB!$F$2:$J$1654,5,0),)</f>
        <v>High throughput screening of bradykinin-potentiating peptides in Bothrops moojeni snake venom using precursor ion mass spectrometry.</v>
      </c>
      <c r="E720" s="1" t="str">
        <f>IFERROR(VLOOKUP(A720,[1]biopep_DB!$F$2:$L$1654,6,0),0)</f>
        <v>10.1016/j.toxicon.2008.02.019</v>
      </c>
      <c r="F720" s="1" t="str">
        <f>IFERROR(VLOOKUP(A720,[1]biopep_DB!$F$2:$L$1654,7,0),0)</f>
        <v>18471845</v>
      </c>
      <c r="G720" s="4"/>
      <c r="H720" s="4"/>
      <c r="I720" s="4"/>
      <c r="J720" s="4"/>
      <c r="K720" s="4"/>
      <c r="L720" s="4"/>
      <c r="M720" s="4"/>
      <c r="N720" s="4"/>
      <c r="O720" s="4"/>
      <c r="P720" s="4"/>
      <c r="Q720" s="4"/>
      <c r="R720" s="4"/>
    </row>
    <row r="721" spans="1:18">
      <c r="A721" s="4" t="s">
        <v>995</v>
      </c>
      <c r="B721" s="4">
        <f t="shared" si="11"/>
        <v>9</v>
      </c>
      <c r="C721" s="4"/>
      <c r="D721" s="1" t="str">
        <f>IFERROR(VLOOKUP(A721,[1]biopep_DB!$F$2:$J$1654,5,0),)</f>
        <v>Angiotensin-converting enzyme inhibitors from the venom of Bothrops jararaca. Isolation, elucidation of structure, and synthesis.</v>
      </c>
      <c r="E721" s="1" t="str">
        <f>IFERROR(VLOOKUP(A721,[1]biopep_DB!$F$2:$L$1654,6,0),0)</f>
        <v>10.1021/bi00798a004</v>
      </c>
      <c r="F721" s="1" t="str">
        <f>IFERROR(VLOOKUP(A721,[1]biopep_DB!$F$2:$L$1654,7,0),0)</f>
        <v>4334402</v>
      </c>
      <c r="G721" s="4"/>
      <c r="H721" s="4"/>
      <c r="I721" s="4"/>
      <c r="J721" s="4"/>
      <c r="K721" s="4"/>
      <c r="L721" s="4"/>
      <c r="M721" s="4"/>
      <c r="N721" s="4"/>
      <c r="O721" s="4"/>
      <c r="P721" s="4"/>
      <c r="Q721" s="4"/>
      <c r="R721" s="4"/>
    </row>
    <row r="722" spans="1:18">
      <c r="A722" s="4" t="s">
        <v>996</v>
      </c>
      <c r="B722" s="4">
        <f t="shared" si="11"/>
        <v>11</v>
      </c>
      <c r="C722" s="4"/>
      <c r="D722" s="1" t="str">
        <f>IFERROR(VLOOKUP(A722,[1]biopep_DB!$F$2:$J$1654,5,0),)</f>
        <v>Angiotensin-converting enzyme inhibitors from the venom of Bothrops jararaca. Isolation, elucidation of structure, and synthesis.</v>
      </c>
      <c r="E722" s="1" t="str">
        <f>IFERROR(VLOOKUP(A722,[1]biopep_DB!$F$2:$L$1654,6,0),0)</f>
        <v>10.1021/bi00798a004</v>
      </c>
      <c r="F722" s="1" t="str">
        <f>IFERROR(VLOOKUP(A722,[1]biopep_DB!$F$2:$L$1654,7,0),0)</f>
        <v>4334402</v>
      </c>
      <c r="G722" s="4"/>
      <c r="H722" s="4"/>
      <c r="I722" s="4"/>
      <c r="J722" s="4"/>
      <c r="K722" s="4"/>
      <c r="L722" s="4"/>
      <c r="M722" s="4"/>
      <c r="N722" s="4"/>
      <c r="O722" s="4"/>
      <c r="P722" s="4"/>
      <c r="Q722" s="4"/>
      <c r="R722" s="4"/>
    </row>
    <row r="723" spans="1:18">
      <c r="A723" s="4" t="s">
        <v>997</v>
      </c>
      <c r="B723" s="4">
        <f t="shared" si="11"/>
        <v>2</v>
      </c>
      <c r="C723" s="4" t="s">
        <v>998</v>
      </c>
      <c r="D723" s="1" t="str">
        <f>IFERROR(VLOOKUP(A723,[1]biopep_DB!$F$2:$J$1654,5,0),)</f>
        <v>Three-dimensional holograph vector of atomic interaction field (3D-HoVAIF): a novel rotation-translation invariant 3D structure descriptor and its applications to peptides.;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723" s="1" t="str">
        <f>IFERROR(VLOOKUP(A723,[1]biopep_DB!$F$2:$L$1654,6,0),0)</f>
        <v>10.1002/psc.892; 10.1016/j.jprot.2013.06.023; 10.1016/j.foodchem.2013.05.140</v>
      </c>
      <c r="F723" s="1" t="str">
        <f>IFERROR(VLOOKUP(A723,[1]biopep_DB!$F$2:$L$1654,7,0),0)</f>
        <v>17654623 23806758 23871047</v>
      </c>
      <c r="G723" s="5">
        <v>217.27</v>
      </c>
      <c r="H723" s="5">
        <v>8.75</v>
      </c>
      <c r="I723" s="5">
        <v>0.76</v>
      </c>
      <c r="J723" s="6">
        <v>-1.05</v>
      </c>
      <c r="K723" s="5">
        <v>5</v>
      </c>
      <c r="L723" s="6">
        <v>0.5</v>
      </c>
      <c r="M723" s="6">
        <v>-0.115</v>
      </c>
      <c r="N723" s="6">
        <v>1</v>
      </c>
      <c r="O723" s="6">
        <v>0</v>
      </c>
      <c r="P723" s="6">
        <v>0</v>
      </c>
      <c r="Q723" s="7"/>
      <c r="R723" s="7"/>
    </row>
    <row r="724" spans="1:18">
      <c r="A724" s="4" t="s">
        <v>999</v>
      </c>
      <c r="B724" s="4">
        <f t="shared" si="11"/>
        <v>4</v>
      </c>
      <c r="C724" s="4"/>
      <c r="D724" s="1" t="str">
        <f>IFERROR(VLOOKUP(A724,[1]biopep_DB!$F$2:$J$1654,5,0),)</f>
        <v>Purification, activity and sequence of angiotensin I converting enzyme inhibitory peptide from alcalase hydrolysate of peanut flour.</v>
      </c>
      <c r="E724" s="1" t="str">
        <f>IFERROR(VLOOKUP(A724,[1]biopep_DB!$F$2:$L$1654,6,0),0)</f>
        <v>10.1021/jf901787e</v>
      </c>
      <c r="F724" s="1" t="str">
        <f>IFERROR(VLOOKUP(A724,[1]biopep_DB!$F$2:$L$1654,7,0),0)</f>
        <v>19886677</v>
      </c>
      <c r="G724" s="5">
        <v>520.62</v>
      </c>
      <c r="H724" s="5">
        <v>11</v>
      </c>
      <c r="I724" s="5">
        <v>1.76</v>
      </c>
      <c r="J724" s="6">
        <v>-0.95</v>
      </c>
      <c r="K724" s="5">
        <v>7.5</v>
      </c>
      <c r="L724" s="6">
        <v>0.5</v>
      </c>
      <c r="M724" s="6">
        <v>-0.1225</v>
      </c>
      <c r="N724" s="6">
        <v>0.5</v>
      </c>
      <c r="O724" s="6">
        <v>0</v>
      </c>
      <c r="P724" s="6">
        <v>0.25</v>
      </c>
      <c r="Q724" s="7"/>
      <c r="R724" s="7"/>
    </row>
    <row r="725" spans="1:18">
      <c r="A725" s="4" t="s">
        <v>1000</v>
      </c>
      <c r="B725" s="4">
        <f t="shared" si="11"/>
        <v>11</v>
      </c>
      <c r="C725" s="4" t="s">
        <v>366</v>
      </c>
      <c r="G725" s="5">
        <v>1296.63</v>
      </c>
      <c r="H725" s="5">
        <v>11</v>
      </c>
      <c r="I725" s="5">
        <v>1.85</v>
      </c>
      <c r="J725" s="6">
        <v>0.6545</v>
      </c>
      <c r="K725" s="5">
        <v>111.76</v>
      </c>
      <c r="L725" s="6">
        <v>0.7273</v>
      </c>
      <c r="M725" s="6">
        <v>-1.6745</v>
      </c>
      <c r="N725" s="6">
        <v>0.5455</v>
      </c>
      <c r="O725" s="6">
        <v>0.0909</v>
      </c>
      <c r="P725" s="6">
        <v>0.3636</v>
      </c>
      <c r="Q725" s="7"/>
      <c r="R725" s="7"/>
    </row>
    <row r="726" spans="1:18">
      <c r="A726" s="4" t="s">
        <v>1001</v>
      </c>
      <c r="B726" s="4">
        <f t="shared" si="11"/>
        <v>5</v>
      </c>
      <c r="C726" s="4" t="s">
        <v>1002</v>
      </c>
      <c r="D726" s="1" t="str">
        <f>IFERROR(VLOOKUP(A726,[1]biopep_DB!$F$2:$J$1654,5,0),)</f>
        <v>Angiotensin I-converting enzyme inhibitory peptides generated from in vitro gastrointestinal digestion of pork meat.; A new QSAR model, for angiotensin I-converting enzyme inhibitory oligopeptides.; Isolation and characterization of peptides with antihypertensive activity in foodstuffs.</v>
      </c>
      <c r="E726" s="1" t="str">
        <f>IFERROR(VLOOKUP(A726,[1]biopep_DB!$F$2:$L$1654,6,0),0)</f>
        <v>10.1021/jf904204n; 10.1016/j.foodchem.2012.09.092; 10.1080/10408398.2012.664829</v>
      </c>
      <c r="F726" s="1" t="str">
        <f>IFERROR(VLOOKUP(A726,[1]biopep_DB!$F$2:$L$1654,7,0),0)</f>
        <v>20151679 23194537 24915368</v>
      </c>
      <c r="G726" s="5">
        <v>484.59</v>
      </c>
      <c r="H726" s="5">
        <v>8.75</v>
      </c>
      <c r="I726" s="5">
        <v>0.76</v>
      </c>
      <c r="J726" s="6">
        <v>0.46</v>
      </c>
      <c r="K726" s="5">
        <v>85.04</v>
      </c>
      <c r="L726" s="6">
        <v>0.8</v>
      </c>
      <c r="M726" s="6">
        <v>-1.216</v>
      </c>
      <c r="N726" s="6">
        <v>0.6</v>
      </c>
      <c r="O726" s="6">
        <v>0.2</v>
      </c>
      <c r="P726" s="6">
        <v>0.2</v>
      </c>
      <c r="Q726" s="7"/>
      <c r="R726" s="7"/>
    </row>
    <row r="727" spans="1:18">
      <c r="A727" s="4" t="s">
        <v>1003</v>
      </c>
      <c r="B727" s="4">
        <f t="shared" si="11"/>
        <v>7</v>
      </c>
      <c r="C727" s="4"/>
      <c r="D727" s="1" t="str">
        <f>IFERROR(VLOOKUP(A727,[1]biopep_DB!$F$2:$J$1654,5,0),)</f>
        <v>Identification of angiotensin-I-converting enzyme inhibitory peptides derived from sodium caseinate hydrolysates produced by Lactobacillus helveticus NCC 2765.</v>
      </c>
      <c r="E727" s="1" t="str">
        <f>IFERROR(VLOOKUP(A727,[1]biopep_DB!$F$2:$L$1654,6,0),0)</f>
        <v>10.1021/jf049510t</v>
      </c>
      <c r="F727" s="1" t="str">
        <f>IFERROR(VLOOKUP(A727,[1]biopep_DB!$F$2:$L$1654,7,0),0)</f>
        <v>15537298</v>
      </c>
      <c r="G727" s="5">
        <v>801.93</v>
      </c>
      <c r="H727" s="5">
        <v>8.59</v>
      </c>
      <c r="I727" s="5">
        <v>0.76</v>
      </c>
      <c r="J727" s="6">
        <v>-0.8429</v>
      </c>
      <c r="K727" s="5">
        <v>81.23</v>
      </c>
      <c r="L727" s="6">
        <v>0.5714</v>
      </c>
      <c r="M727" s="6">
        <v>-0.3957</v>
      </c>
      <c r="N727" s="6">
        <v>0.2857</v>
      </c>
      <c r="O727" s="6">
        <v>0.2857</v>
      </c>
      <c r="P727" s="6">
        <v>0.2857</v>
      </c>
      <c r="Q727" s="7"/>
      <c r="R727" s="7"/>
    </row>
    <row r="728" spans="1:18">
      <c r="A728" s="4" t="s">
        <v>1004</v>
      </c>
      <c r="B728" s="4">
        <f t="shared" si="11"/>
        <v>5</v>
      </c>
      <c r="C728" s="4" t="s">
        <v>299</v>
      </c>
      <c r="D728" s="1" t="str">
        <f>IFERROR(VLOOKUP(A728,[1]biopep_DB!$F$2:$J$1654,5,0),)</f>
        <v>Identification of novel angiotensin-converting enzyme-inhibitory peptides from ovine milk proteins by CE-MS and chromatographic techniques.; Isolation and characterization of peptides with antihypertensive activity in foodstuffs.</v>
      </c>
      <c r="E728" s="1" t="str">
        <f>IFERROR(VLOOKUP(A728,[1]biopep_DB!$F$2:$L$1654,6,0),0)</f>
        <v>10.1002/elps.200700324; 10.1080/10408398.2012.664829</v>
      </c>
      <c r="F728" s="1" t="str">
        <f>IFERROR(VLOOKUP(A728,[1]biopep_DB!$F$2:$L$1654,7,0),0)</f>
        <v>17948260 24915368</v>
      </c>
      <c r="G728" s="5">
        <v>693.75</v>
      </c>
      <c r="H728" s="5">
        <v>6.07</v>
      </c>
      <c r="I728" s="5">
        <v>-0.24</v>
      </c>
      <c r="J728" s="6">
        <v>-2.52</v>
      </c>
      <c r="K728" s="5">
        <v>8</v>
      </c>
      <c r="L728" s="6">
        <v>0.2</v>
      </c>
      <c r="M728" s="6">
        <v>0.928</v>
      </c>
      <c r="N728" s="6">
        <v>0.4</v>
      </c>
      <c r="O728" s="6">
        <v>0.2</v>
      </c>
      <c r="P728" s="6">
        <v>0.2</v>
      </c>
      <c r="Q728" s="7"/>
      <c r="R728" s="7"/>
    </row>
    <row r="729" spans="1:18">
      <c r="A729" s="4" t="s">
        <v>1005</v>
      </c>
      <c r="B729" s="4">
        <f t="shared" si="11"/>
        <v>3</v>
      </c>
      <c r="C729" s="4"/>
      <c r="D729" s="1" t="str">
        <f>IFERROR(VLOOKUP(A729,[1]biopep_DB!$F$2:$J$1654,5,0),)</f>
        <v>Hot topic: Changes in angiotensin-converting enzyme inhibition and concentrations of the tripeptides Val-Pro-Pro and Ile-Pro-Pro during ripening of different Swiss cheese varieties.</v>
      </c>
      <c r="E729" s="1" t="str">
        <f>IFERROR(VLOOKUP(A729,[1]biopep_DB!$F$2:$L$1654,6,0),0)</f>
        <v>10.3168/jds.2008-1531</v>
      </c>
      <c r="F729" s="1" t="str">
        <f>IFERROR(VLOOKUP(A729,[1]biopep_DB!$F$2:$L$1654,7,0),0)</f>
        <v>19233775</v>
      </c>
      <c r="G729" s="5">
        <v>374.43</v>
      </c>
      <c r="H729" s="5">
        <v>5.84</v>
      </c>
      <c r="I729" s="5">
        <v>-0.24</v>
      </c>
      <c r="J729" s="6">
        <v>-0.9667</v>
      </c>
      <c r="K729" s="5">
        <v>6.67</v>
      </c>
      <c r="L729" s="6">
        <v>0.3333</v>
      </c>
      <c r="M729" s="6">
        <v>-0.5533</v>
      </c>
      <c r="N729" s="6">
        <v>0.3333</v>
      </c>
      <c r="O729" s="6">
        <v>0.3333</v>
      </c>
      <c r="P729" s="6">
        <v>0.3333</v>
      </c>
      <c r="Q729" s="7"/>
      <c r="R729" s="7"/>
    </row>
    <row r="730" spans="1:18">
      <c r="A730" s="4" t="s">
        <v>1006</v>
      </c>
      <c r="B730" s="4">
        <f t="shared" si="11"/>
        <v>5</v>
      </c>
      <c r="C730" s="4" t="s">
        <v>1007</v>
      </c>
      <c r="D730" s="1" t="str">
        <f>IFERROR(VLOOKUP(A730,[1]biopep_DB!$F$2:$J$1654,5,0),)</f>
        <v>Novel angiotensin I-converting enzyme inhibitory peptides isolated from Alcalase hydrolysate of mung bean protein.; Vegetable foods: a cheap source of proteins and peptides with antihypertensive, antioxidant, and other less occurrence bioactivities.</v>
      </c>
      <c r="E730" s="1" t="str">
        <f>IFERROR(VLOOKUP(A730,[1]biopep_DB!$F$2:$L$1654,6,0),0)</f>
        <v>10.1002/psc.758; 10.1016/j.talanta.2012.12.041</v>
      </c>
      <c r="F730" s="1" t="str">
        <f>IFERROR(VLOOKUP(A730,[1]biopep_DB!$F$2:$L$1654,7,0),0)</f>
        <v>16680798 23598136</v>
      </c>
      <c r="G730" s="5">
        <v>693.79</v>
      </c>
      <c r="H730" s="5">
        <v>8.59</v>
      </c>
      <c r="I730" s="5">
        <v>0.76</v>
      </c>
      <c r="J730" s="6">
        <v>-1.88</v>
      </c>
      <c r="K730" s="5">
        <v>-25.82</v>
      </c>
      <c r="L730" s="6">
        <v>0.2</v>
      </c>
      <c r="M730" s="6">
        <v>0.24</v>
      </c>
      <c r="N730" s="6">
        <v>0.4</v>
      </c>
      <c r="O730" s="6">
        <v>0.2</v>
      </c>
      <c r="P730" s="6">
        <v>0.4</v>
      </c>
      <c r="Q730" s="7"/>
      <c r="R730" s="7"/>
    </row>
    <row r="731" spans="1:18">
      <c r="A731" s="4" t="s">
        <v>1008</v>
      </c>
      <c r="B731" s="4">
        <f t="shared" si="11"/>
        <v>2</v>
      </c>
      <c r="C731" s="4" t="s">
        <v>62</v>
      </c>
      <c r="D731" s="1" t="str">
        <f>IFERROR(VLOOKUP(A731,[1]biopep_DB!$F$2:$J$1654,5,0),)</f>
        <v>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
      <c r="E731" s="1" t="str">
        <f>IFERROR(VLOOKUP(A731,[1]biopep_DB!$F$2:$L$1654,6,0),0)</f>
        <v>10.1007/s00216-008-1990-3; 10.1016/j.jprot.2013.06.023</v>
      </c>
      <c r="F731" s="1" t="str">
        <f>IFERROR(VLOOKUP(A731,[1]biopep_DB!$F$2:$L$1654,7,0),0)</f>
        <v>18392815 23806758</v>
      </c>
      <c r="G731" s="5">
        <v>275.3</v>
      </c>
      <c r="H731" s="5">
        <v>6.22</v>
      </c>
      <c r="I731" s="5">
        <v>-0.23</v>
      </c>
      <c r="J731" s="6">
        <v>-3.7</v>
      </c>
      <c r="K731" s="5">
        <v>5</v>
      </c>
      <c r="L731" s="6">
        <v>0</v>
      </c>
      <c r="M731" s="6">
        <v>1.61</v>
      </c>
      <c r="N731" s="6">
        <v>1</v>
      </c>
      <c r="O731" s="6">
        <v>0</v>
      </c>
      <c r="P731" s="6">
        <v>0</v>
      </c>
      <c r="Q731" s="7"/>
      <c r="R731" s="7"/>
    </row>
    <row r="732" spans="1:18">
      <c r="A732" s="4" t="s">
        <v>1009</v>
      </c>
      <c r="B732" s="4">
        <f t="shared" si="11"/>
        <v>13</v>
      </c>
      <c r="C732" s="4"/>
      <c r="G732" s="5">
        <v>1594.45</v>
      </c>
      <c r="H732" s="5">
        <v>4.05</v>
      </c>
      <c r="I732" s="5">
        <v>-9.21</v>
      </c>
      <c r="J732" s="6">
        <v>-3.2923</v>
      </c>
      <c r="K732" s="5">
        <v>158.45</v>
      </c>
      <c r="L732" s="6">
        <v>0</v>
      </c>
      <c r="M732" s="6">
        <v>1.4215</v>
      </c>
      <c r="N732" s="6">
        <v>0.6923</v>
      </c>
      <c r="O732" s="6">
        <v>0.2308</v>
      </c>
      <c r="P732" s="6">
        <v>0</v>
      </c>
      <c r="Q732" s="7"/>
      <c r="R732" s="7"/>
    </row>
    <row r="733" spans="1:18">
      <c r="A733" s="4" t="s">
        <v>1010</v>
      </c>
      <c r="B733" s="4">
        <f t="shared" si="11"/>
        <v>8</v>
      </c>
      <c r="C733" s="4"/>
      <c r="G733" s="5">
        <v>769.89</v>
      </c>
      <c r="H733" s="5">
        <v>6</v>
      </c>
      <c r="I733" s="5">
        <v>-0.24</v>
      </c>
      <c r="J733" s="6">
        <v>-0.325</v>
      </c>
      <c r="K733" s="5">
        <v>24.18</v>
      </c>
      <c r="L733" s="6">
        <v>0.375</v>
      </c>
      <c r="M733" s="6">
        <v>-1.18</v>
      </c>
      <c r="N733" s="6">
        <v>0.5</v>
      </c>
      <c r="O733" s="6">
        <v>0.5</v>
      </c>
      <c r="P733" s="6">
        <v>0.25</v>
      </c>
      <c r="Q733" s="7"/>
      <c r="R733" s="7"/>
    </row>
    <row r="734" spans="1:18">
      <c r="A734" s="4" t="s">
        <v>1011</v>
      </c>
      <c r="B734" s="4">
        <f t="shared" si="11"/>
        <v>4</v>
      </c>
      <c r="C734" s="4"/>
      <c r="D734" s="1" t="str">
        <f>IFERROR(VLOOKUP(A734,[1]biopep_DB!$F$2:$J$1654,5,0),)</f>
        <v>[Purification and identification of a novel ACE inhibitory peptide derived from the mud snail Bellamya purificata by RP-HPLC/MALDI-TOF MS].</v>
      </c>
      <c r="E734" s="1" t="str">
        <f>IFERROR(VLOOKUP(A734,[1]biopep_DB!$F$2:$L$1654,6,0),0)</f>
        <v/>
      </c>
      <c r="F734" s="1" t="str">
        <f>IFERROR(VLOOKUP(A734,[1]biopep_DB!$F$2:$L$1654,7,0),0)</f>
        <v>17432577</v>
      </c>
      <c r="G734" s="5">
        <v>574.67</v>
      </c>
      <c r="H734" s="5">
        <v>6</v>
      </c>
      <c r="I734" s="5">
        <v>-0.24</v>
      </c>
      <c r="J734" s="6">
        <v>-0.95</v>
      </c>
      <c r="K734" s="5">
        <v>55.65</v>
      </c>
      <c r="L734" s="6">
        <v>0.5</v>
      </c>
      <c r="M734" s="6">
        <v>-1.0075</v>
      </c>
      <c r="N734" s="6">
        <v>0.5</v>
      </c>
      <c r="O734" s="6">
        <v>0</v>
      </c>
      <c r="P734" s="6">
        <v>0.5</v>
      </c>
      <c r="Q734" s="7"/>
      <c r="R734" s="7"/>
    </row>
    <row r="735" spans="1:18">
      <c r="A735" s="4" t="s">
        <v>1012</v>
      </c>
      <c r="B735" s="4">
        <f t="shared" si="11"/>
        <v>4</v>
      </c>
      <c r="C735" s="4"/>
      <c r="D735" s="1" t="str">
        <f>IFERROR(VLOOKUP(A735,[1]biopep_DB!$F$2:$J$1654,5,0),)</f>
        <v>Hot topic: Changes in angiotensin-converting enzyme inhibition and concentrations of the tripeptides Val-Pro-Pro and Ile-Pro-Pro during ripening of different Swiss cheese varieties.</v>
      </c>
      <c r="E735" s="1" t="str">
        <f>IFERROR(VLOOKUP(A735,[1]biopep_DB!$F$2:$L$1654,6,0),0)</f>
        <v>10.3168/jds.2008-1531</v>
      </c>
      <c r="F735" s="1" t="str">
        <f>IFERROR(VLOOKUP(A735,[1]biopep_DB!$F$2:$L$1654,7,0),0)</f>
        <v>19233775</v>
      </c>
      <c r="G735" s="5">
        <v>502.6</v>
      </c>
      <c r="H735" s="5">
        <v>8.59</v>
      </c>
      <c r="I735" s="5">
        <v>0.76</v>
      </c>
      <c r="J735" s="6">
        <v>-1.775</v>
      </c>
      <c r="K735" s="5">
        <v>-13.73</v>
      </c>
      <c r="L735" s="6">
        <v>0.25</v>
      </c>
      <c r="M735" s="6">
        <v>0.19</v>
      </c>
      <c r="N735" s="6">
        <v>0.75</v>
      </c>
      <c r="O735" s="6">
        <v>0</v>
      </c>
      <c r="P735" s="6">
        <v>0.25</v>
      </c>
      <c r="Q735" s="7"/>
      <c r="R735" s="7"/>
    </row>
    <row r="736" spans="1:18">
      <c r="A736" s="4" t="s">
        <v>1013</v>
      </c>
      <c r="B736" s="4">
        <f t="shared" si="11"/>
        <v>2</v>
      </c>
      <c r="C736" s="4" t="s">
        <v>36</v>
      </c>
      <c r="D736" s="1" t="str">
        <f>IFERROR(VLOOKUP(A736,[1]biopep_DB!$F$2:$J$1654,5,0),)</f>
        <v>Antihypertensive effects of Undaria pinnatifida (wakame) peptide on blood pressure in spontaneously hypertensive rats.;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Inhibition strength of short peptides derived from an ACE inhibitory peptide.;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
      <c r="E736" s="1" t="str">
        <f>IFERROR(VLOOKUP(A736,[1]biopep_DB!$F$2:$L$1654,6,0),0)</f>
        <v>10.1016/j.jnutbio.2003.11.004; 10.1021/jf051263l; 10.1002/psc.800; 10.1021/jf202902r; 10.1016/j.jprot.2013.06.023; 10.1016/j.foodchem.2013.05.140; 10.1080/10408398.2012.664829</v>
      </c>
      <c r="F736" s="1" t="str">
        <f>IFERROR(VLOOKUP(A736,[1]biopep_DB!$F$2:$L$1654,7,0),0)</f>
        <v>15135150 16448176 17117396 21923188 23806758 23871047 24915368</v>
      </c>
      <c r="G736" s="5">
        <v>293.36</v>
      </c>
      <c r="H736" s="5">
        <v>8.75</v>
      </c>
      <c r="I736" s="5">
        <v>0.76</v>
      </c>
      <c r="J736" s="6">
        <v>-0.55</v>
      </c>
      <c r="K736" s="5">
        <v>5</v>
      </c>
      <c r="L736" s="6">
        <v>0.5</v>
      </c>
      <c r="M736" s="6">
        <v>-0.7</v>
      </c>
      <c r="N736" s="6">
        <v>0.5</v>
      </c>
      <c r="O736" s="6">
        <v>0</v>
      </c>
      <c r="P736" s="6">
        <v>0.5</v>
      </c>
      <c r="Q736" s="7"/>
      <c r="R736" s="7"/>
    </row>
    <row r="737" spans="1:18">
      <c r="A737" s="4" t="s">
        <v>1014</v>
      </c>
      <c r="B737" s="4">
        <f t="shared" si="11"/>
        <v>4</v>
      </c>
      <c r="C737" s="4" t="s">
        <v>1015</v>
      </c>
      <c r="D737" s="1" t="str">
        <f>IFERROR(VLOOKUP(A737,[1]biopep_DB!$F$2:$J$1654,5,0),)</f>
        <v>Purification, activity and sequence of angiotensin I converting enzyme inhibitory peptide from alcalase hydrolysate of peanut flour.</v>
      </c>
      <c r="E737" s="1" t="str">
        <f>IFERROR(VLOOKUP(A737,[1]biopep_DB!$F$2:$L$1654,6,0),0)</f>
        <v>10.1021/jf901787e</v>
      </c>
      <c r="F737" s="1" t="str">
        <f>IFERROR(VLOOKUP(A737,[1]biopep_DB!$F$2:$L$1654,7,0),0)</f>
        <v>19886677</v>
      </c>
      <c r="G737" s="5">
        <v>520.63</v>
      </c>
      <c r="H737" s="5">
        <v>11</v>
      </c>
      <c r="I737" s="5">
        <v>1.76</v>
      </c>
      <c r="J737" s="6">
        <v>-0.95</v>
      </c>
      <c r="K737" s="5">
        <v>7.5</v>
      </c>
      <c r="L737" s="6">
        <v>0.5</v>
      </c>
      <c r="M737" s="6">
        <v>-0.1225</v>
      </c>
      <c r="N737" s="6">
        <v>0.5</v>
      </c>
      <c r="O737" s="6">
        <v>0</v>
      </c>
      <c r="P737" s="6">
        <v>0.25</v>
      </c>
      <c r="Q737" s="7"/>
      <c r="R737" s="7"/>
    </row>
    <row r="738" spans="1:18">
      <c r="A738" s="4" t="s">
        <v>1016</v>
      </c>
      <c r="B738" s="4">
        <f t="shared" si="11"/>
        <v>6</v>
      </c>
      <c r="C738" s="4" t="s">
        <v>1017</v>
      </c>
      <c r="D738" s="1" t="str">
        <f>IFERROR(VLOOKUP(A738,[1]biopep_DB!$F$2:$J$1654,5,0),)</f>
        <v>Angiotensin-converting enzyme inhibitory activity of peptides derived from caprine kefir.</v>
      </c>
      <c r="E738" s="1" t="str">
        <f>IFERROR(VLOOKUP(A738,[1]biopep_DB!$F$2:$L$1654,6,0),0)</f>
        <v>10.3168/jds.S0022-0302(05)73032-0</v>
      </c>
      <c r="F738" s="1" t="str">
        <f>IFERROR(VLOOKUP(A738,[1]biopep_DB!$F$2:$L$1654,7,0),0)</f>
        <v>16162521</v>
      </c>
      <c r="G738" s="5">
        <v>775.89</v>
      </c>
      <c r="H738" s="5">
        <v>8.75</v>
      </c>
      <c r="I738" s="5">
        <v>0.76</v>
      </c>
      <c r="J738" s="6">
        <v>-0.8833</v>
      </c>
      <c r="K738" s="5">
        <v>40.43</v>
      </c>
      <c r="L738" s="6">
        <v>0.6667</v>
      </c>
      <c r="M738" s="6">
        <v>-0.6967</v>
      </c>
      <c r="N738" s="6">
        <v>0.3333</v>
      </c>
      <c r="O738" s="6">
        <v>0.1667</v>
      </c>
      <c r="P738" s="6">
        <v>0.3333</v>
      </c>
      <c r="Q738" s="7"/>
      <c r="R738" s="7"/>
    </row>
    <row r="739" spans="1:18">
      <c r="A739" s="4" t="s">
        <v>1018</v>
      </c>
      <c r="B739" s="4">
        <f t="shared" si="11"/>
        <v>6</v>
      </c>
      <c r="C739" s="4"/>
      <c r="D739" s="1" t="str">
        <f>IFERROR(VLOOKUP(A739,[1]biopep_DB!$F$2:$J$1654,5,0),)</f>
        <v/>
      </c>
      <c r="E739" s="1" t="str">
        <f>IFERROR(VLOOKUP(A739,[1]biopep_DB!$F$2:$L$1654,6,0),0)</f>
        <v/>
      </c>
      <c r="F739" s="1" t="str">
        <f>IFERROR(VLOOKUP(A739,[1]biopep_DB!$F$2:$L$1654,7,0),0)</f>
        <v/>
      </c>
      <c r="G739" s="5">
        <v>752.86</v>
      </c>
      <c r="H739" s="5">
        <v>8.59</v>
      </c>
      <c r="I739" s="5">
        <v>0.76</v>
      </c>
      <c r="J739" s="6">
        <v>-0.95</v>
      </c>
      <c r="K739" s="5">
        <v>61</v>
      </c>
      <c r="L739" s="6">
        <v>0.5</v>
      </c>
      <c r="M739" s="6">
        <v>-0.285</v>
      </c>
      <c r="N739" s="6">
        <v>0.3333</v>
      </c>
      <c r="O739" s="6">
        <v>0.1667</v>
      </c>
      <c r="P739" s="6">
        <v>0.3333</v>
      </c>
      <c r="Q739" s="7"/>
      <c r="R739" s="7"/>
    </row>
    <row r="740" spans="1:18">
      <c r="A740" s="4" t="s">
        <v>1019</v>
      </c>
      <c r="B740" s="4">
        <f t="shared" si="11"/>
        <v>14</v>
      </c>
      <c r="C740" s="4" t="s">
        <v>559</v>
      </c>
      <c r="G740" s="5">
        <v>1538.75</v>
      </c>
      <c r="H740" s="5">
        <v>8.6</v>
      </c>
      <c r="I740" s="5">
        <v>0.85</v>
      </c>
      <c r="J740" s="6">
        <v>-0.6857</v>
      </c>
      <c r="K740" s="5">
        <v>60.06</v>
      </c>
      <c r="L740" s="6">
        <v>0.4286</v>
      </c>
      <c r="M740" s="6">
        <v>-0.4814</v>
      </c>
      <c r="N740" s="6">
        <v>0.2857</v>
      </c>
      <c r="O740" s="6">
        <v>0.3571</v>
      </c>
      <c r="P740" s="6">
        <v>0.2143</v>
      </c>
      <c r="Q740" s="7"/>
      <c r="R740" s="7"/>
    </row>
    <row r="741" spans="1:18">
      <c r="A741" s="4" t="s">
        <v>1020</v>
      </c>
      <c r="B741" s="4">
        <f t="shared" si="11"/>
        <v>3</v>
      </c>
      <c r="C741" s="4" t="s">
        <v>261</v>
      </c>
      <c r="G741" s="5">
        <v>456.53</v>
      </c>
      <c r="H741" s="5">
        <v>8.59</v>
      </c>
      <c r="I741" s="5">
        <v>0.76</v>
      </c>
      <c r="J741" s="6">
        <v>-0.8</v>
      </c>
      <c r="K741" s="5">
        <v>115.34</v>
      </c>
      <c r="L741" s="6">
        <v>0.3333</v>
      </c>
      <c r="M741" s="6">
        <v>-0.42</v>
      </c>
      <c r="N741" s="6">
        <v>0.3333</v>
      </c>
      <c r="O741" s="6">
        <v>0</v>
      </c>
      <c r="P741" s="6">
        <v>0.6667</v>
      </c>
      <c r="Q741" s="7"/>
      <c r="R741" s="7"/>
    </row>
    <row r="742" spans="1:18">
      <c r="A742" s="4" t="s">
        <v>1021</v>
      </c>
      <c r="B742" s="4">
        <f t="shared" si="11"/>
        <v>4</v>
      </c>
      <c r="C742" s="4" t="s">
        <v>1022</v>
      </c>
      <c r="D742" s="1" t="str">
        <f>IFERROR(VLOOKUP(A742,[1]biopep_DB!$F$2:$J$1654,5,0),)</f>
        <v>Identification of an antihypertensive peptide from peptic digest of wakame (Undaria pinnatifida).;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742" s="1" t="str">
        <f>IFERROR(VLOOKUP(A742,[1]biopep_DB!$F$2:$L$1654,6,0),0)</f>
        <v>10.1016/s0955-2863(00)00110-8; 10.1007/s12010-012-0024-y; 10.1016/j.talanta.2012.12.041; 10.1016/j.foodchem.2013.05.140; 10.1080/10408398.2012.664829</v>
      </c>
      <c r="F742" s="1" t="str">
        <f>IFERROR(VLOOKUP(A742,[1]biopep_DB!$F$2:$L$1654,7,0),0)</f>
        <v>11091100 23271625 23598136 23871047 24915368</v>
      </c>
      <c r="G742" s="5">
        <v>513.59</v>
      </c>
      <c r="H742" s="5">
        <v>8.59</v>
      </c>
      <c r="I742" s="5">
        <v>0.76</v>
      </c>
      <c r="J742" s="6">
        <v>-0.7</v>
      </c>
      <c r="K742" s="5">
        <v>67.78</v>
      </c>
      <c r="L742" s="6">
        <v>0.25</v>
      </c>
      <c r="M742" s="6">
        <v>-0.55</v>
      </c>
      <c r="N742" s="6">
        <v>0.25</v>
      </c>
      <c r="O742" s="6">
        <v>0.25</v>
      </c>
      <c r="P742" s="6">
        <v>0.5</v>
      </c>
      <c r="Q742" s="7"/>
      <c r="R742" s="7"/>
    </row>
    <row r="743" spans="1:18">
      <c r="A743" s="4" t="s">
        <v>1023</v>
      </c>
      <c r="B743" s="4">
        <f t="shared" si="11"/>
        <v>2</v>
      </c>
      <c r="C743" s="4" t="s">
        <v>36</v>
      </c>
      <c r="D743" s="1" t="str">
        <f>IFERROR(VLOOKUP(A743,[1]biopep_DB!$F$2:$J$1654,5,0),)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743" s="1" t="str">
        <f>IFERROR(VLOOKUP(A743,[1]biopep_DB!$F$2:$L$1654,6,0),0)</f>
        <v>10.1021/jf051263l; 10.1002/psc.892; 10.1007/s00894-010-0862-x; 10.1016/j.jprot.2013.06.023; 10.1016/j.foodchem.2013.05.140</v>
      </c>
      <c r="F743" s="1" t="str">
        <f>IFERROR(VLOOKUP(A743,[1]biopep_DB!$F$2:$L$1654,7,0),0)</f>
        <v>6243277 16448176 17654623 20941517 23806758 23871047</v>
      </c>
      <c r="G743" s="5">
        <v>203.24</v>
      </c>
      <c r="H743" s="5">
        <v>8.75</v>
      </c>
      <c r="I743" s="5">
        <v>0.76</v>
      </c>
      <c r="J743" s="6">
        <v>-2.15</v>
      </c>
      <c r="K743" s="5">
        <v>-37.45</v>
      </c>
      <c r="L743" s="6">
        <v>0</v>
      </c>
      <c r="M743" s="6">
        <v>0.32</v>
      </c>
      <c r="N743" s="6">
        <v>0.5</v>
      </c>
      <c r="O743" s="6">
        <v>0.5</v>
      </c>
      <c r="P743" s="6">
        <v>0</v>
      </c>
      <c r="Q743" s="7"/>
      <c r="R743" s="7"/>
    </row>
    <row r="744" spans="1:18">
      <c r="A744" s="4" t="s">
        <v>1024</v>
      </c>
      <c r="B744" s="4">
        <f t="shared" si="11"/>
        <v>8</v>
      </c>
      <c r="C744" s="4" t="s">
        <v>1025</v>
      </c>
      <c r="D744" s="1" t="str">
        <f>IFERROR(VLOOKUP(A744,[1]biopep_DB!$F$2:$J$1654,5,0),)</f>
        <v>A new QSAR model, for angiotensin I-converting enzyme inhibitory oligopeptides.</v>
      </c>
      <c r="E744" s="1" t="str">
        <f>IFERROR(VLOOKUP(A744,[1]biopep_DB!$F$2:$L$1654,6,0),0)</f>
        <v>10.1016/j.foodchem.2012.09.092</v>
      </c>
      <c r="F744" s="1" t="str">
        <f>IFERROR(VLOOKUP(A744,[1]biopep_DB!$F$2:$L$1654,7,0),0)</f>
        <v>23194537</v>
      </c>
      <c r="G744" s="5">
        <v>779.88</v>
      </c>
      <c r="H744" s="5">
        <v>8.59</v>
      </c>
      <c r="I744" s="5">
        <v>0.76</v>
      </c>
      <c r="J744" s="6">
        <v>0.1</v>
      </c>
      <c r="K744" s="5">
        <v>-7.66</v>
      </c>
      <c r="L744" s="6">
        <v>0.25</v>
      </c>
      <c r="M744" s="6">
        <v>-1.1525</v>
      </c>
      <c r="N744" s="6">
        <v>0.25</v>
      </c>
      <c r="O744" s="6">
        <v>0.5</v>
      </c>
      <c r="P744" s="6">
        <v>0.375</v>
      </c>
      <c r="Q744" s="7"/>
      <c r="R744" s="7"/>
    </row>
    <row r="745" spans="1:18">
      <c r="A745" s="4" t="s">
        <v>1026</v>
      </c>
      <c r="B745" s="4">
        <f t="shared" si="11"/>
        <v>11</v>
      </c>
      <c r="C745" s="4" t="s">
        <v>1027</v>
      </c>
      <c r="D745" s="1" t="str">
        <f>IFERROR(VLOOKUP(A745,[1]biopep_DB!$F$2:$J$1654,5,0),)</f>
        <v>A new QSAR model, for angiotensin I-converting enzyme inhibitory oligopeptides.</v>
      </c>
      <c r="E745" s="1" t="str">
        <f>IFERROR(VLOOKUP(A745,[1]biopep_DB!$F$2:$L$1654,6,0),0)</f>
        <v>10.1016/j.foodchem.2012.09.092</v>
      </c>
      <c r="F745" s="1" t="str">
        <f>IFERROR(VLOOKUP(A745,[1]biopep_DB!$F$2:$L$1654,7,0),0)</f>
        <v>23194537</v>
      </c>
      <c r="G745" s="5">
        <v>1192.32</v>
      </c>
      <c r="H745" s="5">
        <v>6</v>
      </c>
      <c r="I745" s="5">
        <v>-0.24</v>
      </c>
      <c r="J745" s="6">
        <v>-0.4727</v>
      </c>
      <c r="K745" s="5">
        <v>16.8</v>
      </c>
      <c r="L745" s="6">
        <v>0.3636</v>
      </c>
      <c r="M745" s="6">
        <v>-0.9009</v>
      </c>
      <c r="N745" s="6">
        <v>0.2727</v>
      </c>
      <c r="O745" s="6">
        <v>0.4545</v>
      </c>
      <c r="P745" s="6">
        <v>0.3636</v>
      </c>
      <c r="Q745" s="7"/>
      <c r="R745" s="7"/>
    </row>
    <row r="746" spans="1:18">
      <c r="A746" s="4" t="s">
        <v>1028</v>
      </c>
      <c r="B746" s="4">
        <f t="shared" si="11"/>
        <v>12</v>
      </c>
      <c r="C746" s="4"/>
      <c r="D746" s="1" t="str">
        <f>IFERROR(VLOOKUP(A746,[1]biopep_DB!$F$2:$J$1654,5,0),)</f>
        <v>Casein fermentate of Lactobacillus animalis DPC6134 contains a range of novel propeptide angiotensin-converting enzyme inhibitors.</v>
      </c>
      <c r="E746" s="1" t="str">
        <f>IFERROR(VLOOKUP(A746,[1]biopep_DB!$F$2:$L$1654,6,0),0)</f>
        <v>10.1128/AEM.00096-07</v>
      </c>
      <c r="F746" s="1" t="str">
        <f>IFERROR(VLOOKUP(A746,[1]biopep_DB!$F$2:$L$1654,7,0),0)</f>
        <v>17483275</v>
      </c>
      <c r="G746" s="5">
        <v>1465.61</v>
      </c>
      <c r="H746" s="5">
        <v>6.76</v>
      </c>
      <c r="I746" s="5">
        <v>-0.15</v>
      </c>
      <c r="J746" s="6">
        <v>-1.9333</v>
      </c>
      <c r="K746" s="5">
        <v>109.98</v>
      </c>
      <c r="L746" s="6">
        <v>0.25</v>
      </c>
      <c r="M746" s="6">
        <v>0.4225</v>
      </c>
      <c r="N746" s="6">
        <v>0.3333</v>
      </c>
      <c r="O746" s="6">
        <v>0.25</v>
      </c>
      <c r="P746" s="6">
        <v>0.1667</v>
      </c>
      <c r="Q746" s="7"/>
      <c r="R746" s="7"/>
    </row>
    <row r="747" spans="1:18">
      <c r="A747" s="4" t="s">
        <v>1029</v>
      </c>
      <c r="B747" s="4">
        <f t="shared" si="11"/>
        <v>6</v>
      </c>
      <c r="C747" s="4"/>
      <c r="D747" s="1" t="str">
        <f>IFERROR(VLOOKUP(A747,[1]biopep_DB!$F$2:$J$1654,5,0),)</f>
        <v/>
      </c>
      <c r="E747" s="1" t="str">
        <f>IFERROR(VLOOKUP(A747,[1]biopep_DB!$F$2:$L$1654,6,0),0)</f>
        <v/>
      </c>
      <c r="F747" s="1" t="str">
        <f>IFERROR(VLOOKUP(A747,[1]biopep_DB!$F$2:$L$1654,7,0),0)</f>
        <v/>
      </c>
      <c r="G747" s="5">
        <v>703.87</v>
      </c>
      <c r="H747" s="5">
        <v>8.76</v>
      </c>
      <c r="I747" s="5">
        <v>0.85</v>
      </c>
      <c r="J747" s="6">
        <v>-0.45</v>
      </c>
      <c r="K747" s="5">
        <v>72.53</v>
      </c>
      <c r="L747" s="6">
        <v>0.6667</v>
      </c>
      <c r="M747" s="6">
        <v>-1.2117</v>
      </c>
      <c r="N747" s="6">
        <v>0.5</v>
      </c>
      <c r="O747" s="6">
        <v>0.3333</v>
      </c>
      <c r="P747" s="6">
        <v>0.3333</v>
      </c>
      <c r="Q747" s="7"/>
      <c r="R747" s="7"/>
    </row>
    <row r="748" spans="1:18">
      <c r="A748" s="4" t="s">
        <v>1030</v>
      </c>
      <c r="B748" s="4">
        <f t="shared" si="11"/>
        <v>4</v>
      </c>
      <c r="C748" s="4" t="s">
        <v>1031</v>
      </c>
      <c r="D748" s="1" t="str">
        <f>IFERROR(VLOOKUP(A748,[1]biopep_DB!$F$2:$J$1654,5,0),)</f>
        <v/>
      </c>
      <c r="E748" s="1" t="str">
        <f>IFERROR(VLOOKUP(A748,[1]biopep_DB!$F$2:$L$1654,6,0),0)</f>
        <v/>
      </c>
      <c r="F748" s="1" t="str">
        <f>IFERROR(VLOOKUP(A748,[1]biopep_DB!$F$2:$L$1654,7,0),0)</f>
        <v/>
      </c>
      <c r="G748" s="5">
        <v>501.62</v>
      </c>
      <c r="H748" s="5">
        <v>6</v>
      </c>
      <c r="I748" s="5">
        <v>-0.24</v>
      </c>
      <c r="J748" s="6">
        <v>0.225</v>
      </c>
      <c r="K748" s="5">
        <v>96.12</v>
      </c>
      <c r="L748" s="6">
        <v>0.5</v>
      </c>
      <c r="M748" s="6">
        <v>-1.655</v>
      </c>
      <c r="N748" s="6">
        <v>0.75</v>
      </c>
      <c r="O748" s="6">
        <v>0</v>
      </c>
      <c r="P748" s="6">
        <v>0.5</v>
      </c>
      <c r="Q748" s="7"/>
      <c r="R748" s="7"/>
    </row>
    <row r="749" spans="1:18">
      <c r="A749" s="4" t="s">
        <v>1032</v>
      </c>
      <c r="B749" s="4">
        <f t="shared" si="11"/>
        <v>9</v>
      </c>
      <c r="C749" s="4" t="s">
        <v>1033</v>
      </c>
      <c r="D749" s="1" t="str">
        <f>IFERROR(VLOOKUP(A749,[1]biopep_DB!$F$2:$J$1654,5,0),)</f>
        <v>Angiotensin-converting enzyme inhibitory activity of peptides derived from caprine kefir.</v>
      </c>
      <c r="E749" s="1" t="str">
        <f>IFERROR(VLOOKUP(A749,[1]biopep_DB!$F$2:$L$1654,6,0),0)</f>
        <v>10.3168/jds.S0022-0302(05)73032-0</v>
      </c>
      <c r="F749" s="1" t="str">
        <f>IFERROR(VLOOKUP(A749,[1]biopep_DB!$F$2:$L$1654,7,0),0)</f>
        <v>16162521</v>
      </c>
      <c r="G749" s="5">
        <v>1039.19</v>
      </c>
      <c r="H749" s="5">
        <v>8.76</v>
      </c>
      <c r="I749" s="5">
        <v>0.85</v>
      </c>
      <c r="J749" s="6">
        <v>-0.5333</v>
      </c>
      <c r="K749" s="5">
        <v>31.37</v>
      </c>
      <c r="L749" s="6">
        <v>0.5556</v>
      </c>
      <c r="M749" s="6">
        <v>-0.6922</v>
      </c>
      <c r="N749" s="6">
        <v>0.3333</v>
      </c>
      <c r="O749" s="6">
        <v>0.1111</v>
      </c>
      <c r="P749" s="6">
        <v>0.2222</v>
      </c>
      <c r="Q749" s="7"/>
      <c r="R749" s="7"/>
    </row>
    <row r="750" spans="1:18">
      <c r="A750" s="4" t="s">
        <v>1034</v>
      </c>
      <c r="B750" s="4">
        <f t="shared" si="11"/>
        <v>8</v>
      </c>
      <c r="C750" s="4"/>
      <c r="G750" s="5">
        <v>941.08</v>
      </c>
      <c r="H750" s="5">
        <v>8.76</v>
      </c>
      <c r="I750" s="5">
        <v>0.85</v>
      </c>
      <c r="J750" s="6">
        <v>-0.475</v>
      </c>
      <c r="K750" s="5">
        <v>34.04</v>
      </c>
      <c r="L750" s="6">
        <v>0.5</v>
      </c>
      <c r="M750" s="6">
        <v>-0.69</v>
      </c>
      <c r="N750" s="6">
        <v>0.25</v>
      </c>
      <c r="O750" s="6">
        <v>0.125</v>
      </c>
      <c r="P750" s="6">
        <v>0.375</v>
      </c>
      <c r="Q750" s="7"/>
      <c r="R750" s="7"/>
    </row>
    <row r="751" spans="1:18">
      <c r="A751" s="4" t="s">
        <v>1035</v>
      </c>
      <c r="B751" s="4">
        <f t="shared" si="11"/>
        <v>14</v>
      </c>
      <c r="C751" s="4" t="s">
        <v>1036</v>
      </c>
      <c r="D751" s="1" t="str">
        <f>IFERROR(VLOOKUP(A751,[1]biopep_DB!$F$2:$J$1654,5,0),)</f>
        <v>Inhibition of angiotensin-converting enzyme by synthetic peptide fragments of various beta-caseins.; Evaluation of the allergenicity of goat milk, cow milk, and their lactosera in a guinea pig model.</v>
      </c>
      <c r="E751" s="1" t="str">
        <f>IFERROR(VLOOKUP(A751,[1]biopep_DB!$F$2:$L$1654,6,0),0)</f>
        <v>10.3168/jds.2008-1125</v>
      </c>
      <c r="F751" s="1" t="str">
        <f>IFERROR(VLOOKUP(A751,[1]biopep_DB!$F$2:$L$1654,7,0),0)</f>
        <v>1368548 19233776</v>
      </c>
      <c r="G751" s="5">
        <v>1628.87</v>
      </c>
      <c r="H751" s="5">
        <v>8.6</v>
      </c>
      <c r="I751" s="5">
        <v>0.85</v>
      </c>
      <c r="J751" s="6">
        <v>-0.2143</v>
      </c>
      <c r="K751" s="5">
        <v>53.16</v>
      </c>
      <c r="L751" s="6">
        <v>0.5</v>
      </c>
      <c r="M751" s="6">
        <v>-0.8671</v>
      </c>
      <c r="N751" s="6">
        <v>0.2143</v>
      </c>
      <c r="O751" s="6">
        <v>0.2143</v>
      </c>
      <c r="P751" s="6">
        <v>0.4286</v>
      </c>
      <c r="Q751" s="7"/>
      <c r="R751" s="7"/>
    </row>
    <row r="752" spans="1:18">
      <c r="A752" s="4" t="s">
        <v>1037</v>
      </c>
      <c r="B752" s="4">
        <f t="shared" si="11"/>
        <v>14</v>
      </c>
      <c r="C752" s="4" t="s">
        <v>1038</v>
      </c>
      <c r="D752" s="1" t="str">
        <f>IFERROR(VLOOKUP(A752,[1]biopep_DB!$F$2:$J$1654,5,0),)</f>
        <v>Inhibition of angiotensin-converting enzyme by synthetic peptide fragments of various beta-caseins.</v>
      </c>
      <c r="E752" s="1" t="str">
        <f>IFERROR(VLOOKUP(A752,[1]biopep_DB!$F$2:$L$1654,6,0),0)</f>
        <v/>
      </c>
      <c r="F752" s="1" t="str">
        <f>IFERROR(VLOOKUP(A752,[1]biopep_DB!$F$2:$L$1654,7,0),0)</f>
        <v>1368548</v>
      </c>
      <c r="G752" s="5">
        <v>1690.98</v>
      </c>
      <c r="H752" s="5">
        <v>8.5</v>
      </c>
      <c r="I752" s="5">
        <v>0.76</v>
      </c>
      <c r="J752" s="6">
        <v>-0.3643</v>
      </c>
      <c r="K752" s="5">
        <v>75.88</v>
      </c>
      <c r="L752" s="6">
        <v>0.5714</v>
      </c>
      <c r="M752" s="6">
        <v>-0.88</v>
      </c>
      <c r="N752" s="6">
        <v>0.1429</v>
      </c>
      <c r="O752" s="6">
        <v>0.3571</v>
      </c>
      <c r="P752" s="6">
        <v>0.4286</v>
      </c>
      <c r="Q752" s="7"/>
      <c r="R752" s="7"/>
    </row>
    <row r="753" spans="1:18">
      <c r="A753" s="4" t="s">
        <v>1039</v>
      </c>
      <c r="B753" s="4">
        <f t="shared" si="11"/>
        <v>9</v>
      </c>
      <c r="C753" s="4" t="s">
        <v>577</v>
      </c>
      <c r="D753" s="1" t="str">
        <f>IFERROR(VLOOKUP(A753,[1]biopep_DB!$F$2:$J$1654,5,0),)</f>
        <v/>
      </c>
      <c r="E753" s="1" t="str">
        <f>IFERROR(VLOOKUP(A753,[1]biopep_DB!$F$2:$L$1654,6,0),0)</f>
        <v/>
      </c>
      <c r="F753" s="1" t="str">
        <f>IFERROR(VLOOKUP(A753,[1]biopep_DB!$F$2:$L$1654,7,0),0)</f>
        <v/>
      </c>
      <c r="G753" s="5">
        <v>1136.3</v>
      </c>
      <c r="H753" s="5">
        <v>9.7</v>
      </c>
      <c r="I753" s="5">
        <v>1.76</v>
      </c>
      <c r="J753" s="6">
        <v>-1.6667</v>
      </c>
      <c r="K753" s="5">
        <v>20.86</v>
      </c>
      <c r="L753" s="6">
        <v>0.2222</v>
      </c>
      <c r="M753" s="6">
        <v>0.2833</v>
      </c>
      <c r="N753" s="6">
        <v>0.4444</v>
      </c>
      <c r="O753" s="6">
        <v>0</v>
      </c>
      <c r="P753" s="6">
        <v>0.3333</v>
      </c>
      <c r="Q753" s="7"/>
      <c r="R753" s="7"/>
    </row>
    <row r="754" spans="1:18">
      <c r="A754" s="4" t="s">
        <v>1040</v>
      </c>
      <c r="B754" s="4">
        <f t="shared" si="11"/>
        <v>3</v>
      </c>
      <c r="C754" s="4"/>
      <c r="D754" s="1" t="str">
        <f>IFERROR(VLOOKUP(A754,[1]biopep_DB!$F$2:$J$1654,5,0),)</f>
        <v/>
      </c>
      <c r="E754" s="1" t="str">
        <f>IFERROR(VLOOKUP(A754,[1]biopep_DB!$F$2:$L$1654,6,0),0)</f>
        <v/>
      </c>
      <c r="F754" s="1" t="str">
        <f>IFERROR(VLOOKUP(A754,[1]biopep_DB!$F$2:$L$1654,7,0),0)</f>
        <v/>
      </c>
      <c r="G754" s="5">
        <v>437.53</v>
      </c>
      <c r="H754" s="5">
        <v>9.7</v>
      </c>
      <c r="I754" s="5">
        <v>1.76</v>
      </c>
      <c r="J754" s="6">
        <v>-3.0333</v>
      </c>
      <c r="K754" s="5">
        <v>6.67</v>
      </c>
      <c r="L754" s="6">
        <v>0</v>
      </c>
      <c r="M754" s="6">
        <v>1.1</v>
      </c>
      <c r="N754" s="6">
        <v>0.6667</v>
      </c>
      <c r="O754" s="6">
        <v>0</v>
      </c>
      <c r="P754" s="6">
        <v>0.3333</v>
      </c>
      <c r="Q754" s="7"/>
      <c r="R754" s="7"/>
    </row>
    <row r="755" spans="1:18">
      <c r="A755" s="4" t="s">
        <v>1041</v>
      </c>
      <c r="B755" s="4">
        <f t="shared" si="11"/>
        <v>8</v>
      </c>
      <c r="C755" s="4" t="s">
        <v>1042</v>
      </c>
      <c r="D755" s="1" t="str">
        <f>IFERROR(VLOOKUP(A755,[1]biopep_DB!$F$2:$J$1654,5,0),)</f>
        <v>Antihypertensive peptides: production, bioavailability and incorporation into foods.</v>
      </c>
      <c r="E755" s="1" t="str">
        <f>IFERROR(VLOOKUP(A755,[1]biopep_DB!$F$2:$L$1654,6,0),0)</f>
        <v>10.1016/j.cis.2010.11.001</v>
      </c>
      <c r="F755" s="1" t="str">
        <f>IFERROR(VLOOKUP(A755,[1]biopep_DB!$F$2:$L$1654,7,0),0)</f>
        <v>21185549</v>
      </c>
      <c r="G755" s="5">
        <v>1006.26</v>
      </c>
      <c r="H755" s="5">
        <v>9.7</v>
      </c>
      <c r="I755" s="5">
        <v>1.76</v>
      </c>
      <c r="J755" s="6">
        <v>-0.5375</v>
      </c>
      <c r="K755" s="5">
        <v>111.83</v>
      </c>
      <c r="L755" s="6">
        <v>0.5</v>
      </c>
      <c r="M755" s="6">
        <v>-0.8312</v>
      </c>
      <c r="N755" s="6">
        <v>0.5</v>
      </c>
      <c r="O755" s="6">
        <v>0.125</v>
      </c>
      <c r="P755" s="6">
        <v>0.375</v>
      </c>
      <c r="Q755" s="7"/>
      <c r="R755" s="7"/>
    </row>
    <row r="756" spans="1:18">
      <c r="A756" s="4" t="s">
        <v>1043</v>
      </c>
      <c r="B756" s="4">
        <f t="shared" si="11"/>
        <v>8</v>
      </c>
      <c r="C756" s="4" t="s">
        <v>1044</v>
      </c>
      <c r="D756" s="1" t="str">
        <f>IFERROR(VLOOKUP(A756,[1]biopep_DB!$F$2:$J$1654,5,0),)</f>
        <v>Changes in arterial blood pressure after single oral administration of milk-casein-derived peptides in spontaneously hypertensive rats.</v>
      </c>
      <c r="E756" s="1" t="str">
        <f>IFERROR(VLOOKUP(A756,[1]biopep_DB!$F$2:$L$1654,6,0),0)</f>
        <v>10.1002/mnfr.200900448</v>
      </c>
      <c r="F756" s="1" t="str">
        <f>IFERROR(VLOOKUP(A756,[1]biopep_DB!$F$2:$L$1654,7,0),0)</f>
        <v>20397194</v>
      </c>
      <c r="G756" s="5">
        <v>989.17</v>
      </c>
      <c r="H756" s="5">
        <v>9.7</v>
      </c>
      <c r="I756" s="5">
        <v>1.76</v>
      </c>
      <c r="J756" s="6">
        <v>-1.2125</v>
      </c>
      <c r="K756" s="5">
        <v>56.9</v>
      </c>
      <c r="L756" s="6">
        <v>0.375</v>
      </c>
      <c r="M756" s="6">
        <v>-0.335</v>
      </c>
      <c r="N756" s="6">
        <v>0.375</v>
      </c>
      <c r="O756" s="6">
        <v>0.25</v>
      </c>
      <c r="P756" s="6">
        <v>0.375</v>
      </c>
      <c r="Q756" s="7"/>
      <c r="R756" s="7"/>
    </row>
    <row r="757" spans="1:18">
      <c r="A757" s="4" t="s">
        <v>1045</v>
      </c>
      <c r="B757" s="4">
        <f t="shared" si="11"/>
        <v>2</v>
      </c>
      <c r="C757" s="4" t="s">
        <v>1046</v>
      </c>
      <c r="D757" s="1" t="str">
        <f>IFERROR(VLOOKUP(A757,[1]biopep_DB!$F$2:$J$1654,5,0),)</f>
        <v>Peptides with angiotensin I converting enzyme (ACE) inhibitory activity generated from porcine skeletal muscle proteins by the action of meat-borne Lactobacillus.</v>
      </c>
      <c r="E757" s="1" t="str">
        <f>IFERROR(VLOOKUP(A757,[1]biopep_DB!$F$2:$L$1654,6,0),0)</f>
        <v>10.1016/j.jprot.2013.06.023</v>
      </c>
      <c r="F757" s="1" t="str">
        <f>IFERROR(VLOOKUP(A757,[1]biopep_DB!$F$2:$L$1654,7,0),0)</f>
        <v>23806758</v>
      </c>
      <c r="G757" s="5">
        <v>259.35</v>
      </c>
      <c r="H757" s="5">
        <v>8.75</v>
      </c>
      <c r="I757" s="5">
        <v>0.76</v>
      </c>
      <c r="J757" s="6">
        <v>-0.05</v>
      </c>
      <c r="K757" s="5">
        <v>-37.45</v>
      </c>
      <c r="L757" s="6">
        <v>0.5</v>
      </c>
      <c r="M757" s="6">
        <v>-1.67</v>
      </c>
      <c r="N757" s="6">
        <v>1</v>
      </c>
      <c r="O757" s="6">
        <v>0</v>
      </c>
      <c r="P757" s="6">
        <v>0.5</v>
      </c>
      <c r="Q757" s="7"/>
      <c r="R757" s="7"/>
    </row>
    <row r="758" spans="1:18">
      <c r="A758" s="4" t="s">
        <v>1047</v>
      </c>
      <c r="B758" s="4">
        <f t="shared" si="11"/>
        <v>5</v>
      </c>
      <c r="C758" s="4" t="s">
        <v>1048</v>
      </c>
      <c r="D758" s="1" t="str">
        <f>IFERROR(VLOOKUP(A758,[1]biopep_DB!$F$2:$J$1654,5,0),)</f>
        <v>A new QSAR model, for angiotensin I-converting enzyme inhibitory oligopeptides.</v>
      </c>
      <c r="E758" s="1" t="str">
        <f>IFERROR(VLOOKUP(A758,[1]biopep_DB!$F$2:$L$1654,6,0),0)</f>
        <v>10.1016/j.foodchem.2012.09.092</v>
      </c>
      <c r="F758" s="1" t="str">
        <f>IFERROR(VLOOKUP(A758,[1]biopep_DB!$F$2:$L$1654,7,0),0)</f>
        <v>23194537</v>
      </c>
      <c r="G758" s="5">
        <v>633.82</v>
      </c>
      <c r="H758" s="5">
        <v>10</v>
      </c>
      <c r="I758" s="5">
        <v>1.76</v>
      </c>
      <c r="J758" s="6">
        <v>0.6</v>
      </c>
      <c r="K758" s="5">
        <v>-25.96</v>
      </c>
      <c r="L758" s="6">
        <v>0.6</v>
      </c>
      <c r="M758" s="6">
        <v>-1.756</v>
      </c>
      <c r="N758" s="6">
        <v>0.6</v>
      </c>
      <c r="O758" s="6">
        <v>0</v>
      </c>
      <c r="P758" s="6">
        <v>0.6</v>
      </c>
      <c r="Q758" s="7"/>
      <c r="R758" s="7"/>
    </row>
    <row r="759" spans="1:18">
      <c r="A759" s="4" t="s">
        <v>1049</v>
      </c>
      <c r="B759" s="4">
        <f t="shared" si="11"/>
        <v>8</v>
      </c>
      <c r="C759" s="4"/>
      <c r="G759" s="5">
        <v>1039.32</v>
      </c>
      <c r="H759" s="5">
        <v>12</v>
      </c>
      <c r="I759" s="5">
        <v>2.76</v>
      </c>
      <c r="J759" s="6">
        <v>-0.15</v>
      </c>
      <c r="K759" s="5">
        <v>134.56</v>
      </c>
      <c r="L759" s="6">
        <v>0.5</v>
      </c>
      <c r="M759" s="6">
        <v>-1.4125</v>
      </c>
      <c r="N759" s="6">
        <v>0.625</v>
      </c>
      <c r="O759" s="6">
        <v>0</v>
      </c>
      <c r="P759" s="6">
        <v>0.5</v>
      </c>
      <c r="Q759" s="7"/>
      <c r="R759" s="7"/>
    </row>
    <row r="760" spans="1:18">
      <c r="A760" s="4" t="s">
        <v>1050</v>
      </c>
      <c r="B760" s="4">
        <f t="shared" si="11"/>
        <v>3</v>
      </c>
      <c r="C760" s="4" t="s">
        <v>190</v>
      </c>
      <c r="D760" s="1" t="str">
        <f>IFERROR(VLOOKUP(A760,[1]biopep_DB!$F$2:$J$1654,5,0),)</f>
        <v>Angiotensin I-converting enzyme inhibitory peptides generated from in vitro gastrointestinal digestion of pork meat.; What are the ideal properties for functional food peptides with antihypertensive effect? A computational peptidology approach.; Isolation and characterization of peptides with antihypertensive activity in foodstuffs.</v>
      </c>
      <c r="E760" s="1" t="str">
        <f>IFERROR(VLOOKUP(A760,[1]biopep_DB!$F$2:$L$1654,6,0),0)</f>
        <v>10.1021/jf904204n; 10.1016/j.foodchem.2013.05.140; 10.1080/10408398.2012.664829</v>
      </c>
      <c r="F760" s="1" t="str">
        <f>IFERROR(VLOOKUP(A760,[1]biopep_DB!$F$2:$L$1654,7,0),0)</f>
        <v>20151679 23871047 24915368</v>
      </c>
      <c r="G760" s="5">
        <v>356.46</v>
      </c>
      <c r="H760" s="5">
        <v>8.75</v>
      </c>
      <c r="I760" s="5">
        <v>0.76</v>
      </c>
      <c r="J760" s="6">
        <v>-0.5667</v>
      </c>
      <c r="K760" s="5">
        <v>42.57</v>
      </c>
      <c r="L760" s="6">
        <v>0.6667</v>
      </c>
      <c r="M760" s="6">
        <v>-1.1133</v>
      </c>
      <c r="N760" s="6">
        <v>0.6667</v>
      </c>
      <c r="O760" s="6">
        <v>0.3333</v>
      </c>
      <c r="P760" s="6">
        <v>0.3333</v>
      </c>
      <c r="Q760" s="7"/>
      <c r="R760" s="7"/>
    </row>
    <row r="761" spans="1:18">
      <c r="A761" s="4" t="s">
        <v>1051</v>
      </c>
      <c r="B761" s="4">
        <f t="shared" si="11"/>
        <v>8</v>
      </c>
      <c r="C761" s="4" t="s">
        <v>1052</v>
      </c>
      <c r="D761" s="1" t="str">
        <f>IFERROR(VLOOKUP(A761,[1]biopep_DB!$F$2:$J$1654,5,0),)</f>
        <v>Novel angiotensin I-converting enzyme inhibitory peptides isolated from Alcalase hydrolysate of mung bean protein.; Isolation and characterization of peptides with antihypertensive activity in foodstuffs.</v>
      </c>
      <c r="E761" s="1" t="str">
        <f>IFERROR(VLOOKUP(A761,[1]biopep_DB!$F$2:$L$1654,6,0),0)</f>
        <v>10.1002/psc.758; 10.1080/10408398.2012.664829</v>
      </c>
      <c r="F761" s="1" t="str">
        <f>IFERROR(VLOOKUP(A761,[1]biopep_DB!$F$2:$L$1654,7,0),0)</f>
        <v>16680798 24915368</v>
      </c>
      <c r="G761" s="5">
        <v>846.02</v>
      </c>
      <c r="H761" s="5">
        <v>8.75</v>
      </c>
      <c r="I761" s="5">
        <v>0.76</v>
      </c>
      <c r="J761" s="6">
        <v>0.7</v>
      </c>
      <c r="K761" s="5">
        <v>35.67</v>
      </c>
      <c r="L761" s="6">
        <v>0.625</v>
      </c>
      <c r="M761" s="6">
        <v>-1.7163</v>
      </c>
      <c r="N761" s="6">
        <v>0.5</v>
      </c>
      <c r="O761" s="6">
        <v>0.25</v>
      </c>
      <c r="P761" s="6">
        <v>0.5</v>
      </c>
      <c r="Q761" s="7"/>
      <c r="R761" s="7"/>
    </row>
    <row r="762" spans="1:18">
      <c r="A762" s="4" t="s">
        <v>1053</v>
      </c>
      <c r="B762" s="4">
        <f t="shared" si="11"/>
        <v>2</v>
      </c>
      <c r="C762" s="4" t="s">
        <v>36</v>
      </c>
      <c r="D762" s="1" t="str">
        <f>IFERROR(VLOOKUP(A762,[1]biopep_DB!$F$2:$J$1654,5,0),)</f>
        <v>Angiotensin I-converting enzyme inhibitory activity and insulin secretion stimulative activity of fermented fish sauce.;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Review on the angiotensin-I-converting enzyme (ACE) inhibitor peptides from marine proteins.;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762" s="1" t="str">
        <f>IFERROR(VLOOKUP(A762,[1]biopep_DB!$F$2:$L$1654,6,0),0)</f>
        <v>10.1016/S1389-1723(03)70138-8; 10.1021/jf051263l; 10.1002/psc.800; 10.1007/s12010-012-0024-y; 10.1016/j.jprot.2013.06.023; 10.1016/j.foodchem.2013.05.140</v>
      </c>
      <c r="F762" s="1" t="str">
        <f>IFERROR(VLOOKUP(A762,[1]biopep_DB!$F$2:$L$1654,7,0),0)</f>
        <v>16233562 16448176 17117396 23271625 23806758 23871047</v>
      </c>
      <c r="G762" s="5">
        <v>243.3</v>
      </c>
      <c r="H762" s="5">
        <v>8.75</v>
      </c>
      <c r="I762" s="5">
        <v>0.76</v>
      </c>
      <c r="J762" s="6">
        <v>-2.75</v>
      </c>
      <c r="K762" s="5">
        <v>-32.7</v>
      </c>
      <c r="L762" s="6">
        <v>0.5</v>
      </c>
      <c r="M762" s="6">
        <v>0.79</v>
      </c>
      <c r="N762" s="6">
        <v>0.5</v>
      </c>
      <c r="O762" s="6">
        <v>0.5</v>
      </c>
      <c r="P762" s="6">
        <v>0</v>
      </c>
      <c r="Q762" s="7"/>
      <c r="R762" s="7"/>
    </row>
    <row r="763" spans="1:18">
      <c r="A763" s="4" t="s">
        <v>1054</v>
      </c>
      <c r="B763" s="4">
        <f t="shared" si="11"/>
        <v>3</v>
      </c>
      <c r="C763" s="4"/>
      <c r="D763" s="1" t="str">
        <f>IFERROR(VLOOKUP(A763,[1]biopep_DB!$F$2:$J$1654,5,0),)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763" s="1" t="str">
        <f>IFERROR(VLOOKUP(A763,[1]biopep_DB!$F$2:$L$1654,6,0),0)</f>
        <v>10.1002/psc.800; 10.1007/s00894-010-0862-x; 10.1016/j.foodchem.2013.05.140</v>
      </c>
      <c r="F763" s="1" t="str">
        <f>IFERROR(VLOOKUP(A763,[1]biopep_DB!$F$2:$L$1654,7,0),0)</f>
        <v>17117396 20941517 23871047</v>
      </c>
      <c r="G763" s="5">
        <v>390.48</v>
      </c>
      <c r="H763" s="5">
        <v>8.75</v>
      </c>
      <c r="I763" s="5">
        <v>0.76</v>
      </c>
      <c r="J763" s="6">
        <v>-0.9</v>
      </c>
      <c r="K763" s="5">
        <v>45.73</v>
      </c>
      <c r="L763" s="6">
        <v>0.6667</v>
      </c>
      <c r="M763" s="6">
        <v>-0.4667</v>
      </c>
      <c r="N763" s="6">
        <v>0.3333</v>
      </c>
      <c r="O763" s="6">
        <v>0.3333</v>
      </c>
      <c r="P763" s="6">
        <v>0.3333</v>
      </c>
      <c r="Q763" s="7"/>
      <c r="R763" s="7"/>
    </row>
    <row r="764" spans="1:18">
      <c r="A764" s="4" t="s">
        <v>1055</v>
      </c>
      <c r="B764" s="4">
        <f t="shared" si="11"/>
        <v>3</v>
      </c>
      <c r="C764" s="4"/>
      <c r="D764" s="1" t="str">
        <f>IFERROR(VLOOKUP(A764,[1]biopep_DB!$F$2:$J$1654,5,0),)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764" s="1" t="str">
        <f>IFERROR(VLOOKUP(A764,[1]biopep_DB!$F$2:$L$1654,6,0),0)</f>
        <v>10.1002/psc.800; 10.1007/s00894-010-0862-x; 10.1016/j.foodchem.2013.05.140</v>
      </c>
      <c r="F764" s="1" t="str">
        <f>IFERROR(VLOOKUP(A764,[1]biopep_DB!$F$2:$L$1654,7,0),0)</f>
        <v>17117396 20941517 23871047</v>
      </c>
      <c r="G764" s="5">
        <v>371.48</v>
      </c>
      <c r="H764" s="5">
        <v>10</v>
      </c>
      <c r="I764" s="5">
        <v>1.76</v>
      </c>
      <c r="J764" s="6">
        <v>-3.1333</v>
      </c>
      <c r="K764" s="5">
        <v>-18.47</v>
      </c>
      <c r="L764" s="6">
        <v>0.3333</v>
      </c>
      <c r="M764" s="6">
        <v>1.0533</v>
      </c>
      <c r="N764" s="6">
        <v>0.6667</v>
      </c>
      <c r="O764" s="6">
        <v>0.3333</v>
      </c>
      <c r="P764" s="6">
        <v>0</v>
      </c>
      <c r="Q764" s="7"/>
      <c r="R764" s="7"/>
    </row>
    <row r="765" spans="1:18">
      <c r="A765" s="4" t="s">
        <v>1056</v>
      </c>
      <c r="B765" s="4">
        <f t="shared" si="11"/>
        <v>6</v>
      </c>
      <c r="C765" s="4" t="s">
        <v>1057</v>
      </c>
      <c r="D765" s="1" t="str">
        <f>IFERROR(VLOOKUP(A765,[1]biopep_DB!$F$2:$J$1654,5,0),)</f>
        <v>Analysis of novel angiotensin-I-converting enzyme inhibitory peptides from protease-hydrolyzed marine shrimp Acetes chinensis.; Review on the angiotensin-I-converting enzyme (ACE) inhibitor peptides from marine proteins.</v>
      </c>
      <c r="E765" s="1" t="str">
        <f>IFERROR(VLOOKUP(A765,[1]biopep_DB!$F$2:$L$1654,6,0),0)</f>
        <v>10.1002/psc.789; 10.1007/s12010-012-0024-y</v>
      </c>
      <c r="F765" s="1" t="str">
        <f>IFERROR(VLOOKUP(A765,[1]biopep_DB!$F$2:$L$1654,7,0),0)</f>
        <v>16981241 23271625</v>
      </c>
      <c r="G765" s="5">
        <v>669.77</v>
      </c>
      <c r="H765" s="5">
        <v>6</v>
      </c>
      <c r="I765" s="5">
        <v>-0.24</v>
      </c>
      <c r="J765" s="6">
        <v>-1.1833</v>
      </c>
      <c r="K765" s="5">
        <v>56.83</v>
      </c>
      <c r="L765" s="6">
        <v>0.5</v>
      </c>
      <c r="M765" s="6">
        <v>-0.0933</v>
      </c>
      <c r="N765" s="6">
        <v>0.3333</v>
      </c>
      <c r="O765" s="6">
        <v>0.3333</v>
      </c>
      <c r="P765" s="6">
        <v>0.3333</v>
      </c>
      <c r="Q765" s="7"/>
      <c r="R765" s="7"/>
    </row>
    <row r="766" spans="1:18">
      <c r="A766" s="4" t="s">
        <v>1058</v>
      </c>
      <c r="B766" s="4">
        <f t="shared" si="11"/>
        <v>8</v>
      </c>
      <c r="C766" s="4"/>
      <c r="G766" s="5">
        <v>855.93</v>
      </c>
      <c r="H766" s="5">
        <v>4.37</v>
      </c>
      <c r="I766" s="5">
        <v>-1.24</v>
      </c>
      <c r="J766" s="6">
        <v>-1.425</v>
      </c>
      <c r="K766" s="5">
        <v>21.05</v>
      </c>
      <c r="L766" s="6">
        <v>0.375</v>
      </c>
      <c r="M766" s="6">
        <v>-0.0875</v>
      </c>
      <c r="N766" s="6">
        <v>0.375</v>
      </c>
      <c r="O766" s="6">
        <v>0.5</v>
      </c>
      <c r="P766" s="6">
        <v>0.25</v>
      </c>
      <c r="Q766" s="7"/>
      <c r="R766" s="7"/>
    </row>
    <row r="767" spans="1:18">
      <c r="A767" s="4" t="s">
        <v>1059</v>
      </c>
      <c r="B767" s="4">
        <f t="shared" si="11"/>
        <v>5</v>
      </c>
      <c r="C767" s="4"/>
      <c r="D767" s="1" t="str">
        <f>IFERROR(VLOOKUP(A767,[1]biopep_DB!$F$2:$J$1654,5,0),)</f>
        <v/>
      </c>
      <c r="G767" s="5">
        <v>526.67</v>
      </c>
      <c r="H767" s="5">
        <v>8.75</v>
      </c>
      <c r="I767" s="5">
        <v>0.76</v>
      </c>
      <c r="J767" s="6">
        <v>0.86</v>
      </c>
      <c r="K767" s="5">
        <v>31.44</v>
      </c>
      <c r="L767" s="6">
        <v>0.8</v>
      </c>
      <c r="M767" s="6">
        <v>-1.838</v>
      </c>
      <c r="N767" s="6">
        <v>0.6</v>
      </c>
      <c r="O767" s="6">
        <v>0.2</v>
      </c>
      <c r="P767" s="6">
        <v>0.4</v>
      </c>
      <c r="Q767" s="7"/>
      <c r="R767" s="7"/>
    </row>
    <row r="768" spans="1:18">
      <c r="A768" s="4" t="s">
        <v>1060</v>
      </c>
      <c r="B768" s="4">
        <f t="shared" si="11"/>
        <v>4</v>
      </c>
      <c r="C768" s="4"/>
      <c r="D768" s="1" t="str">
        <f>IFERROR(VLOOKUP(A768,[1]biopep_DB!$F$2:$J$1654,5,0),)</f>
        <v/>
      </c>
      <c r="E768" s="1" t="str">
        <f>IFERROR(VLOOKUP(A768,[1]biopep_DB!$F$2:$L$1654,6,0),0)</f>
        <v/>
      </c>
      <c r="F768" s="1" t="str">
        <f>IFERROR(VLOOKUP(A768,[1]biopep_DB!$F$2:$L$1654,7,0),0)</f>
        <v/>
      </c>
      <c r="G768" s="5">
        <v>533.69</v>
      </c>
      <c r="H768" s="5">
        <v>10</v>
      </c>
      <c r="I768" s="5">
        <v>1.76</v>
      </c>
      <c r="J768" s="6">
        <v>-2.35</v>
      </c>
      <c r="K768" s="5">
        <v>66.6</v>
      </c>
      <c r="L768" s="6">
        <v>0.25</v>
      </c>
      <c r="M768" s="6">
        <v>0.5425</v>
      </c>
      <c r="N768" s="6">
        <v>0.75</v>
      </c>
      <c r="O768" s="6">
        <v>0</v>
      </c>
      <c r="P768" s="6">
        <v>0</v>
      </c>
      <c r="Q768" s="7"/>
      <c r="R768" s="7"/>
    </row>
    <row r="769" spans="1:18">
      <c r="A769" s="4" t="s">
        <v>1061</v>
      </c>
      <c r="B769" s="4">
        <f t="shared" si="11"/>
        <v>2</v>
      </c>
      <c r="C769" s="4" t="s">
        <v>1062</v>
      </c>
      <c r="D769" s="1" t="str">
        <f>IFERROR(VLOOKUP(A769,[1]biopep_DB!$F$2:$J$1654,5,0),)</f>
        <v>Peptides with angiotensin I converting enzyme (ACE) inhibitory activity generated from porcine skeletal muscle proteins by the action of meat-borne Lactobacillus.</v>
      </c>
      <c r="E769" s="1" t="str">
        <f>IFERROR(VLOOKUP(A769,[1]biopep_DB!$F$2:$L$1654,6,0),0)</f>
        <v>10.1016/j.jprot.2013.06.023</v>
      </c>
      <c r="F769" s="1" t="str">
        <f>IFERROR(VLOOKUP(A769,[1]biopep_DB!$F$2:$L$1654,7,0),0)</f>
        <v>23806758</v>
      </c>
      <c r="G769" s="5">
        <v>302.37</v>
      </c>
      <c r="H769" s="5">
        <v>11</v>
      </c>
      <c r="I769" s="5">
        <v>1.76</v>
      </c>
      <c r="J769" s="6">
        <v>-4.2</v>
      </c>
      <c r="K769" s="5">
        <v>168</v>
      </c>
      <c r="L769" s="6">
        <v>0</v>
      </c>
      <c r="M769" s="6">
        <v>2.15</v>
      </c>
      <c r="N769" s="6">
        <v>0.5</v>
      </c>
      <c r="O769" s="6">
        <v>0</v>
      </c>
      <c r="P769" s="6">
        <v>0</v>
      </c>
      <c r="Q769" s="7"/>
      <c r="R769" s="7"/>
    </row>
    <row r="770" spans="1:18">
      <c r="A770" s="4" t="s">
        <v>1063</v>
      </c>
      <c r="B770" s="4">
        <f t="shared" si="11"/>
        <v>8</v>
      </c>
      <c r="C770" s="4"/>
      <c r="G770" s="5">
        <v>957.09</v>
      </c>
      <c r="H770" s="5">
        <v>11.17</v>
      </c>
      <c r="I770" s="5">
        <v>2.76</v>
      </c>
      <c r="J770" s="6">
        <v>-2.0625</v>
      </c>
      <c r="K770" s="5">
        <v>149.45</v>
      </c>
      <c r="L770" s="6">
        <v>0.25</v>
      </c>
      <c r="M770" s="6">
        <v>0.5013</v>
      </c>
      <c r="N770" s="6">
        <v>0.375</v>
      </c>
      <c r="O770" s="6">
        <v>0.375</v>
      </c>
      <c r="P770" s="6">
        <v>0.125</v>
      </c>
      <c r="Q770" s="7"/>
      <c r="R770" s="7"/>
    </row>
    <row r="771" spans="1:18">
      <c r="A771" s="4" t="s">
        <v>1064</v>
      </c>
      <c r="B771" s="4">
        <f t="shared" si="11"/>
        <v>7</v>
      </c>
      <c r="C771" s="4" t="s">
        <v>1065</v>
      </c>
      <c r="D771" s="1" t="str">
        <f>IFERROR(VLOOKUP(A771,[1]biopep_DB!$F$2:$J$1654,5,0),)</f>
        <v>Porcine skeletal muscle troponin is a good source of peptides with Angiotensin-I converting enzyme inhibitory activity and antihypertensive effects in spontaneously hypertensive rats.; Antihypertensive peptides from food proteins: a review.; Isolation and characterization of peptides with antihypertensive activity in foodstuffs.</v>
      </c>
      <c r="E771" s="1" t="str">
        <f>IFERROR(VLOOKUP(A771,[1]biopep_DB!$F$2:$L$1654,6,0),0)</f>
        <v>10.1021/jf071408j; 10.1039/c2fo10192k; 10.1080/10408398.2012.664829</v>
      </c>
      <c r="F771" s="1" t="str">
        <f>IFERROR(VLOOKUP(A771,[1]biopep_DB!$F$2:$L$1654,7,0),0)</f>
        <v>18163567 22249830 24915368</v>
      </c>
      <c r="G771" s="5">
        <v>950.09</v>
      </c>
      <c r="H771" s="5">
        <v>9.7</v>
      </c>
      <c r="I771" s="5">
        <v>1.76</v>
      </c>
      <c r="J771" s="6">
        <v>-2.3</v>
      </c>
      <c r="K771" s="5">
        <v>116.49</v>
      </c>
      <c r="L771" s="6">
        <v>0.1429</v>
      </c>
      <c r="M771" s="6">
        <v>0.5914</v>
      </c>
      <c r="N771" s="6">
        <v>0.2857</v>
      </c>
      <c r="O771" s="6">
        <v>0.1429</v>
      </c>
      <c r="P771" s="6">
        <v>0.2857</v>
      </c>
      <c r="Q771" s="7"/>
      <c r="R771" s="7"/>
    </row>
    <row r="772" spans="1:18">
      <c r="A772" s="4" t="s">
        <v>1066</v>
      </c>
      <c r="B772" s="4">
        <f t="shared" si="11"/>
        <v>6</v>
      </c>
      <c r="C772" s="4" t="s">
        <v>1067</v>
      </c>
      <c r="D772" s="1" t="str">
        <f>IFERROR(VLOOKUP(A772,[1]biopep_DB!$F$2:$J$1654,5,0),)</f>
        <v>Antihypertensive peptides from food proteins: a review.; Isolation and characterization of peptides with antihypertensive activity in foodstuffs.</v>
      </c>
      <c r="E772" s="1" t="str">
        <f>IFERROR(VLOOKUP(A772,[1]biopep_DB!$F$2:$L$1654,6,0),0)</f>
        <v>10.1039/c2fo10192k; 10.1080/10408398.2012.664829</v>
      </c>
      <c r="F772" s="1" t="str">
        <f>IFERROR(VLOOKUP(A772,[1]biopep_DB!$F$2:$L$1654,7,0),0)</f>
        <v>22249830 24915368</v>
      </c>
      <c r="G772" s="5">
        <v>805.96</v>
      </c>
      <c r="H772" s="5">
        <v>9.99</v>
      </c>
      <c r="I772" s="5">
        <v>1.76</v>
      </c>
      <c r="J772" s="6">
        <v>-0.75</v>
      </c>
      <c r="K772" s="5">
        <v>50.1</v>
      </c>
      <c r="L772" s="6">
        <v>0.3333</v>
      </c>
      <c r="M772" s="6">
        <v>-0.5267</v>
      </c>
      <c r="N772" s="6">
        <v>0.1667</v>
      </c>
      <c r="O772" s="6">
        <v>0</v>
      </c>
      <c r="P772" s="6">
        <v>0.5</v>
      </c>
      <c r="Q772" s="7"/>
      <c r="R772" s="7"/>
    </row>
    <row r="773" spans="1:18">
      <c r="A773" s="4" t="s">
        <v>1068</v>
      </c>
      <c r="B773" s="4">
        <f t="shared" si="11"/>
        <v>4</v>
      </c>
      <c r="C773" s="4" t="s">
        <v>607</v>
      </c>
      <c r="D773" s="1" t="str">
        <f>IFERROR(VLOOKUP(A773,[1]biopep_DB!$F$2:$J$1654,5,0),)</f>
        <v>Inhibition of angiotensin-converting enzyme by synthetic peptide fragments of human kappa-casein.; What are the ideal properties for functional food peptides with antihypertensive effect? A computational peptidology approach.</v>
      </c>
      <c r="E773" s="1" t="str">
        <f>IFERROR(VLOOKUP(A773,[1]biopep_DB!$F$2:$L$1654,6,0),0)</f>
        <v>10.1016/j.foodchem.2013.05.140</v>
      </c>
      <c r="F773" s="1" t="str">
        <f>IFERROR(VLOOKUP(A773,[1]biopep_DB!$F$2:$L$1654,7,0),0)</f>
        <v>1368540 23871047</v>
      </c>
      <c r="G773" s="5">
        <v>415.48</v>
      </c>
      <c r="H773" s="5">
        <v>8.75</v>
      </c>
      <c r="I773" s="5">
        <v>0.76</v>
      </c>
      <c r="J773" s="6">
        <v>-1.1</v>
      </c>
      <c r="K773" s="5">
        <v>55.65</v>
      </c>
      <c r="L773" s="6">
        <v>0.5</v>
      </c>
      <c r="M773" s="6">
        <v>0.0075</v>
      </c>
      <c r="N773" s="6">
        <v>0.5</v>
      </c>
      <c r="O773" s="6">
        <v>0.25</v>
      </c>
      <c r="P773" s="6">
        <v>0.25</v>
      </c>
      <c r="Q773" s="7"/>
      <c r="R773" s="7"/>
    </row>
    <row r="774" spans="1:18">
      <c r="A774" s="4" t="s">
        <v>1069</v>
      </c>
      <c r="B774" s="4">
        <f t="shared" ref="B774:B837" si="12">LEN(A774)</f>
        <v>6</v>
      </c>
      <c r="C774" s="4" t="s">
        <v>1070</v>
      </c>
      <c r="D774" s="1" t="str">
        <f>IFERROR(VLOOKUP(A774,[1]biopep_DB!$F$2:$J$1654,5,0),)</f>
        <v>Novel angiotensin I-converting enzyme inhibitory peptides derived from edible mushroom Agaricus bisporus (J.E. Lange) Imbach identified by LC-MS/MS.</v>
      </c>
      <c r="E774" s="1" t="str">
        <f>IFERROR(VLOOKUP(A774,[1]biopep_DB!$F$2:$L$1654,6,0),0)</f>
        <v>10.1016/j.foodchem.2013.10.053</v>
      </c>
      <c r="F774" s="1" t="str">
        <f>IFERROR(VLOOKUP(A774,[1]biopep_DB!$F$2:$L$1654,7,0),0)</f>
        <v>24262574</v>
      </c>
      <c r="G774" s="5">
        <v>598.74</v>
      </c>
      <c r="H774" s="5">
        <v>10</v>
      </c>
      <c r="I774" s="5">
        <v>1.76</v>
      </c>
      <c r="J774" s="6">
        <v>-0.6333</v>
      </c>
      <c r="K774" s="5">
        <v>-5.82</v>
      </c>
      <c r="L774" s="6">
        <v>0.5</v>
      </c>
      <c r="M774" s="6">
        <v>-0.605</v>
      </c>
      <c r="N774" s="6">
        <v>0.5</v>
      </c>
      <c r="O774" s="6">
        <v>0.3333</v>
      </c>
      <c r="P774" s="6">
        <v>0.1667</v>
      </c>
      <c r="Q774" s="7"/>
      <c r="R774" s="7"/>
    </row>
    <row r="775" spans="1:18">
      <c r="A775" s="4" t="s">
        <v>1071</v>
      </c>
      <c r="B775" s="4">
        <f t="shared" si="12"/>
        <v>10</v>
      </c>
      <c r="C775" s="4" t="s">
        <v>682</v>
      </c>
      <c r="D775" s="1" t="str">
        <f>IFERROR(VLOOKUP(A775,[1]biopep_DB!$F$2:$J$1654,5,0),)</f>
        <v/>
      </c>
      <c r="E775" s="1" t="str">
        <f>IFERROR(VLOOKUP(A775,[1]biopep_DB!$F$2:$L$1654,6,0),0)</f>
        <v/>
      </c>
      <c r="F775" s="1" t="str">
        <f>IFERROR(VLOOKUP(A775,[1]biopep_DB!$F$2:$L$1654,7,0),0)</f>
        <v/>
      </c>
      <c r="G775" s="5">
        <v>1034.3</v>
      </c>
      <c r="H775" s="5">
        <v>9.39</v>
      </c>
      <c r="I775" s="5">
        <v>2.74</v>
      </c>
      <c r="J775" s="6">
        <v>-0.34</v>
      </c>
      <c r="K775" s="5">
        <v>-24.01</v>
      </c>
      <c r="L775" s="6">
        <v>0.3</v>
      </c>
      <c r="M775" s="6">
        <v>-0.435</v>
      </c>
      <c r="N775" s="6">
        <v>0.4</v>
      </c>
      <c r="O775" s="6">
        <v>0.2</v>
      </c>
      <c r="P775" s="6">
        <v>0.2</v>
      </c>
      <c r="Q775" s="7"/>
      <c r="R775" s="7"/>
    </row>
    <row r="776" spans="1:18">
      <c r="A776" s="4" t="s">
        <v>1072</v>
      </c>
      <c r="B776" s="4">
        <f t="shared" si="12"/>
        <v>14</v>
      </c>
      <c r="C776" s="4" t="s">
        <v>559</v>
      </c>
      <c r="D776" s="1" t="str">
        <f>IFERROR(VLOOKUP(A776,[1]biopep_DB!$F$2:$J$1654,5,0),)</f>
        <v/>
      </c>
      <c r="E776" s="1" t="str">
        <f>IFERROR(VLOOKUP(A776,[1]biopep_DB!$F$2:$L$1654,6,0),0)</f>
        <v/>
      </c>
      <c r="F776" s="1" t="str">
        <f>IFERROR(VLOOKUP(A776,[1]biopep_DB!$F$2:$L$1654,7,0),0)</f>
        <v/>
      </c>
      <c r="G776" s="5">
        <v>1557.71</v>
      </c>
      <c r="H776" s="5">
        <v>8.76</v>
      </c>
      <c r="I776" s="5">
        <v>0.85</v>
      </c>
      <c r="J776" s="6">
        <v>-0.6429</v>
      </c>
      <c r="K776" s="5">
        <v>89.64</v>
      </c>
      <c r="L776" s="6">
        <v>0.3571</v>
      </c>
      <c r="M776" s="6">
        <v>-0.3086</v>
      </c>
      <c r="N776" s="6">
        <v>0.1429</v>
      </c>
      <c r="O776" s="6">
        <v>0.2857</v>
      </c>
      <c r="P776" s="6">
        <v>0.2857</v>
      </c>
      <c r="Q776" s="7"/>
      <c r="R776" s="7"/>
    </row>
    <row r="777" spans="1:18">
      <c r="A777" s="4" t="s">
        <v>1073</v>
      </c>
      <c r="B777" s="4">
        <f t="shared" si="12"/>
        <v>6</v>
      </c>
      <c r="C777" s="4" t="s">
        <v>682</v>
      </c>
      <c r="D777" s="1" t="str">
        <f>IFERROR(VLOOKUP(A777,[1]biopep_DB!$F$2:$J$1654,5,0),)</f>
        <v>A new QSAR model, for angiotensin I-converting enzyme inhibitory oligopeptides.</v>
      </c>
      <c r="E777" s="1" t="str">
        <f>IFERROR(VLOOKUP(A777,[1]biopep_DB!$F$2:$L$1654,6,0),0)</f>
        <v>10.1016/j.foodchem.2012.09.092</v>
      </c>
      <c r="F777" s="1" t="str">
        <f>IFERROR(VLOOKUP(A777,[1]biopep_DB!$F$2:$L$1654,7,0),0)</f>
        <v>23194537</v>
      </c>
      <c r="G777" s="5">
        <v>617.8</v>
      </c>
      <c r="H777" s="5">
        <v>8.75</v>
      </c>
      <c r="I777" s="5">
        <v>0.76</v>
      </c>
      <c r="J777" s="6">
        <v>1.2333</v>
      </c>
      <c r="K777" s="5">
        <v>-5.82</v>
      </c>
      <c r="L777" s="6">
        <v>0.6667</v>
      </c>
      <c r="M777" s="6">
        <v>-2.08</v>
      </c>
      <c r="N777" s="6">
        <v>0.6667</v>
      </c>
      <c r="O777" s="6">
        <v>0.1667</v>
      </c>
      <c r="P777" s="6">
        <v>0.3333</v>
      </c>
      <c r="Q777" s="7"/>
      <c r="R777" s="7"/>
    </row>
    <row r="778" spans="1:18">
      <c r="A778" s="4" t="s">
        <v>1074</v>
      </c>
      <c r="B778" s="4">
        <f t="shared" si="12"/>
        <v>6</v>
      </c>
      <c r="C778" s="4" t="s">
        <v>1075</v>
      </c>
      <c r="D778" s="1" t="str">
        <f>IFERROR(VLOOKUP(A778,[1]biopep_DB!$F$2:$J$1654,5,0),)</f>
        <v/>
      </c>
      <c r="E778" s="1" t="str">
        <f>IFERROR(VLOOKUP(A778,[1]biopep_DB!$F$2:$L$1654,6,0),0)</f>
        <v/>
      </c>
      <c r="F778" s="1" t="str">
        <f>IFERROR(VLOOKUP(A778,[1]biopep_DB!$F$2:$L$1654,7,0),0)</f>
        <v/>
      </c>
      <c r="G778" s="5">
        <v>655.87</v>
      </c>
      <c r="H778" s="5">
        <v>8.75</v>
      </c>
      <c r="I778" s="5">
        <v>0.76</v>
      </c>
      <c r="J778" s="6">
        <v>2.3667</v>
      </c>
      <c r="K778" s="5">
        <v>26.28</v>
      </c>
      <c r="L778" s="6">
        <v>0.8333</v>
      </c>
      <c r="M778" s="6">
        <v>-3.1717</v>
      </c>
      <c r="N778" s="6">
        <v>0.6667</v>
      </c>
      <c r="O778" s="6">
        <v>0</v>
      </c>
      <c r="P778" s="6">
        <v>0.6667</v>
      </c>
      <c r="Q778" s="7"/>
      <c r="R778" s="7"/>
    </row>
    <row r="779" spans="1:18">
      <c r="A779" s="4" t="s">
        <v>1076</v>
      </c>
      <c r="B779" s="4">
        <f t="shared" si="12"/>
        <v>6</v>
      </c>
      <c r="C779" s="4" t="s">
        <v>1077</v>
      </c>
      <c r="D779" s="1" t="str">
        <f>IFERROR(VLOOKUP(A779,[1]biopep_DB!$F$2:$J$1654,5,0),)</f>
        <v/>
      </c>
      <c r="E779" s="1" t="str">
        <f>IFERROR(VLOOKUP(A779,[1]biopep_DB!$F$2:$L$1654,6,0),0)</f>
        <v/>
      </c>
      <c r="F779" s="1" t="str">
        <f>IFERROR(VLOOKUP(A779,[1]biopep_DB!$F$2:$L$1654,7,0),0)</f>
        <v/>
      </c>
      <c r="G779" s="5">
        <v>665.86</v>
      </c>
      <c r="H779" s="5">
        <v>8.75</v>
      </c>
      <c r="I779" s="5">
        <v>0.76</v>
      </c>
      <c r="J779" s="6">
        <v>0.7833</v>
      </c>
      <c r="K779" s="5">
        <v>58.38</v>
      </c>
      <c r="L779" s="6">
        <v>0.8333</v>
      </c>
      <c r="M779" s="6">
        <v>-2.05</v>
      </c>
      <c r="N779" s="6">
        <v>0.5</v>
      </c>
      <c r="O779" s="6">
        <v>0.3333</v>
      </c>
      <c r="P779" s="6">
        <v>0.5</v>
      </c>
      <c r="Q779" s="7"/>
      <c r="R779" s="7"/>
    </row>
    <row r="780" spans="1:18">
      <c r="A780" s="4" t="s">
        <v>1078</v>
      </c>
      <c r="B780" s="4">
        <f t="shared" si="12"/>
        <v>6</v>
      </c>
      <c r="C780" s="4" t="s">
        <v>128</v>
      </c>
      <c r="D780" s="1" t="str">
        <f>IFERROR(VLOOKUP(A780,[1]biopep_DB!$F$2:$J$1654,5,0),)</f>
        <v>Identification of an antihypertensive peptide from casein hydrolysate produced by a proteinase from Lactobacillus helveticus CP790.; Evaluation of the allergenicity of goat milk, cow milk, and their lactosera in a guinea pig model.; Ala-Val-Phe and Val-Phe: ACE inhibitory peptides derived from insect protein with antihypertensive activity in spontaneously hypertensive rats.; Antihypertensive peptides: production, bioavailability and incorporation into foods.; Antihypertensive peptides from food proteins: a review.; A new QSAR model, for angiotensin I-converting enzyme inhibitory oligopeptides.</v>
      </c>
      <c r="E780" s="1" t="str">
        <f>IFERROR(VLOOKUP(A780,[1]biopep_DB!$F$2:$L$1654,6,0),0)</f>
        <v>10.3168/jds.S0022-0302(96)76487-1; 10.3168/jds.2008-1125; 10.1016/j.peptides.2009.05.029; 10.1016/j.cis.2010.11.001; 10.1039/c2fo10192k; 10.1016/j.foodchem.2012.09.092</v>
      </c>
      <c r="F780" s="1" t="str">
        <f>IFERROR(VLOOKUP(A780,[1]biopep_DB!$F$2:$L$1654,7,0),0)</f>
        <v>8880454 19233776 19524628 21185549 22249830 23194537</v>
      </c>
      <c r="G780" s="5">
        <v>651.84</v>
      </c>
      <c r="H780" s="5">
        <v>8.75</v>
      </c>
      <c r="I780" s="5">
        <v>0.76</v>
      </c>
      <c r="J780" s="6">
        <v>0.85</v>
      </c>
      <c r="K780" s="5">
        <v>90.48</v>
      </c>
      <c r="L780" s="6">
        <v>0.8333</v>
      </c>
      <c r="M780" s="6">
        <v>-1.9033</v>
      </c>
      <c r="N780" s="6">
        <v>0.3333</v>
      </c>
      <c r="O780" s="6">
        <v>0.3333</v>
      </c>
      <c r="P780" s="6">
        <v>0.5</v>
      </c>
      <c r="Q780" s="7"/>
      <c r="R780" s="7"/>
    </row>
    <row r="781" spans="1:18">
      <c r="A781" s="4" t="s">
        <v>1079</v>
      </c>
      <c r="B781" s="4">
        <f t="shared" si="12"/>
        <v>7</v>
      </c>
      <c r="C781" s="4" t="s">
        <v>1080</v>
      </c>
      <c r="D781" s="1" t="str">
        <f>IFERROR(VLOOKUP(A781,[1]biopep_DB!$F$2:$J$1654,5,0),)</f>
        <v/>
      </c>
      <c r="E781" s="1" t="str">
        <f>IFERROR(VLOOKUP(A781,[1]biopep_DB!$F$2:$L$1654,6,0),0)</f>
        <v/>
      </c>
      <c r="F781" s="1" t="str">
        <f>IFERROR(VLOOKUP(A781,[1]biopep_DB!$F$2:$L$1654,7,0),0)</f>
        <v/>
      </c>
      <c r="G781" s="5">
        <v>780.95</v>
      </c>
      <c r="H781" s="5">
        <v>6.22</v>
      </c>
      <c r="I781" s="5">
        <v>-0.23</v>
      </c>
      <c r="J781" s="6">
        <v>0.2286</v>
      </c>
      <c r="K781" s="5">
        <v>103.81</v>
      </c>
      <c r="L781" s="6">
        <v>0.7143</v>
      </c>
      <c r="M781" s="6">
        <v>-1.3971</v>
      </c>
      <c r="N781" s="6">
        <v>0.4286</v>
      </c>
      <c r="O781" s="6">
        <v>0.2857</v>
      </c>
      <c r="P781" s="6">
        <v>0.4286</v>
      </c>
      <c r="Q781" s="7"/>
      <c r="R781" s="7"/>
    </row>
    <row r="782" spans="1:18">
      <c r="A782" s="4" t="s">
        <v>1081</v>
      </c>
      <c r="B782" s="4">
        <f t="shared" si="12"/>
        <v>7</v>
      </c>
      <c r="C782" s="4" t="s">
        <v>1082</v>
      </c>
      <c r="D782" s="1" t="str">
        <f>IFERROR(VLOOKUP(A782,[1]biopep_DB!$F$2:$J$1654,5,0),)</f>
        <v>Identification of an antihypertensive peptide from casein hydrolysate produced by a proteinase from Lactobacillus helveticus CP790.; Identification of angiotensin-I-converting enzyme inhibitory peptides derived from sodium caseinate hydrolysates produced by Lactobacillus helveticus NCC 2765.; Evaluation of the allergenicity of goat milk, cow milk, and their lactosera in a guinea pig model.; Ala-Val-Phe and Val-Phe: ACE inhibitory peptides derived from insect protein with antihypertensive activity in spontaneously hypertensive rats.; Antihypertensive peptides: production, bioavailability and incorporation into foods.; Bioactive peptides derived from milk proteins and their health beneficial potentials: an update.; Antihypertensive peptides from food proteins: a review.; A new QSAR model, for angiotensin I-converting enzyme inhibitory oligopeptides.; VPPIPP and IPPVPP: two hexapeptides innovated to exert antihypertensive activity.</v>
      </c>
      <c r="E782" s="1" t="str">
        <f>IFERROR(VLOOKUP(A782,[1]biopep_DB!$F$2:$L$1654,6,0),0)</f>
        <v>10.3168/jds.S0022-0302(96)76487-1; 10.1021/jf049510t; 10.3168/jds.2008-1125; 10.1016/j.peptides.2009.05.029; 10.1016/j.cis.2010.11.001; 10.1039/c0fo00016g; 10.1039/c2fo10192k; 10.1016/j.foodchem.2012.09.092; 10.1371/journal.pone.0062384</v>
      </c>
      <c r="F782" s="1" t="str">
        <f>IFERROR(VLOOKUP(A782,[1]biopep_DB!$F$2:$L$1654,7,0),0)</f>
        <v>8880454 15537298 19233776 19524628 21185549 21773582 22249830 23194537 23638059</v>
      </c>
      <c r="G782" s="5">
        <v>779.97</v>
      </c>
      <c r="H782" s="5">
        <v>8.75</v>
      </c>
      <c r="I782" s="5">
        <v>0.76</v>
      </c>
      <c r="J782" s="6">
        <v>0.2286</v>
      </c>
      <c r="K782" s="5">
        <v>106.5</v>
      </c>
      <c r="L782" s="6">
        <v>0.7143</v>
      </c>
      <c r="M782" s="6">
        <v>-1.4371</v>
      </c>
      <c r="N782" s="6">
        <v>0.2857</v>
      </c>
      <c r="O782" s="6">
        <v>0.2857</v>
      </c>
      <c r="P782" s="6">
        <v>0.4286</v>
      </c>
      <c r="Q782" s="7"/>
      <c r="R782" s="7"/>
    </row>
    <row r="783" spans="1:18">
      <c r="A783" s="4" t="s">
        <v>1083</v>
      </c>
      <c r="B783" s="4">
        <f t="shared" si="12"/>
        <v>6</v>
      </c>
      <c r="C783" s="4" t="s">
        <v>1084</v>
      </c>
      <c r="G783" s="5">
        <v>682.85</v>
      </c>
      <c r="H783" s="5">
        <v>8.75</v>
      </c>
      <c r="I783" s="5">
        <v>0.76</v>
      </c>
      <c r="J783" s="6">
        <v>0.5333</v>
      </c>
      <c r="K783" s="5">
        <v>58.38</v>
      </c>
      <c r="L783" s="6">
        <v>0.6667</v>
      </c>
      <c r="M783" s="6">
        <v>-1.6767</v>
      </c>
      <c r="N783" s="6">
        <v>0.3333</v>
      </c>
      <c r="O783" s="6">
        <v>0.1667</v>
      </c>
      <c r="P783" s="6">
        <v>0.5</v>
      </c>
      <c r="Q783" s="7"/>
      <c r="R783" s="7"/>
    </row>
    <row r="784" spans="1:18">
      <c r="A784" s="4" t="s">
        <v>1085</v>
      </c>
      <c r="B784" s="4">
        <f t="shared" si="12"/>
        <v>6</v>
      </c>
      <c r="C784" s="4" t="s">
        <v>1086</v>
      </c>
      <c r="D784" s="1" t="str">
        <f>IFERROR(VLOOKUP(A784,[1]biopep_DB!$F$2:$J$1654,5,0),)</f>
        <v/>
      </c>
      <c r="E784" s="1" t="str">
        <f>IFERROR(VLOOKUP(A784,[1]biopep_DB!$F$2:$L$1654,6,0),0)</f>
        <v/>
      </c>
      <c r="F784" s="1" t="str">
        <f>IFERROR(VLOOKUP(A784,[1]biopep_DB!$F$2:$L$1654,7,0),0)</f>
        <v/>
      </c>
      <c r="G784" s="5">
        <v>822.91</v>
      </c>
      <c r="H784" s="5">
        <v>6.14</v>
      </c>
      <c r="I784" s="5">
        <v>-0.24</v>
      </c>
      <c r="J784" s="6">
        <v>-2.0833</v>
      </c>
      <c r="K784" s="5">
        <v>48.52</v>
      </c>
      <c r="L784" s="6">
        <v>0.1667</v>
      </c>
      <c r="M784" s="6">
        <v>0.6133</v>
      </c>
      <c r="N784" s="6">
        <v>0.5</v>
      </c>
      <c r="O784" s="6">
        <v>0</v>
      </c>
      <c r="P784" s="6">
        <v>0.3333</v>
      </c>
      <c r="Q784" s="7"/>
      <c r="R784" s="7"/>
    </row>
    <row r="785" spans="1:18">
      <c r="A785" s="4" t="s">
        <v>1087</v>
      </c>
      <c r="B785" s="4">
        <f t="shared" si="12"/>
        <v>7</v>
      </c>
      <c r="C785" s="4"/>
      <c r="D785" s="1" t="str">
        <f>IFERROR(VLOOKUP(A785,[1]biopep_DB!$F$2:$J$1654,5,0),)</f>
        <v/>
      </c>
      <c r="E785" s="1" t="str">
        <f>IFERROR(VLOOKUP(A785,[1]biopep_DB!$F$2:$L$1654,6,0),0)</f>
        <v/>
      </c>
      <c r="F785" s="1" t="str">
        <f>IFERROR(VLOOKUP(A785,[1]biopep_DB!$F$2:$L$1654,7,0),0)</f>
        <v/>
      </c>
      <c r="G785" s="5">
        <v>807.89</v>
      </c>
      <c r="H785" s="5">
        <v>8.59</v>
      </c>
      <c r="I785" s="5">
        <v>0.76</v>
      </c>
      <c r="J785" s="6">
        <v>-1.4</v>
      </c>
      <c r="K785" s="5">
        <v>1.94</v>
      </c>
      <c r="L785" s="6">
        <v>0.1429</v>
      </c>
      <c r="M785" s="6">
        <v>0.0229</v>
      </c>
      <c r="N785" s="6">
        <v>0.2857</v>
      </c>
      <c r="O785" s="6">
        <v>0.2857</v>
      </c>
      <c r="P785" s="6">
        <v>0.2857</v>
      </c>
      <c r="Q785" s="7"/>
      <c r="R785" s="7"/>
    </row>
    <row r="786" spans="1:18">
      <c r="A786" s="4" t="s">
        <v>1088</v>
      </c>
      <c r="B786" s="4">
        <f t="shared" si="12"/>
        <v>6</v>
      </c>
      <c r="C786" s="4" t="s">
        <v>1086</v>
      </c>
      <c r="D786" s="1" t="str">
        <f>IFERROR(VLOOKUP(A786,[1]biopep_DB!$F$2:$J$1654,5,0),)</f>
        <v>A new QSAR model, for angiotensin I-converting enzyme inhibitory oligopeptides.</v>
      </c>
      <c r="E786" s="1" t="str">
        <f>IFERROR(VLOOKUP(A786,[1]biopep_DB!$F$2:$L$1654,6,0),0)</f>
        <v>10.1016/j.foodchem.2012.09.092</v>
      </c>
      <c r="F786" s="1" t="str">
        <f>IFERROR(VLOOKUP(A786,[1]biopep_DB!$F$2:$L$1654,7,0),0)</f>
        <v>23194537</v>
      </c>
      <c r="G786" s="5">
        <v>688.77</v>
      </c>
      <c r="H786" s="5">
        <v>8.75</v>
      </c>
      <c r="I786" s="5">
        <v>0.76</v>
      </c>
      <c r="J786" s="6">
        <v>-1.4667</v>
      </c>
      <c r="K786" s="5">
        <v>-19.97</v>
      </c>
      <c r="L786" s="6">
        <v>0.1667</v>
      </c>
      <c r="M786" s="6">
        <v>0.2033</v>
      </c>
      <c r="N786" s="6">
        <v>0.3333</v>
      </c>
      <c r="O786" s="6">
        <v>0.1667</v>
      </c>
      <c r="P786" s="6">
        <v>0.3333</v>
      </c>
      <c r="Q786" s="7"/>
      <c r="R786" s="7"/>
    </row>
    <row r="787" spans="1:18">
      <c r="A787" s="4" t="s">
        <v>1089</v>
      </c>
      <c r="B787" s="4">
        <f t="shared" si="12"/>
        <v>8</v>
      </c>
      <c r="C787" s="4" t="s">
        <v>1090</v>
      </c>
      <c r="D787" s="1" t="str">
        <f>IFERROR(VLOOKUP(A787,[1]biopep_DB!$F$2:$J$1654,5,0),)</f>
        <v>Glutamine pretreatment reduces IL-8 production in human intestinal epithelial cells by limiting IkappaBalpha ubiquitination.; A new QSAR model, for angiotensin I-converting enzyme inhibitory oligopeptides.; Isolation and characterization of peptides with antihypertensive activity in foodstuffs.</v>
      </c>
      <c r="E787" s="1" t="str">
        <f>IFERROR(VLOOKUP(A787,[1]biopep_DB!$F$2:$L$1654,6,0),0)</f>
        <v>10.1093/jn/136.6.1461; 10.1016/j.foodchem.2012.09.092; 10.1080/10408398.2012.664829</v>
      </c>
      <c r="F787" s="1" t="str">
        <f>IFERROR(VLOOKUP(A787,[1]biopep_DB!$F$2:$L$1654,7,0),0)</f>
        <v>16702304 23194537 24915368</v>
      </c>
      <c r="G787" s="5">
        <v>953.05</v>
      </c>
      <c r="H787" s="5">
        <v>8.59</v>
      </c>
      <c r="I787" s="5">
        <v>0.76</v>
      </c>
      <c r="J787" s="6">
        <v>-1.35</v>
      </c>
      <c r="K787" s="5">
        <v>-12.48</v>
      </c>
      <c r="L787" s="6">
        <v>0.125</v>
      </c>
      <c r="M787" s="6">
        <v>0.2025</v>
      </c>
      <c r="N787" s="6">
        <v>0.25</v>
      </c>
      <c r="O787" s="6">
        <v>0.125</v>
      </c>
      <c r="P787" s="6">
        <v>0.5</v>
      </c>
      <c r="Q787" s="7"/>
      <c r="R787" s="7"/>
    </row>
    <row r="788" spans="1:18">
      <c r="A788" s="4" t="s">
        <v>1091</v>
      </c>
      <c r="B788" s="4">
        <f t="shared" si="12"/>
        <v>19</v>
      </c>
      <c r="C788" s="4"/>
      <c r="D788" s="1" t="str">
        <f>IFERROR(VLOOKUP(A788,[1]biopep_DB!$F$2:$J$1654,5,0),)</f>
        <v/>
      </c>
      <c r="E788" s="1" t="str">
        <f>IFERROR(VLOOKUP(A788,[1]biopep_DB!$F$2:$L$1654,6,0),0)</f>
        <v/>
      </c>
      <c r="F788" s="1" t="str">
        <f>IFERROR(VLOOKUP(A788,[1]biopep_DB!$F$2:$L$1654,7,0),0)</f>
        <v/>
      </c>
      <c r="G788" s="5">
        <v>2075.41</v>
      </c>
      <c r="H788" s="5">
        <v>8.59</v>
      </c>
      <c r="I788" s="5">
        <v>0.76</v>
      </c>
      <c r="J788" s="6">
        <v>-0.4368</v>
      </c>
      <c r="K788" s="5">
        <v>78.31</v>
      </c>
      <c r="L788" s="6">
        <v>0.6316</v>
      </c>
      <c r="M788" s="6">
        <v>-0.8189</v>
      </c>
      <c r="N788" s="6">
        <v>0.1053</v>
      </c>
      <c r="O788" s="6">
        <v>0.5789</v>
      </c>
      <c r="P788" s="6">
        <v>0.3158</v>
      </c>
      <c r="Q788" s="7"/>
      <c r="R788" s="7"/>
    </row>
    <row r="789" spans="1:18">
      <c r="A789" s="4" t="s">
        <v>1092</v>
      </c>
      <c r="B789" s="4">
        <f t="shared" si="12"/>
        <v>2</v>
      </c>
      <c r="C789" s="4" t="s">
        <v>36</v>
      </c>
      <c r="D789" s="1" t="str">
        <f>IFERROR(VLOOKUP(A789,[1]biopep_DB!$F$2:$J$1654,5,0),)</f>
        <v>Angiotensin I-converting enzyme inhibitory peptides in an alkaline protease hydrolyzate derived from sardine muscle.; Antihypertensive effects of Undaria pinnatifida (wakame) peptide on blood pressure in spontaneously hypertensive rats.; Structural requirements of Angiotensin I-converting enzyme inhibitory peptides: quantitative structure-activity relationship study of di- and tripeptides.; Inhibition strength of short peptides derived from an ACE inhibitory peptide.; Peptides with angiotensin I converting enzyme (ACE) inhibitory activity generated from porcine skeletal muscle proteins by the action of meat-borne Lactobacillus.; Isolation and characterization of peptides with antihypertensive activity in foodstuffs.</v>
      </c>
      <c r="E789" s="1" t="str">
        <f>IFERROR(VLOOKUP(A789,[1]biopep_DB!$F$2:$L$1654,6,0),0)</f>
        <v>10.1271/bbb.58.2244; 10.1016/j.jnutbio.2003.11.004; 10.1021/jf051263l; 10.1021/jf202902r; 10.1016/j.jprot.2013.06.023; 10.1080/10408398.2012.664829</v>
      </c>
      <c r="F789" s="1" t="str">
        <f>IFERROR(VLOOKUP(A789,[1]biopep_DB!$F$2:$L$1654,7,0),0)</f>
        <v>7765718 15135150 16448176 21923188 23806758 24915368</v>
      </c>
      <c r="G789" s="5">
        <v>332.4</v>
      </c>
      <c r="H789" s="5">
        <v>8.75</v>
      </c>
      <c r="I789" s="5">
        <v>0.76</v>
      </c>
      <c r="J789" s="6">
        <v>-2.4</v>
      </c>
      <c r="K789" s="5">
        <v>5</v>
      </c>
      <c r="L789" s="6">
        <v>0.5</v>
      </c>
      <c r="M789" s="6">
        <v>-0.375</v>
      </c>
      <c r="N789" s="6">
        <v>0.5</v>
      </c>
      <c r="O789" s="6">
        <v>0</v>
      </c>
      <c r="P789" s="6">
        <v>0.5</v>
      </c>
      <c r="Q789" s="7"/>
      <c r="R789" s="7"/>
    </row>
    <row r="790" spans="1:18">
      <c r="A790" s="4" t="s">
        <v>1093</v>
      </c>
      <c r="B790" s="4">
        <f t="shared" si="12"/>
        <v>3</v>
      </c>
      <c r="C790" s="4" t="s">
        <v>1094</v>
      </c>
      <c r="D790" s="1" t="str">
        <f>IFERROR(VLOOKUP(A790,[1]biopep_DB!$F$2:$J$1654,5,0),)</f>
        <v>Inhibition strength of short peptides derived from an ACE inhibitory peptide.</v>
      </c>
      <c r="E790" s="1" t="str">
        <f>IFERROR(VLOOKUP(A790,[1]biopep_DB!$F$2:$L$1654,6,0),0)</f>
        <v>10.1021/jf202902r</v>
      </c>
      <c r="F790" s="1" t="str">
        <f>IFERROR(VLOOKUP(A790,[1]biopep_DB!$F$2:$L$1654,7,0),0)</f>
        <v>21923188</v>
      </c>
      <c r="G790" s="5">
        <v>445.56</v>
      </c>
      <c r="H790" s="5">
        <v>8.75</v>
      </c>
      <c r="I790" s="5">
        <v>0.76</v>
      </c>
      <c r="J790" s="6">
        <v>-0.3333</v>
      </c>
      <c r="K790" s="5">
        <v>47.8</v>
      </c>
      <c r="L790" s="6">
        <v>0.6667</v>
      </c>
      <c r="M790" s="6">
        <v>-1.89</v>
      </c>
      <c r="N790" s="6">
        <v>0.6667</v>
      </c>
      <c r="O790" s="6">
        <v>0</v>
      </c>
      <c r="P790" s="6">
        <v>0.6667</v>
      </c>
      <c r="Q790" s="7"/>
      <c r="R790" s="7"/>
    </row>
    <row r="791" spans="1:18">
      <c r="A791" s="4" t="s">
        <v>1095</v>
      </c>
      <c r="B791" s="4">
        <f t="shared" si="12"/>
        <v>4</v>
      </c>
      <c r="C791" s="4" t="s">
        <v>1096</v>
      </c>
      <c r="D791" s="1" t="str">
        <f>IFERROR(VLOOKUP(A791,[1]biopep_DB!$F$2:$J$1654,5,0),)</f>
        <v>Inhibition strength of short peptides derived from an ACE inhibitory peptide.</v>
      </c>
      <c r="E791" s="1" t="str">
        <f>IFERROR(VLOOKUP(A791,[1]biopep_DB!$F$2:$L$1654,6,0),0)</f>
        <v>10.1021/jf202902r</v>
      </c>
      <c r="F791" s="1" t="str">
        <f>IFERROR(VLOOKUP(A791,[1]biopep_DB!$F$2:$L$1654,7,0),0)</f>
        <v>21923188</v>
      </c>
      <c r="G791" s="5">
        <v>542.67</v>
      </c>
      <c r="H791" s="5">
        <v>8.75</v>
      </c>
      <c r="I791" s="5">
        <v>0.76</v>
      </c>
      <c r="J791" s="6">
        <v>-0.65</v>
      </c>
      <c r="K791" s="5">
        <v>86.5</v>
      </c>
      <c r="L791" s="6">
        <v>0.75</v>
      </c>
      <c r="M791" s="6">
        <v>-1.4175</v>
      </c>
      <c r="N791" s="6">
        <v>0.5</v>
      </c>
      <c r="O791" s="6">
        <v>0.25</v>
      </c>
      <c r="P791" s="6">
        <v>0.5</v>
      </c>
      <c r="Q791" s="7"/>
      <c r="R791" s="7"/>
    </row>
    <row r="792" spans="1:18">
      <c r="A792" s="4" t="s">
        <v>1097</v>
      </c>
      <c r="B792" s="4">
        <f t="shared" si="12"/>
        <v>2</v>
      </c>
      <c r="C792" s="4" t="s">
        <v>36</v>
      </c>
      <c r="D792" s="1" t="str">
        <f>IFERROR(VLOOKUP(A792,[1]biopep_DB!$F$2:$J$1654,5,0),)</f>
        <v>Antihypertensive effects of Undaria pinnatifida (wakame) peptide on blood pressure in spontaneously hypertensive rats.; Structural requirements of Angiotensin I-converting enzyme inhibitory peptides: quantitative structure-activity relationship study of di- and tripeptides.; Antihypertensive peptides from food proteins: a review.; Review on the angiotensin-I-converting enzyme (ACE) inhibitor peptides from marine proteins.;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
      <c r="E792" s="1" t="str">
        <f>IFERROR(VLOOKUP(A792,[1]biopep_DB!$F$2:$L$1654,6,0),0)</f>
        <v>10.1016/j.jnutbio.2003.11.004; 10.1021/jf051263l; 10.1039/c2fo10192k; 10.1007/s12010-012-0024-y; 10.1016/j.talanta.2012.12.041; 10.1016/j.jprot.2013.06.023; 10.1016/j.foodchem.2013.05.140; 10.1080/10408398.2012.664829</v>
      </c>
      <c r="F792" s="1" t="str">
        <f>IFERROR(VLOOKUP(A792,[1]biopep_DB!$F$2:$L$1654,7,0),0)</f>
        <v>15135150 16448176 22249830 23271625 23598136 23806758 23871047 24915368</v>
      </c>
      <c r="G792" s="5">
        <v>309.36</v>
      </c>
      <c r="H792" s="5">
        <v>8.59</v>
      </c>
      <c r="I792" s="5">
        <v>0.76</v>
      </c>
      <c r="J792" s="6">
        <v>-2.6</v>
      </c>
      <c r="K792" s="5">
        <v>5</v>
      </c>
      <c r="L792" s="6">
        <v>0</v>
      </c>
      <c r="M792" s="6">
        <v>0.86</v>
      </c>
      <c r="N792" s="6">
        <v>0.5</v>
      </c>
      <c r="O792" s="6">
        <v>0</v>
      </c>
      <c r="P792" s="6">
        <v>0.5</v>
      </c>
      <c r="Q792" s="7"/>
      <c r="R792" s="7"/>
    </row>
    <row r="793" spans="1:18">
      <c r="A793" s="4" t="s">
        <v>1098</v>
      </c>
      <c r="B793" s="4">
        <f t="shared" si="12"/>
        <v>3</v>
      </c>
      <c r="C793" s="4"/>
      <c r="D793" s="1" t="str">
        <f>IFERROR(VLOOKUP(A793,[1]biopep_DB!$F$2:$J$1654,5,0),)</f>
        <v/>
      </c>
      <c r="E793" s="1" t="str">
        <f>IFERROR(VLOOKUP(A793,[1]biopep_DB!$F$2:$L$1654,6,0),0)</f>
        <v/>
      </c>
      <c r="F793" s="1" t="str">
        <f>IFERROR(VLOOKUP(A793,[1]biopep_DB!$F$2:$L$1654,7,0),0)</f>
        <v/>
      </c>
      <c r="G793" s="5">
        <v>406.48</v>
      </c>
      <c r="H793" s="5">
        <v>8.59</v>
      </c>
      <c r="I793" s="5">
        <v>0.76</v>
      </c>
      <c r="J793" s="6">
        <v>-2.2667</v>
      </c>
      <c r="K793" s="5">
        <v>47.8</v>
      </c>
      <c r="L793" s="6">
        <v>0.3333</v>
      </c>
      <c r="M793" s="6">
        <v>0.5733</v>
      </c>
      <c r="N793" s="6">
        <v>0.3333</v>
      </c>
      <c r="O793" s="6">
        <v>0.3333</v>
      </c>
      <c r="P793" s="6">
        <v>0.3333</v>
      </c>
      <c r="Q793" s="7"/>
      <c r="R793" s="7"/>
    </row>
    <row r="794" spans="1:18">
      <c r="A794" s="4" t="s">
        <v>1099</v>
      </c>
      <c r="B794" s="4">
        <f t="shared" si="12"/>
        <v>15</v>
      </c>
      <c r="C794" s="4" t="s">
        <v>1100</v>
      </c>
      <c r="D794" s="1" t="str">
        <f>IFERROR(VLOOKUP(A794,[1]biopep_DB!$F$2:$J$1654,5,0),)</f>
        <v>Antihypertensive effect of the peptides derived from casein by an extracellular proteinase from Lactobacillus helveticus CP790.</v>
      </c>
      <c r="E794" s="1" t="str">
        <f>IFERROR(VLOOKUP(A794,[1]biopep_DB!$F$2:$L$1654,6,0),0)</f>
        <v>10.3168/jds.S0022-0302(94)77026-0</v>
      </c>
      <c r="F794" s="1" t="str">
        <f>IFERROR(VLOOKUP(A794,[1]biopep_DB!$F$2:$L$1654,7,0),0)</f>
        <v>8201050</v>
      </c>
      <c r="G794" s="5">
        <v>1738.93</v>
      </c>
      <c r="H794" s="5">
        <v>4.53</v>
      </c>
      <c r="I794" s="5">
        <v>-1.24</v>
      </c>
      <c r="J794" s="6">
        <v>-0.4867</v>
      </c>
      <c r="K794" s="5">
        <v>123.89</v>
      </c>
      <c r="L794" s="6">
        <v>0.4</v>
      </c>
      <c r="M794" s="6">
        <v>-0.5533</v>
      </c>
      <c r="N794" s="6">
        <v>0.3333</v>
      </c>
      <c r="O794" s="6">
        <v>0.2667</v>
      </c>
      <c r="P794" s="6">
        <v>0.4667</v>
      </c>
      <c r="Q794" s="7"/>
      <c r="R794" s="7"/>
    </row>
    <row r="795" spans="1:18">
      <c r="A795" s="4" t="s">
        <v>1101</v>
      </c>
      <c r="B795" s="4">
        <f t="shared" si="12"/>
        <v>23</v>
      </c>
      <c r="C795" s="4"/>
      <c r="D795" s="1" t="str">
        <f>IFERROR(VLOOKUP(A795,[1]biopep_DB!$F$2:$J$1654,5,0),)</f>
        <v>Identification of angiotensin-I-converting enzyme inhibitory peptides derived from sodium caseinate hydrolysates produced by Lactobacillus helveticus NCC 2765.</v>
      </c>
      <c r="E795" s="1" t="str">
        <f>IFERROR(VLOOKUP(A795,[1]biopep_DB!$F$2:$L$1654,6,0),0)</f>
        <v>10.1021/jf049510t</v>
      </c>
      <c r="F795" s="1" t="str">
        <f>IFERROR(VLOOKUP(A795,[1]biopep_DB!$F$2:$L$1654,7,0),0)</f>
        <v>15537298</v>
      </c>
      <c r="G795" s="5">
        <v>2660.92</v>
      </c>
      <c r="H795" s="5">
        <v>4.4</v>
      </c>
      <c r="I795" s="5">
        <v>-3.15</v>
      </c>
      <c r="J795" s="6">
        <v>-0.4304</v>
      </c>
      <c r="K795" s="5">
        <v>84.28</v>
      </c>
      <c r="L795" s="6">
        <v>0.3913</v>
      </c>
      <c r="M795" s="6">
        <v>-0.6952</v>
      </c>
      <c r="N795" s="6">
        <v>0.3478</v>
      </c>
      <c r="O795" s="6">
        <v>0.2609</v>
      </c>
      <c r="P795" s="6">
        <v>0.4783</v>
      </c>
      <c r="Q795" s="7"/>
      <c r="R795" s="7"/>
    </row>
    <row r="796" spans="1:18">
      <c r="A796" s="4" t="s">
        <v>1102</v>
      </c>
      <c r="B796" s="4">
        <f t="shared" si="12"/>
        <v>15</v>
      </c>
      <c r="C796" s="4" t="s">
        <v>1103</v>
      </c>
      <c r="D796" s="1" t="str">
        <f>IFERROR(VLOOKUP(A796,[1]biopep_DB!$F$2:$J$1654,5,0),)</f>
        <v>A new QSAR model, for angiotensin I-converting enzyme inhibitory oligopeptides.</v>
      </c>
      <c r="E796" s="1" t="str">
        <f>IFERROR(VLOOKUP(A796,[1]biopep_DB!$F$2:$L$1654,6,0),0)</f>
        <v>10.1016/j.foodchem.2012.09.092</v>
      </c>
      <c r="F796" s="1" t="str">
        <f>IFERROR(VLOOKUP(A796,[1]biopep_DB!$F$2:$L$1654,7,0),0)</f>
        <v>23194537</v>
      </c>
      <c r="G796" s="5">
        <v>1737.95</v>
      </c>
      <c r="H796" s="5">
        <v>6</v>
      </c>
      <c r="I796" s="5">
        <v>-0.24</v>
      </c>
      <c r="J796" s="6">
        <v>-0.4867</v>
      </c>
      <c r="K796" s="5">
        <v>123.89</v>
      </c>
      <c r="L796" s="6">
        <v>0.4</v>
      </c>
      <c r="M796" s="6">
        <v>-0.572</v>
      </c>
      <c r="N796" s="6">
        <v>0.2667</v>
      </c>
      <c r="O796" s="6">
        <v>0.2667</v>
      </c>
      <c r="P796" s="6">
        <v>0.4667</v>
      </c>
      <c r="Q796" s="7"/>
      <c r="R796" s="7"/>
    </row>
    <row r="797" spans="1:18">
      <c r="A797" s="4" t="s">
        <v>1104</v>
      </c>
      <c r="B797" s="4">
        <f t="shared" si="12"/>
        <v>3</v>
      </c>
      <c r="C797" s="4" t="s">
        <v>1105</v>
      </c>
      <c r="D797" s="1" t="str">
        <f>IFERROR(VLOOKUP(A797,[1]biopep_DB!$F$2:$J$1654,5,0),)</f>
        <v/>
      </c>
      <c r="E797" s="1" t="str">
        <f>IFERROR(VLOOKUP(A797,[1]biopep_DB!$F$2:$L$1654,6,0),0)</f>
        <v/>
      </c>
      <c r="F797" s="1" t="str">
        <f>IFERROR(VLOOKUP(A797,[1]biopep_DB!$F$2:$L$1654,7,0),0)</f>
        <v/>
      </c>
      <c r="G797" s="5">
        <v>472.53</v>
      </c>
      <c r="H797" s="5">
        <v>8.5</v>
      </c>
      <c r="I797" s="5">
        <v>0.76</v>
      </c>
      <c r="J797" s="6">
        <v>-2.1667</v>
      </c>
      <c r="K797" s="5">
        <v>47.8</v>
      </c>
      <c r="L797" s="6">
        <v>0</v>
      </c>
      <c r="M797" s="6">
        <v>0.62</v>
      </c>
      <c r="N797" s="6">
        <v>0.3333</v>
      </c>
      <c r="O797" s="6">
        <v>0</v>
      </c>
      <c r="P797" s="6">
        <v>0.6667</v>
      </c>
      <c r="Q797" s="7"/>
      <c r="R797" s="7"/>
    </row>
    <row r="798" spans="1:18">
      <c r="A798" s="4" t="s">
        <v>1106</v>
      </c>
      <c r="B798" s="4">
        <f t="shared" si="12"/>
        <v>2</v>
      </c>
      <c r="C798" s="4" t="s">
        <v>1107</v>
      </c>
      <c r="D798" s="1" t="str">
        <f>IFERROR(VLOOKUP(A798,[1]biopep_DB!$F$2:$J$1654,5,0),)</f>
        <v>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What are the ideal properties for functional food peptides with antihypertensive effect? A computational peptidology approach.</v>
      </c>
      <c r="E798" s="1" t="str">
        <f>IFERROR(VLOOKUP(A798,[1]biopep_DB!$F$2:$L$1654,6,0),0)</f>
        <v>10.1002/psc.892; 10.1007/s00894-010-0862-x; 10.1016/j.foodchem.2013.05.140</v>
      </c>
      <c r="F798" s="1" t="str">
        <f>IFERROR(VLOOKUP(A798,[1]biopep_DB!$F$2:$L$1654,7,0),0)</f>
        <v>17654623 20941517 23871047</v>
      </c>
      <c r="G798" s="5">
        <v>202.25</v>
      </c>
      <c r="H798" s="5">
        <v>5.53</v>
      </c>
      <c r="I798" s="5">
        <v>-0.24</v>
      </c>
      <c r="J798" s="6">
        <v>2.8</v>
      </c>
      <c r="K798" s="5">
        <v>5</v>
      </c>
      <c r="L798" s="6">
        <v>1</v>
      </c>
      <c r="M798" s="6">
        <v>-3.365</v>
      </c>
      <c r="N798" s="6">
        <v>1</v>
      </c>
      <c r="O798" s="6">
        <v>0</v>
      </c>
      <c r="P798" s="6">
        <v>0.5</v>
      </c>
      <c r="Q798" s="7"/>
      <c r="R798" s="7"/>
    </row>
    <row r="799" spans="1:18">
      <c r="A799" s="4" t="s">
        <v>1108</v>
      </c>
      <c r="B799" s="4">
        <f t="shared" si="12"/>
        <v>3</v>
      </c>
      <c r="C799" s="4" t="s">
        <v>36</v>
      </c>
      <c r="D799" s="1" t="str">
        <f>IFERROR(VLOOKUP(A799,[1]biopep_DB!$F$2:$J$1654,5,0),)</f>
        <v>Structures and activity of angiotensin-converting enzyme inhibitors in an alpha-zein hydrolysate.; Structural requirements of Angiotensin I-converting enzyme inhibitory peptides: quantitative structure-activity relationship study of di- and tripeptides.; Bioactive peptides in amaranth (Amaranthus hypochondriacus) seed.; Cellular membrane disruption by amyloid fibrils involved intermolecular disulfide cross-linking.; What are the ideal properties for functional food peptides with antihypertensive effect? A computational peptidology approach.</v>
      </c>
      <c r="E799" s="1" t="str">
        <f>IFERROR(VLOOKUP(A799,[1]biopep_DB!$F$2:$L$1654,6,0),0)</f>
        <v>10.1021/jf051263l; 10.1021/jf072911z; 10.1021/bi900219c; 10.1016/j.foodchem.2013.05.140</v>
      </c>
      <c r="F799" s="1" t="str">
        <f>IFERROR(VLOOKUP(A799,[1]biopep_DB!$F$2:$L$1654,7,0),0)</f>
        <v>1368684 16448176 18211015 19449893 23871047</v>
      </c>
      <c r="G799" s="5">
        <v>273.33</v>
      </c>
      <c r="H799" s="5">
        <v>5.53</v>
      </c>
      <c r="I799" s="5">
        <v>-0.24</v>
      </c>
      <c r="J799" s="6">
        <v>2.4667</v>
      </c>
      <c r="K799" s="5">
        <v>6.67</v>
      </c>
      <c r="L799" s="6">
        <v>1</v>
      </c>
      <c r="M799" s="6">
        <v>-2.8467</v>
      </c>
      <c r="N799" s="6">
        <v>1</v>
      </c>
      <c r="O799" s="6">
        <v>0</v>
      </c>
      <c r="P799" s="6">
        <v>0.3333</v>
      </c>
      <c r="Q799" s="7"/>
      <c r="R799" s="7"/>
    </row>
    <row r="800" spans="1:18">
      <c r="A800" s="4" t="s">
        <v>1109</v>
      </c>
      <c r="B800" s="4">
        <f t="shared" si="12"/>
        <v>6</v>
      </c>
      <c r="C800" s="4" t="s">
        <v>1110</v>
      </c>
      <c r="D800" s="1" t="str">
        <f>IFERROR(VLOOKUP(A800,[1]biopep_DB!$F$2:$J$1654,5,0),)</f>
        <v>Use of beta-cyclodextrin to decrease the level of cholesterol in milk fat.; A new QSAR model, for angiotensin I-converting enzyme inhibitory oligopeptides.</v>
      </c>
      <c r="E800" s="1" t="str">
        <f>IFERROR(VLOOKUP(A800,[1]biopep_DB!$F$2:$L$1654,6,0),0)</f>
        <v>10.3168/jds.2008-1452; 10.1016/j.foodchem.2012.09.092</v>
      </c>
      <c r="F800" s="1" t="str">
        <f>IFERROR(VLOOKUP(A800,[1]biopep_DB!$F$2:$L$1654,7,0),0)</f>
        <v>19233779 23194537</v>
      </c>
      <c r="G800" s="5">
        <v>651.8</v>
      </c>
      <c r="H800" s="5">
        <v>8.76</v>
      </c>
      <c r="I800" s="5">
        <v>0.85</v>
      </c>
      <c r="J800" s="6">
        <v>0.6833</v>
      </c>
      <c r="K800" s="5">
        <v>33.65</v>
      </c>
      <c r="L800" s="6">
        <v>0.6667</v>
      </c>
      <c r="M800" s="6">
        <v>-1.815</v>
      </c>
      <c r="N800" s="6">
        <v>0.8333</v>
      </c>
      <c r="O800" s="6">
        <v>0</v>
      </c>
      <c r="P800" s="6">
        <v>0.3333</v>
      </c>
      <c r="Q800" s="7"/>
      <c r="R800" s="7"/>
    </row>
    <row r="801" spans="1:18">
      <c r="A801" s="4" t="s">
        <v>1111</v>
      </c>
      <c r="B801" s="4">
        <f t="shared" si="12"/>
        <v>8</v>
      </c>
      <c r="C801" s="4" t="s">
        <v>1112</v>
      </c>
      <c r="D801" s="1" t="str">
        <f>IFERROR(VLOOKUP(A801,[1]biopep_DB!$F$2:$J$1654,5,0),)</f>
        <v/>
      </c>
      <c r="E801" s="1" t="str">
        <f>IFERROR(VLOOKUP(A801,[1]biopep_DB!$F$2:$L$1654,6,0),0)</f>
        <v/>
      </c>
      <c r="F801" s="1" t="str">
        <f>IFERROR(VLOOKUP(A801,[1]biopep_DB!$F$2:$L$1654,7,0),0)</f>
        <v/>
      </c>
      <c r="G801" s="5">
        <v>851.04</v>
      </c>
      <c r="H801" s="5">
        <v>8.75</v>
      </c>
      <c r="I801" s="5">
        <v>0.76</v>
      </c>
      <c r="J801" s="6">
        <v>0.4625</v>
      </c>
      <c r="K801" s="5">
        <v>49.4</v>
      </c>
      <c r="L801" s="6">
        <v>0.75</v>
      </c>
      <c r="M801" s="6">
        <v>-1.5613</v>
      </c>
      <c r="N801" s="6">
        <v>0.375</v>
      </c>
      <c r="O801" s="6">
        <v>0.375</v>
      </c>
      <c r="P801" s="6">
        <v>0.375</v>
      </c>
      <c r="Q801" s="7"/>
      <c r="R801" s="7"/>
    </row>
    <row r="802" spans="1:18">
      <c r="A802" s="4" t="s">
        <v>1113</v>
      </c>
      <c r="B802" s="4">
        <f t="shared" si="12"/>
        <v>5</v>
      </c>
      <c r="C802" s="4" t="s">
        <v>25</v>
      </c>
      <c r="D802" s="1" t="str">
        <f>IFERROR(VLOOKUP(A802,[1]biopep_DB!$F$2:$J$1654,5,0),)</f>
        <v>Inhibition of angiotensin-converting enzyme by synthetic peptide fragments of various beta-caseins.; A new QSAR model, for angiotensin I-converting enzyme inhibitory oligopeptides.</v>
      </c>
      <c r="E802" s="1" t="str">
        <f>IFERROR(VLOOKUP(A802,[1]biopep_DB!$F$2:$L$1654,6,0),0)</f>
        <v>10.1016/j.foodchem.2012.09.092</v>
      </c>
      <c r="F802" s="1" t="str">
        <f>IFERROR(VLOOKUP(A802,[1]biopep_DB!$F$2:$L$1654,7,0),0)</f>
        <v>1368548 23194537</v>
      </c>
      <c r="G802" s="5">
        <v>509.64</v>
      </c>
      <c r="H802" s="5">
        <v>5.53</v>
      </c>
      <c r="I802" s="5">
        <v>-0.24</v>
      </c>
      <c r="J802" s="6">
        <v>1.24</v>
      </c>
      <c r="K802" s="5">
        <v>85.04</v>
      </c>
      <c r="L802" s="6">
        <v>1</v>
      </c>
      <c r="M802" s="6">
        <v>-2.33</v>
      </c>
      <c r="N802" s="6">
        <v>0.6</v>
      </c>
      <c r="O802" s="6">
        <v>0.4</v>
      </c>
      <c r="P802" s="6">
        <v>0.4</v>
      </c>
      <c r="Q802" s="7"/>
      <c r="R802" s="7"/>
    </row>
    <row r="803" spans="1:18">
      <c r="A803" s="4" t="s">
        <v>1114</v>
      </c>
      <c r="B803" s="4">
        <f t="shared" si="12"/>
        <v>4</v>
      </c>
      <c r="C803" s="4" t="s">
        <v>1115</v>
      </c>
      <c r="D803" s="1" t="str">
        <f>IFERROR(VLOOKUP(A803,[1]biopep_DB!$F$2:$J$1654,5,0),)</f>
        <v>Bioactive peptides in amaranth (Amaranthus hypochondriacus) seed.</v>
      </c>
      <c r="E803" s="1" t="str">
        <f>IFERROR(VLOOKUP(A803,[1]biopep_DB!$F$2:$L$1654,6,0),0)</f>
        <v>10.1021/jf072911z</v>
      </c>
      <c r="F803" s="1" t="str">
        <f>IFERROR(VLOOKUP(A803,[1]biopep_DB!$F$2:$L$1654,7,0),0)</f>
        <v>18211015</v>
      </c>
      <c r="G803" s="5">
        <v>404.52</v>
      </c>
      <c r="H803" s="5">
        <v>5.53</v>
      </c>
      <c r="I803" s="5">
        <v>-0.24</v>
      </c>
      <c r="J803" s="6">
        <v>2.325</v>
      </c>
      <c r="K803" s="5">
        <v>38.35</v>
      </c>
      <c r="L803" s="6">
        <v>1</v>
      </c>
      <c r="M803" s="6">
        <v>-2.7225</v>
      </c>
      <c r="N803" s="6">
        <v>1</v>
      </c>
      <c r="O803" s="6">
        <v>0</v>
      </c>
      <c r="P803" s="6">
        <v>0.25</v>
      </c>
      <c r="Q803" s="7"/>
      <c r="R803" s="7"/>
    </row>
    <row r="804" spans="1:18">
      <c r="A804" s="4" t="s">
        <v>1116</v>
      </c>
      <c r="B804" s="4">
        <f t="shared" si="12"/>
        <v>6</v>
      </c>
      <c r="C804" s="4"/>
      <c r="D804" s="1" t="str">
        <f>IFERROR(VLOOKUP(A804,[1]biopep_DB!$F$2:$J$1654,5,0),)</f>
        <v>Isolation and characterization of a bradykinin-potentiating peptide from a bovine peptic hemoglobin hydrolysate.</v>
      </c>
      <c r="E804" s="1" t="str">
        <f>IFERROR(VLOOKUP(A804,[1]biopep_DB!$F$2:$L$1654,6,0),0)</f>
        <v>10.1016/0014-5793(92)80104-o</v>
      </c>
      <c r="F804" s="1" t="str">
        <f>IFERROR(VLOOKUP(A804,[1]biopep_DB!$F$2:$L$1654,7,0),0)</f>
        <v>1544478</v>
      </c>
      <c r="G804" s="5">
        <v>603.67</v>
      </c>
      <c r="H804" s="5">
        <v>5.53</v>
      </c>
      <c r="I804" s="5">
        <v>-0.24</v>
      </c>
      <c r="J804" s="6">
        <v>0.8</v>
      </c>
      <c r="K804" s="5">
        <v>8.33</v>
      </c>
      <c r="L804" s="6">
        <v>0.5</v>
      </c>
      <c r="M804" s="6">
        <v>-1.3417</v>
      </c>
      <c r="N804" s="6">
        <v>0.3333</v>
      </c>
      <c r="O804" s="6">
        <v>0.3333</v>
      </c>
      <c r="P804" s="6">
        <v>0.5</v>
      </c>
      <c r="Q804" s="7"/>
      <c r="R804" s="7"/>
    </row>
    <row r="805" spans="1:18">
      <c r="A805" s="4" t="s">
        <v>1117</v>
      </c>
      <c r="B805" s="4">
        <f t="shared" si="12"/>
        <v>3</v>
      </c>
      <c r="C805" s="4" t="s">
        <v>36</v>
      </c>
      <c r="D805" s="1" t="str">
        <f>IFERROR(VLOOKUP(A805,[1]biopep_DB!$F$2:$J$1654,5,0),)</f>
        <v>Structural requirements of Angiotensin I-converting enzyme inhibitory peptides: quantitative structure-activity relationship study of di- and tripeptides.; Temporal gene expression and probiotic attributes of Lactobacillus acidophilus during growth in milk.; Vegetable foods: a cheap source of proteins and peptides with antihypertensive, antioxidant, and other less occurrence bioactivities.; Rational design of angiotensin-I-converting enzyme inhibitory peptides by integrating in silico modeling and an in vitro assay.; Isolation and characterization of peptides with antihypertensive activity in foodstuffs.</v>
      </c>
      <c r="E805" s="1" t="str">
        <f>IFERROR(VLOOKUP(A805,[1]biopep_DB!$F$2:$L$1654,6,0),0)</f>
        <v>10.1021/jf051263l; 10.3168/jds.2008-1457; 10.1016/j.talanta.2012.12.041; 10.1002/cmdc.201300132; 10.1080/10408398.2012.664829</v>
      </c>
      <c r="F805" s="1" t="str">
        <f>IFERROR(VLOOKUP(A805,[1]biopep_DB!$F$2:$L$1654,7,0),0)</f>
        <v>16448176 19233780 23598136 23740817 24915368</v>
      </c>
      <c r="G805" s="5">
        <v>299.37</v>
      </c>
      <c r="H805" s="5">
        <v>5.53</v>
      </c>
      <c r="I805" s="5">
        <v>-0.24</v>
      </c>
      <c r="J805" s="6">
        <v>1.3333</v>
      </c>
      <c r="K805" s="5">
        <v>70.87</v>
      </c>
      <c r="L805" s="6">
        <v>1</v>
      </c>
      <c r="M805" s="6">
        <v>-2.2433</v>
      </c>
      <c r="N805" s="6">
        <v>0.6667</v>
      </c>
      <c r="O805" s="6">
        <v>0.3333</v>
      </c>
      <c r="P805" s="6">
        <v>0.3333</v>
      </c>
      <c r="Q805" s="7"/>
      <c r="R805" s="7"/>
    </row>
    <row r="806" spans="1:18">
      <c r="A806" s="4" t="s">
        <v>1118</v>
      </c>
      <c r="B806" s="4">
        <f t="shared" si="12"/>
        <v>12</v>
      </c>
      <c r="C806" s="4"/>
      <c r="G806" s="5">
        <v>1219.43</v>
      </c>
      <c r="H806" s="5">
        <v>8.59</v>
      </c>
      <c r="I806" s="5">
        <v>0.76</v>
      </c>
      <c r="J806" s="6">
        <v>-0.7917</v>
      </c>
      <c r="K806" s="5">
        <v>31.39</v>
      </c>
      <c r="L806" s="6">
        <v>0.5833</v>
      </c>
      <c r="M806" s="6">
        <v>-0.5758</v>
      </c>
      <c r="N806" s="6">
        <v>0.4167</v>
      </c>
      <c r="O806" s="6">
        <v>0.5833</v>
      </c>
      <c r="P806" s="6">
        <v>0.1667</v>
      </c>
      <c r="Q806" s="7"/>
      <c r="R806" s="7"/>
    </row>
    <row r="807" spans="1:18">
      <c r="A807" s="4" t="s">
        <v>1119</v>
      </c>
      <c r="B807" s="4">
        <f t="shared" si="12"/>
        <v>3</v>
      </c>
      <c r="C807" s="4"/>
      <c r="D807" s="1" t="str">
        <f>IFERROR(VLOOKUP(A807,[1]biopep_DB!$F$2:$J$1654,5,0),)</f>
        <v>Isolation from alpha-zein of thermolysin peptides with angiotensin I-converting enzyme inhibitory activity.; Cellular membrane disruption by amyloid fibrils involved intermolecular disulfide cross-linking.</v>
      </c>
      <c r="E807" s="1" t="str">
        <f>IFERROR(VLOOKUP(A807,[1]biopep_DB!$F$2:$L$1654,6,0),0)</f>
        <v>10.1271/bbb.60.661; 10.1021/bi900219c</v>
      </c>
      <c r="F807" s="1" t="str">
        <f>IFERROR(VLOOKUP(A807,[1]biopep_DB!$F$2:$L$1654,7,0),0)</f>
        <v>8829536 19449893</v>
      </c>
      <c r="G807" s="5">
        <v>330.38</v>
      </c>
      <c r="H807" s="5">
        <v>5.53</v>
      </c>
      <c r="I807" s="5">
        <v>-0.24</v>
      </c>
      <c r="J807" s="6">
        <v>0.7</v>
      </c>
      <c r="K807" s="5">
        <v>6.67</v>
      </c>
      <c r="L807" s="6">
        <v>0.6667</v>
      </c>
      <c r="M807" s="6">
        <v>-1.79</v>
      </c>
      <c r="N807" s="6">
        <v>0.6667</v>
      </c>
      <c r="O807" s="6">
        <v>0</v>
      </c>
      <c r="P807" s="6">
        <v>0.3333</v>
      </c>
      <c r="Q807" s="7"/>
      <c r="R807" s="7"/>
    </row>
    <row r="808" spans="1:18">
      <c r="A808" s="4" t="s">
        <v>1120</v>
      </c>
      <c r="B808" s="4">
        <f t="shared" si="12"/>
        <v>3</v>
      </c>
      <c r="C808" s="4" t="s">
        <v>36</v>
      </c>
      <c r="D808" s="1" t="str">
        <f>IFERROR(VLOOKUP(A808,[1]biopep_DB!$F$2:$J$1654,5,0),)</f>
        <v>Structures and activity of angiotensin-converting enzyme inhibitors in an alpha-zein hydrolysate.; Isolation from alpha-zein of thermolysin peptides with angiotensin I-converting enzyme inhibitory activity.; Structural requirements of Angiotensin I-converting enzyme inhibitory peptides: quantitative structure-activity relationship study of di- and tripeptides.; Bioactive peptides in amaranth (Amaranthus hypochondriacus) seed.; What are the ideal properties for functional food peptides with antihypertensive effect? A computational peptidology approach.</v>
      </c>
      <c r="E808" s="1" t="str">
        <f>IFERROR(VLOOKUP(A808,[1]biopep_DB!$F$2:$L$1654,6,0),0)</f>
        <v>10.1271/bbb.60.661; 10.1021/jf051263l; 10.1021/jf072911z; 10.1016/j.foodchem.2013.05.140</v>
      </c>
      <c r="F808" s="1" t="str">
        <f>IFERROR(VLOOKUP(A808,[1]biopep_DB!$F$2:$L$1654,7,0),0)</f>
        <v>1368684 8829536 16448176 18211015 23871047</v>
      </c>
      <c r="G808" s="5">
        <v>365.42</v>
      </c>
      <c r="H808" s="5">
        <v>5.52</v>
      </c>
      <c r="I808" s="5">
        <v>-0.24</v>
      </c>
      <c r="J808" s="6">
        <v>1.4333</v>
      </c>
      <c r="K808" s="5">
        <v>6.67</v>
      </c>
      <c r="L808" s="6">
        <v>0.6667</v>
      </c>
      <c r="M808" s="6">
        <v>-2.1967</v>
      </c>
      <c r="N808" s="6">
        <v>0.6667</v>
      </c>
      <c r="O808" s="6">
        <v>0</v>
      </c>
      <c r="P808" s="6">
        <v>0.6667</v>
      </c>
      <c r="Q808" s="7"/>
      <c r="R808" s="7"/>
    </row>
    <row r="809" spans="1:18">
      <c r="A809" s="4" t="s">
        <v>1121</v>
      </c>
      <c r="B809" s="4">
        <f t="shared" si="12"/>
        <v>6</v>
      </c>
      <c r="C809" s="4" t="s">
        <v>1122</v>
      </c>
      <c r="D809" s="1" t="str">
        <f>IFERROR(VLOOKUP(A809,[1]biopep_DB!$F$2:$J$1654,5,0),)</f>
        <v/>
      </c>
      <c r="E809" s="1" t="str">
        <f>IFERROR(VLOOKUP(A809,[1]biopep_DB!$F$2:$L$1654,6,0),0)</f>
        <v/>
      </c>
      <c r="F809" s="1" t="str">
        <f>IFERROR(VLOOKUP(A809,[1]biopep_DB!$F$2:$L$1654,7,0),0)</f>
        <v/>
      </c>
      <c r="G809" s="5">
        <v>772.89</v>
      </c>
      <c r="H809" s="5">
        <v>5.52</v>
      </c>
      <c r="I809" s="5">
        <v>-0.24</v>
      </c>
      <c r="J809" s="6">
        <v>0.7</v>
      </c>
      <c r="K809" s="5">
        <v>83.24</v>
      </c>
      <c r="L809" s="6">
        <v>0.6667</v>
      </c>
      <c r="M809" s="6">
        <v>-1.5717</v>
      </c>
      <c r="N809" s="6">
        <v>0.3333</v>
      </c>
      <c r="O809" s="6">
        <v>0.1667</v>
      </c>
      <c r="P809" s="6">
        <v>0.6667</v>
      </c>
      <c r="Q809" s="7"/>
      <c r="R809" s="7"/>
    </row>
    <row r="810" spans="1:18">
      <c r="A810" s="4" t="s">
        <v>1123</v>
      </c>
      <c r="B810" s="4">
        <f t="shared" si="12"/>
        <v>8</v>
      </c>
      <c r="C810" s="4"/>
      <c r="D810" s="1" t="str">
        <f>IFERROR(VLOOKUP(A810,[1]biopep_DB!$F$2:$J$1654,5,0),)</f>
        <v/>
      </c>
      <c r="E810" s="1" t="str">
        <f>IFERROR(VLOOKUP(A810,[1]biopep_DB!$F$2:$L$1654,6,0),0)</f>
        <v/>
      </c>
      <c r="F810" s="1" t="str">
        <f>IFERROR(VLOOKUP(A810,[1]biopep_DB!$F$2:$L$1654,7,0),0)</f>
        <v/>
      </c>
      <c r="G810" s="5">
        <v>1015.16</v>
      </c>
      <c r="H810" s="5">
        <v>4.05</v>
      </c>
      <c r="I810" s="5">
        <v>-1.24</v>
      </c>
      <c r="J810" s="6">
        <v>0.5625</v>
      </c>
      <c r="K810" s="5">
        <v>86.65</v>
      </c>
      <c r="L810" s="6">
        <v>0.625</v>
      </c>
      <c r="M810" s="6">
        <v>-1.5888</v>
      </c>
      <c r="N810" s="6">
        <v>0.5</v>
      </c>
      <c r="O810" s="6">
        <v>0.125</v>
      </c>
      <c r="P810" s="6">
        <v>0.625</v>
      </c>
      <c r="Q810" s="7"/>
      <c r="R810" s="7"/>
    </row>
    <row r="811" spans="1:18">
      <c r="A811" s="4" t="s">
        <v>1124</v>
      </c>
      <c r="B811" s="4">
        <f t="shared" si="12"/>
        <v>5</v>
      </c>
      <c r="C811" s="4" t="s">
        <v>31</v>
      </c>
      <c r="D811" s="1" t="str">
        <f>IFERROR(VLOOKUP(A811,[1]biopep_DB!$F$2:$J$1654,5,0),)</f>
        <v/>
      </c>
      <c r="E811" s="1" t="str">
        <f>IFERROR(VLOOKUP(A811,[1]biopep_DB!$F$2:$L$1654,6,0),0)</f>
        <v/>
      </c>
      <c r="F811" s="1" t="str">
        <f>IFERROR(VLOOKUP(A811,[1]biopep_DB!$F$2:$L$1654,7,0),0)</f>
        <v/>
      </c>
      <c r="G811" s="5">
        <v>492.55</v>
      </c>
      <c r="H811" s="5">
        <v>5.52</v>
      </c>
      <c r="I811" s="5">
        <v>-0.25</v>
      </c>
      <c r="J811" s="6">
        <v>0.32</v>
      </c>
      <c r="K811" s="5">
        <v>-22.06</v>
      </c>
      <c r="L811" s="6">
        <v>0.2</v>
      </c>
      <c r="M811" s="6">
        <v>-0.936</v>
      </c>
      <c r="N811" s="6">
        <v>0.2</v>
      </c>
      <c r="O811" s="6">
        <v>0.6</v>
      </c>
      <c r="P811" s="6">
        <v>0.2</v>
      </c>
      <c r="Q811" s="7"/>
      <c r="R811" s="7"/>
    </row>
    <row r="812" spans="1:18">
      <c r="A812" s="4" t="s">
        <v>1125</v>
      </c>
      <c r="B812" s="4">
        <f t="shared" si="12"/>
        <v>9</v>
      </c>
      <c r="C812" s="4" t="s">
        <v>1126</v>
      </c>
      <c r="D812" s="1" t="str">
        <f>IFERROR(VLOOKUP(A812,[1]biopep_DB!$F$2:$J$1654,5,0),)</f>
        <v>Angiotensin I-converting enzyme inhibitory properties of whey protein digests: concentration and characterization of active peptides.; A new QSAR model, for angiotensin I-converting enzyme inhibitory oligopeptides.</v>
      </c>
      <c r="E812" s="1" t="str">
        <f>IFERROR(VLOOKUP(A812,[1]biopep_DB!$F$2:$L$1654,6,0),0)</f>
        <v>10.1017/s0022029999003982; 10.1016/j.foodchem.2012.09.092</v>
      </c>
      <c r="F812" s="1" t="str">
        <f>IFERROR(VLOOKUP(A812,[1]biopep_DB!$F$2:$L$1654,7,0),0)</f>
        <v>10717843 23194537</v>
      </c>
      <c r="G812" s="5">
        <v>970.08</v>
      </c>
      <c r="H812" s="5">
        <v>5.84</v>
      </c>
      <c r="I812" s="5">
        <v>-0.24</v>
      </c>
      <c r="J812" s="6">
        <v>-0.3</v>
      </c>
      <c r="K812" s="5">
        <v>100.51</v>
      </c>
      <c r="L812" s="6">
        <v>0.5556</v>
      </c>
      <c r="M812" s="6">
        <v>-0.7622</v>
      </c>
      <c r="N812" s="6">
        <v>0.4444</v>
      </c>
      <c r="O812" s="6">
        <v>0.3333</v>
      </c>
      <c r="P812" s="6">
        <v>0.2222</v>
      </c>
      <c r="Q812" s="7"/>
      <c r="R812" s="7"/>
    </row>
    <row r="813" spans="1:18">
      <c r="A813" s="4" t="s">
        <v>1127</v>
      </c>
      <c r="B813" s="4">
        <f t="shared" si="12"/>
        <v>5</v>
      </c>
      <c r="C813" s="4" t="s">
        <v>1128</v>
      </c>
      <c r="D813" s="1" t="str">
        <f>IFERROR(VLOOKUP(A813,[1]biopep_DB!$F$2:$J$1654,5,0),)</f>
        <v>A new QSAR model, for angiotensin I-converting enzyme inhibitory oligopeptides.</v>
      </c>
      <c r="E813" s="1" t="str">
        <f>IFERROR(VLOOKUP(A813,[1]biopep_DB!$F$2:$L$1654,6,0),0)</f>
        <v>10.1016/j.foodchem.2012.09.092</v>
      </c>
      <c r="F813" s="1" t="str">
        <f>IFERROR(VLOOKUP(A813,[1]biopep_DB!$F$2:$L$1654,7,0),0)</f>
        <v>23194537</v>
      </c>
      <c r="G813" s="5">
        <v>615.72</v>
      </c>
      <c r="H813" s="5">
        <v>5.84</v>
      </c>
      <c r="I813" s="5">
        <v>-0.24</v>
      </c>
      <c r="J813" s="6">
        <v>-0.52</v>
      </c>
      <c r="K813" s="5">
        <v>8</v>
      </c>
      <c r="L813" s="6">
        <v>0.4</v>
      </c>
      <c r="M813" s="6">
        <v>-1.044</v>
      </c>
      <c r="N813" s="6">
        <v>0.4</v>
      </c>
      <c r="O813" s="6">
        <v>0.2</v>
      </c>
      <c r="P813" s="6">
        <v>0.4</v>
      </c>
      <c r="Q813" s="7"/>
      <c r="R813" s="7"/>
    </row>
    <row r="814" spans="1:18">
      <c r="A814" s="4" t="s">
        <v>1129</v>
      </c>
      <c r="B814" s="4">
        <f t="shared" si="12"/>
        <v>3</v>
      </c>
      <c r="C814" s="4"/>
      <c r="D814" s="1" t="str">
        <f>IFERROR(VLOOKUP(A814,[1]biopep_DB!$F$2:$J$1654,5,0),)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814" s="1" t="str">
        <f>IFERROR(VLOOKUP(A814,[1]biopep_DB!$F$2:$L$1654,6,0),0)</f>
        <v>10.1002/psc.800; 10.1007/s00894-010-0862-x; 10.1016/j.foodchem.2013.05.140</v>
      </c>
      <c r="F814" s="1" t="str">
        <f>IFERROR(VLOOKUP(A814,[1]biopep_DB!$F$2:$L$1654,7,0),0)</f>
        <v>17117396 20941517 23871047</v>
      </c>
      <c r="G814" s="5">
        <v>359.42</v>
      </c>
      <c r="H814" s="5">
        <v>4.05</v>
      </c>
      <c r="I814" s="5">
        <v>-1.24</v>
      </c>
      <c r="J814" s="6">
        <v>1.3667</v>
      </c>
      <c r="K814" s="5">
        <v>6.67</v>
      </c>
      <c r="L814" s="6">
        <v>0.6667</v>
      </c>
      <c r="M814" s="6">
        <v>-2.72</v>
      </c>
      <c r="N814" s="6">
        <v>0.6667</v>
      </c>
      <c r="O814" s="6">
        <v>0.3333</v>
      </c>
      <c r="P814" s="6">
        <v>0.6667</v>
      </c>
      <c r="Q814" s="7"/>
      <c r="R814" s="7"/>
    </row>
    <row r="815" spans="1:18">
      <c r="A815" s="4" t="s">
        <v>1130</v>
      </c>
      <c r="B815" s="4">
        <f t="shared" si="12"/>
        <v>2</v>
      </c>
      <c r="C815" s="4"/>
      <c r="D815" s="1" t="str">
        <f>IFERROR(VLOOKUP(A815,[1]biopep_DB!$F$2:$J$1654,5,0),)</f>
        <v>Quantitative structure-activity relationship study of bitter di- and tri-peptides including relationship with angiotensin I-converting enzyme inhibitory activity.</v>
      </c>
      <c r="E815" s="1" t="str">
        <f>IFERROR(VLOOKUP(A815,[1]biopep_DB!$F$2:$L$1654,6,0),0)</f>
        <v>10.1002/psc.800</v>
      </c>
      <c r="F815" s="1" t="str">
        <f>IFERROR(VLOOKUP(A815,[1]biopep_DB!$F$2:$L$1654,7,0),0)</f>
        <v>17117396</v>
      </c>
      <c r="G815" s="5">
        <v>260.29</v>
      </c>
      <c r="H815" s="5">
        <v>4.6</v>
      </c>
      <c r="I815" s="5">
        <v>-1.23</v>
      </c>
      <c r="J815" s="6">
        <v>0.15</v>
      </c>
      <c r="K815" s="5">
        <v>5</v>
      </c>
      <c r="L815" s="6">
        <v>0.5</v>
      </c>
      <c r="M815" s="6">
        <v>-1.64</v>
      </c>
      <c r="N815" s="6">
        <v>1</v>
      </c>
      <c r="O815" s="6">
        <v>0</v>
      </c>
      <c r="P815" s="6">
        <v>0.5</v>
      </c>
      <c r="Q815" s="7"/>
      <c r="R815" s="7"/>
    </row>
    <row r="816" spans="1:18">
      <c r="A816" s="4" t="s">
        <v>1131</v>
      </c>
      <c r="B816" s="4">
        <f t="shared" si="12"/>
        <v>3</v>
      </c>
      <c r="C816" s="4" t="s">
        <v>36</v>
      </c>
      <c r="D816" s="1" t="str">
        <f>IFERROR(VLOOKUP(A816,[1]biopep_DB!$F$2:$J$1654,5,0),)</f>
        <v>Structural requirements of Angiotensin I-converting enzyme inhibitory peptides: quantitative structure-activity relationship study of di- and tripeptides.</v>
      </c>
      <c r="E816" s="1" t="str">
        <f>IFERROR(VLOOKUP(A816,[1]biopep_DB!$F$2:$L$1654,6,0),0)</f>
        <v>10.1021/jf051263l</v>
      </c>
      <c r="F816" s="1" t="str">
        <f>IFERROR(VLOOKUP(A816,[1]biopep_DB!$F$2:$L$1654,7,0),0)</f>
        <v>16448176</v>
      </c>
      <c r="G816" s="5">
        <v>389.4</v>
      </c>
      <c r="H816" s="5">
        <v>4.24</v>
      </c>
      <c r="I816" s="5">
        <v>-2.23</v>
      </c>
      <c r="J816" s="6">
        <v>-1.0667</v>
      </c>
      <c r="K816" s="5">
        <v>115.33</v>
      </c>
      <c r="L816" s="6">
        <v>0.3333</v>
      </c>
      <c r="M816" s="6">
        <v>-0.5467</v>
      </c>
      <c r="N816" s="6">
        <v>1</v>
      </c>
      <c r="O816" s="6">
        <v>0</v>
      </c>
      <c r="P816" s="6">
        <v>0.3333</v>
      </c>
      <c r="Q816" s="7"/>
      <c r="R816" s="7"/>
    </row>
    <row r="817" spans="1:18">
      <c r="A817" s="4" t="s">
        <v>1132</v>
      </c>
      <c r="B817" s="4">
        <f t="shared" si="12"/>
        <v>3</v>
      </c>
      <c r="C817" s="4" t="s">
        <v>31</v>
      </c>
      <c r="D817" s="1" t="str">
        <f>IFERROR(VLOOKUP(A817,[1]biopep_DB!$F$2:$J$1654,5,0),)</f>
        <v>LC-MS/MS coupled with QSAR modeling in characterising of angiotensin I-converting enzyme inhibitory peptides from soybean proteins.</v>
      </c>
      <c r="E817" s="1" t="str">
        <f>IFERROR(VLOOKUP(A817,[1]biopep_DB!$F$2:$L$1654,6,0),0)</f>
        <v>10.1016/j.foodchem.2013.04.064</v>
      </c>
      <c r="F817" s="1" t="str">
        <f>IFERROR(VLOOKUP(A817,[1]biopep_DB!$F$2:$L$1654,7,0),0)</f>
        <v>23871011</v>
      </c>
      <c r="G817" s="5">
        <v>407.46</v>
      </c>
      <c r="H817" s="5">
        <v>4.05</v>
      </c>
      <c r="I817" s="5">
        <v>-1.24</v>
      </c>
      <c r="J817" s="6">
        <v>1.0333</v>
      </c>
      <c r="K817" s="5">
        <v>6.67</v>
      </c>
      <c r="L817" s="6">
        <v>0.6667</v>
      </c>
      <c r="M817" s="6">
        <v>-2.0867</v>
      </c>
      <c r="N817" s="6">
        <v>0.6667</v>
      </c>
      <c r="O817" s="6">
        <v>0</v>
      </c>
      <c r="P817" s="6">
        <v>0.6667</v>
      </c>
      <c r="Q817" s="7"/>
      <c r="R817" s="7"/>
    </row>
    <row r="818" spans="1:18">
      <c r="A818" s="4" t="s">
        <v>1133</v>
      </c>
      <c r="B818" s="4">
        <f t="shared" si="12"/>
        <v>5</v>
      </c>
      <c r="C818" s="4" t="s">
        <v>31</v>
      </c>
      <c r="D818" s="1" t="str">
        <f>IFERROR(VLOOKUP(A818,[1]biopep_DB!$F$2:$J$1654,5,0),)</f>
        <v/>
      </c>
      <c r="E818" s="1" t="str">
        <f>IFERROR(VLOOKUP(A818,[1]biopep_DB!$F$2:$L$1654,6,0),0)</f>
        <v/>
      </c>
      <c r="F818" s="1" t="str">
        <f>IFERROR(VLOOKUP(A818,[1]biopep_DB!$F$2:$L$1654,7,0),0)</f>
        <v/>
      </c>
      <c r="G818" s="5">
        <v>649.69</v>
      </c>
      <c r="H818" s="5">
        <v>4.05</v>
      </c>
      <c r="I818" s="5">
        <v>-1.24</v>
      </c>
      <c r="J818" s="6">
        <v>-0.78</v>
      </c>
      <c r="K818" s="5">
        <v>-7.08</v>
      </c>
      <c r="L818" s="6">
        <v>0.4</v>
      </c>
      <c r="M818" s="6">
        <v>-0.656</v>
      </c>
      <c r="N818" s="6">
        <v>0.4</v>
      </c>
      <c r="O818" s="6">
        <v>0.2</v>
      </c>
      <c r="P818" s="6">
        <v>0.4</v>
      </c>
      <c r="Q818" s="7"/>
      <c r="R818" s="7"/>
    </row>
    <row r="819" spans="1:18">
      <c r="A819" s="4" t="s">
        <v>1134</v>
      </c>
      <c r="B819" s="4">
        <f t="shared" si="12"/>
        <v>16</v>
      </c>
      <c r="C819" s="4"/>
      <c r="D819" s="1" t="str">
        <f>IFERROR(VLOOKUP(A819,[1]biopep_DB!$F$2:$J$1654,5,0),)</f>
        <v>High throughput screening of bradykinin-potentiating peptides in Bothrops moojeni snake venom using precursor ion mass spectrometry.</v>
      </c>
      <c r="E819" s="1" t="str">
        <f>IFERROR(VLOOKUP(A819,[1]biopep_DB!$F$2:$L$1654,6,0),0)</f>
        <v>10.1016/j.toxicon.2008.02.019</v>
      </c>
      <c r="F819" s="1" t="str">
        <f>IFERROR(VLOOKUP(A819,[1]biopep_DB!$F$2:$L$1654,7,0),0)</f>
        <v>18471845</v>
      </c>
      <c r="G819" s="5">
        <v>1728.94</v>
      </c>
      <c r="H819" s="5">
        <v>9.99</v>
      </c>
      <c r="I819" s="5">
        <v>1.76</v>
      </c>
      <c r="J819" s="6">
        <v>-0.8688</v>
      </c>
      <c r="K819" s="5">
        <v>30.59</v>
      </c>
      <c r="L819" s="6">
        <v>0.3125</v>
      </c>
      <c r="M819" s="6">
        <v>-0.2844</v>
      </c>
      <c r="N819" s="6">
        <v>0.375</v>
      </c>
      <c r="O819" s="6">
        <v>0.375</v>
      </c>
      <c r="P819" s="6">
        <v>0.3125</v>
      </c>
      <c r="Q819" s="7"/>
      <c r="R819" s="7"/>
    </row>
    <row r="820" spans="1:18">
      <c r="A820" s="4" t="s">
        <v>1135</v>
      </c>
      <c r="B820" s="4">
        <f t="shared" si="12"/>
        <v>6</v>
      </c>
      <c r="C820" s="4" t="s">
        <v>311</v>
      </c>
      <c r="D820" s="1" t="str">
        <f>IFERROR(VLOOKUP(A820,[1]biopep_DB!$F$2:$J$1654,5,0),)</f>
        <v>Angiotensin-converting enzyme inhibitory activity of peptides derived from caprine kefir.; Enterococcus faecalis strains from food, environmental, and clinical origin produce ACE-inhibitory peptides and other bioactive peptides during growth in bovine skim milk.</v>
      </c>
      <c r="E820" s="1" t="str">
        <f>IFERROR(VLOOKUP(A820,[1]biopep_DB!$F$2:$L$1654,6,0),0)</f>
        <v>10.3168/jds.S0022-0302(05)73032-0; 10.1016/j.ijfoodmicro.2013.06.019</v>
      </c>
      <c r="F820" s="1" t="str">
        <f>IFERROR(VLOOKUP(A820,[1]biopep_DB!$F$2:$L$1654,7,0),0)</f>
        <v>16162521 23845432</v>
      </c>
      <c r="G820" s="5">
        <v>697.86</v>
      </c>
      <c r="H820" s="5">
        <v>6</v>
      </c>
      <c r="I820" s="5">
        <v>-0.24</v>
      </c>
      <c r="J820" s="6">
        <v>0.5833</v>
      </c>
      <c r="K820" s="5">
        <v>58.38</v>
      </c>
      <c r="L820" s="6">
        <v>0.6667</v>
      </c>
      <c r="M820" s="6">
        <v>-1.7767</v>
      </c>
      <c r="N820" s="6">
        <v>0.5</v>
      </c>
      <c r="O820" s="6">
        <v>0.1667</v>
      </c>
      <c r="P820" s="6">
        <v>0.5</v>
      </c>
      <c r="Q820" s="7"/>
      <c r="R820" s="7"/>
    </row>
    <row r="821" spans="1:18">
      <c r="A821" s="4" t="s">
        <v>1136</v>
      </c>
      <c r="B821" s="4">
        <f t="shared" si="12"/>
        <v>3</v>
      </c>
      <c r="C821" s="4" t="s">
        <v>36</v>
      </c>
      <c r="D821" s="1" t="str">
        <f>IFERROR(VLOOKUP(A821,[1]biopep_DB!$F$2:$J$1654,5,0),)</f>
        <v>Structural requirements of Angiotensin I-converting enzyme inhibitory peptides: quantitative structure-activity relationship study of di- and tripeptides.; Inhibition strength of short peptides derived from an ACE inhibitory peptide.</v>
      </c>
      <c r="E821" s="1" t="str">
        <f>IFERROR(VLOOKUP(A821,[1]biopep_DB!$F$2:$L$1654,6,0),0)</f>
        <v>10.1021/jf051263l; 10.1021/jf202902r</v>
      </c>
      <c r="F821" s="1" t="str">
        <f>IFERROR(VLOOKUP(A821,[1]biopep_DB!$F$2:$L$1654,7,0),0)</f>
        <v>16448176 21923188</v>
      </c>
      <c r="G821" s="5">
        <v>388.46</v>
      </c>
      <c r="H821" s="5">
        <v>6</v>
      </c>
      <c r="I821" s="5">
        <v>-0.24</v>
      </c>
      <c r="J821" s="6">
        <v>-1.2</v>
      </c>
      <c r="K821" s="5">
        <v>6.67</v>
      </c>
      <c r="L821" s="6">
        <v>0.3333</v>
      </c>
      <c r="M821" s="6">
        <v>-0.5667</v>
      </c>
      <c r="N821" s="6">
        <v>1</v>
      </c>
      <c r="O821" s="6">
        <v>0</v>
      </c>
      <c r="P821" s="6">
        <v>0.3333</v>
      </c>
      <c r="Q821" s="7"/>
      <c r="R821" s="7"/>
    </row>
    <row r="822" spans="1:18">
      <c r="A822" s="4" t="s">
        <v>1137</v>
      </c>
      <c r="B822" s="4">
        <f t="shared" si="12"/>
        <v>5</v>
      </c>
      <c r="C822" s="4" t="s">
        <v>31</v>
      </c>
      <c r="D822" s="1" t="str">
        <f>IFERROR(VLOOKUP(A822,[1]biopep_DB!$F$2:$J$1654,5,0),)</f>
        <v/>
      </c>
      <c r="E822" s="1" t="str">
        <f>IFERROR(VLOOKUP(A822,[1]biopep_DB!$F$2:$L$1654,6,0),0)</f>
        <v/>
      </c>
      <c r="F822" s="1" t="str">
        <f>IFERROR(VLOOKUP(A822,[1]biopep_DB!$F$2:$L$1654,7,0),0)</f>
        <v/>
      </c>
      <c r="G822" s="5">
        <v>546.61</v>
      </c>
      <c r="H822" s="5">
        <v>6</v>
      </c>
      <c r="I822" s="5">
        <v>-0.24</v>
      </c>
      <c r="J822" s="6">
        <v>-0.94</v>
      </c>
      <c r="K822" s="5">
        <v>-8.98</v>
      </c>
      <c r="L822" s="6">
        <v>0.2</v>
      </c>
      <c r="M822" s="6">
        <v>-0.476</v>
      </c>
      <c r="N822" s="6">
        <v>0.6</v>
      </c>
      <c r="O822" s="6">
        <v>0.2</v>
      </c>
      <c r="P822" s="6">
        <v>0.4</v>
      </c>
      <c r="Q822" s="7"/>
      <c r="R822" s="7"/>
    </row>
    <row r="823" spans="1:18">
      <c r="A823" s="4" t="s">
        <v>1138</v>
      </c>
      <c r="B823" s="4">
        <f t="shared" si="12"/>
        <v>3</v>
      </c>
      <c r="C823" s="4"/>
      <c r="D823" s="1" t="str">
        <f>IFERROR(VLOOKUP(A823,[1]biopep_DB!$F$2:$J$1654,5,0),)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823" s="1" t="str">
        <f>IFERROR(VLOOKUP(A823,[1]biopep_DB!$F$2:$L$1654,6,0),0)</f>
        <v>10.1002/psc.800; 10.1007/s00894-010-0862-x; 10.1016/j.foodchem.2013.05.140</v>
      </c>
      <c r="F823" s="1" t="str">
        <f>IFERROR(VLOOKUP(A823,[1]biopep_DB!$F$2:$L$1654,7,0),0)</f>
        <v>17117396 20941517 23871047</v>
      </c>
      <c r="G823" s="5">
        <v>373.44</v>
      </c>
      <c r="H823" s="5">
        <v>4.05</v>
      </c>
      <c r="I823" s="5">
        <v>-1.24</v>
      </c>
      <c r="J823" s="6">
        <v>1.3667</v>
      </c>
      <c r="K823" s="5">
        <v>6.67</v>
      </c>
      <c r="L823" s="6">
        <v>0.6667</v>
      </c>
      <c r="M823" s="6">
        <v>-2.7333</v>
      </c>
      <c r="N823" s="6">
        <v>1</v>
      </c>
      <c r="O823" s="6">
        <v>0</v>
      </c>
      <c r="P823" s="6">
        <v>0.6667</v>
      </c>
      <c r="Q823" s="7"/>
      <c r="R823" s="7"/>
    </row>
    <row r="824" spans="1:18">
      <c r="A824" s="4" t="s">
        <v>1139</v>
      </c>
      <c r="B824" s="4">
        <f t="shared" si="12"/>
        <v>5</v>
      </c>
      <c r="C824" s="4" t="s">
        <v>31</v>
      </c>
      <c r="D824" s="1" t="str">
        <f>IFERROR(VLOOKUP(A824,[1]biopep_DB!$F$2:$J$1654,5,0),)</f>
        <v/>
      </c>
      <c r="E824" s="1" t="str">
        <f>IFERROR(VLOOKUP(A824,[1]biopep_DB!$F$2:$L$1654,6,0),0)</f>
        <v/>
      </c>
      <c r="F824" s="1" t="str">
        <f>IFERROR(VLOOKUP(A824,[1]biopep_DB!$F$2:$L$1654,7,0),0)</f>
        <v/>
      </c>
      <c r="G824" s="5">
        <v>615.68</v>
      </c>
      <c r="H824" s="5">
        <v>4.05</v>
      </c>
      <c r="I824" s="5">
        <v>-1.24</v>
      </c>
      <c r="J824" s="6">
        <v>-0.58</v>
      </c>
      <c r="K824" s="5">
        <v>-7.08</v>
      </c>
      <c r="L824" s="6">
        <v>0.4</v>
      </c>
      <c r="M824" s="6">
        <v>-1.044</v>
      </c>
      <c r="N824" s="6">
        <v>0.6</v>
      </c>
      <c r="O824" s="6">
        <v>0.2</v>
      </c>
      <c r="P824" s="6">
        <v>0.4</v>
      </c>
      <c r="Q824" s="7"/>
      <c r="R824" s="7"/>
    </row>
    <row r="825" spans="1:18">
      <c r="A825" s="4" t="s">
        <v>1140</v>
      </c>
      <c r="B825" s="4">
        <f t="shared" si="12"/>
        <v>7</v>
      </c>
      <c r="C825" s="4" t="s">
        <v>311</v>
      </c>
      <c r="D825" s="1" t="str">
        <f>IFERROR(VLOOKUP(A825,[1]biopep_DB!$F$2:$J$1654,5,0),)</f>
        <v>Inhibition of angiotensin-converting enzyme by synthetic peptide fragments of various beta-caseins.</v>
      </c>
      <c r="E825" s="1" t="str">
        <f>IFERROR(VLOOKUP(A825,[1]biopep_DB!$F$2:$L$1654,6,0),0)</f>
        <v/>
      </c>
      <c r="F825" s="1" t="str">
        <f>IFERROR(VLOOKUP(A825,[1]biopep_DB!$F$2:$L$1654,7,0),0)</f>
        <v>1368548</v>
      </c>
      <c r="G825" s="5">
        <v>834.96</v>
      </c>
      <c r="H825" s="5">
        <v>5.24</v>
      </c>
      <c r="I825" s="5">
        <v>-1.15</v>
      </c>
      <c r="J825" s="6">
        <v>-0.0571</v>
      </c>
      <c r="K825" s="5">
        <v>36.09</v>
      </c>
      <c r="L825" s="6">
        <v>0.5714</v>
      </c>
      <c r="M825" s="6">
        <v>-1.5014</v>
      </c>
      <c r="N825" s="6">
        <v>0.5714</v>
      </c>
      <c r="O825" s="6">
        <v>0.2857</v>
      </c>
      <c r="P825" s="6">
        <v>0.4286</v>
      </c>
      <c r="Q825" s="7"/>
      <c r="R825" s="7"/>
    </row>
    <row r="826" spans="1:18">
      <c r="A826" s="4" t="s">
        <v>1141</v>
      </c>
      <c r="B826" s="4">
        <f t="shared" si="12"/>
        <v>9</v>
      </c>
      <c r="C826" s="4" t="s">
        <v>1142</v>
      </c>
      <c r="D826" s="1" t="str">
        <f>IFERROR(VLOOKUP(A826,[1]biopep_DB!$F$2:$J$1654,5,0),)</f>
        <v>Inhibition of angiotensin-converting enzyme by synthetic peptide fragments of various beta-caseins.</v>
      </c>
      <c r="E826" s="1" t="str">
        <f>IFERROR(VLOOKUP(A826,[1]biopep_DB!$F$2:$L$1654,6,0),0)</f>
        <v/>
      </c>
      <c r="F826" s="1" t="str">
        <f>IFERROR(VLOOKUP(A826,[1]biopep_DB!$F$2:$L$1654,7,0),0)</f>
        <v>1368548</v>
      </c>
      <c r="G826" s="5">
        <v>1045.23</v>
      </c>
      <c r="H826" s="5">
        <v>5.24</v>
      </c>
      <c r="I826" s="5">
        <v>-1.15</v>
      </c>
      <c r="J826" s="6">
        <v>0.2</v>
      </c>
      <c r="K826" s="5">
        <v>51.69</v>
      </c>
      <c r="L826" s="6">
        <v>0.6667</v>
      </c>
      <c r="M826" s="6">
        <v>-1.7144</v>
      </c>
      <c r="N826" s="6">
        <v>0.5556</v>
      </c>
      <c r="O826" s="6">
        <v>0.3333</v>
      </c>
      <c r="P826" s="6">
        <v>0.4444</v>
      </c>
      <c r="Q826" s="7"/>
      <c r="R826" s="7"/>
    </row>
    <row r="827" spans="1:18">
      <c r="A827" s="4" t="s">
        <v>1143</v>
      </c>
      <c r="B827" s="4">
        <f t="shared" si="12"/>
        <v>3</v>
      </c>
      <c r="C827" s="4" t="s">
        <v>31</v>
      </c>
      <c r="D827" s="1" t="str">
        <f>IFERROR(VLOOKUP(A827,[1]biopep_DB!$F$2:$J$1654,5,0),)</f>
        <v>Structural requirements of Angiotensin I-converting enzyme inhibitory peptides: quantitative structure-activity relationship study of di- and tripeptides.; ACE inhibitory tetrapeptides from Amaranthus hypochondriacus 11S globulin.</v>
      </c>
      <c r="E827" s="1" t="str">
        <f>IFERROR(VLOOKUP(A827,[1]biopep_DB!$F$2:$L$1654,6,0),0)</f>
        <v>10.1021/jf051263l; 10.1016/j.phytochem.2009.04.006</v>
      </c>
      <c r="F827" s="1" t="str">
        <f>IFERROR(VLOOKUP(A827,[1]biopep_DB!$F$2:$L$1654,7,0),0)</f>
        <v>16448176 19443002</v>
      </c>
      <c r="G827" s="5">
        <v>357.4</v>
      </c>
      <c r="H827" s="5">
        <v>4.05</v>
      </c>
      <c r="I827" s="5">
        <v>-1.24</v>
      </c>
      <c r="J827" s="6">
        <v>-0.4333</v>
      </c>
      <c r="K827" s="5">
        <v>70.87</v>
      </c>
      <c r="L827" s="6">
        <v>0.6667</v>
      </c>
      <c r="M827" s="6">
        <v>-1.0933</v>
      </c>
      <c r="N827" s="6">
        <v>0.6667</v>
      </c>
      <c r="O827" s="6">
        <v>0.3333</v>
      </c>
      <c r="P827" s="6">
        <v>0.3333</v>
      </c>
      <c r="Q827" s="7"/>
      <c r="R827" s="7"/>
    </row>
    <row r="828" spans="1:18">
      <c r="A828" s="4" t="s">
        <v>1144</v>
      </c>
      <c r="B828" s="4">
        <f t="shared" si="12"/>
        <v>4</v>
      </c>
      <c r="C828" s="4"/>
      <c r="D828" s="1" t="str">
        <f>IFERROR(VLOOKUP(A828,[1]biopep_DB!$F$2:$J$1654,5,0),)</f>
        <v>What are the ideal properties for functional food peptides with antihypertensive effect? A computational peptidology approach.</v>
      </c>
      <c r="E828" s="1" t="str">
        <f>IFERROR(VLOOKUP(A828,[1]biopep_DB!$F$2:$L$1654,6,0),0)</f>
        <v>10.1016/j.foodchem.2013.05.140</v>
      </c>
      <c r="F828" s="1" t="str">
        <f>IFERROR(VLOOKUP(A828,[1]biopep_DB!$F$2:$L$1654,7,0),0)</f>
        <v>23871047</v>
      </c>
      <c r="G828" s="5">
        <v>454.52</v>
      </c>
      <c r="H828" s="5">
        <v>4.05</v>
      </c>
      <c r="I828" s="5">
        <v>-1.24</v>
      </c>
      <c r="J828" s="6">
        <v>-0.725</v>
      </c>
      <c r="K828" s="5">
        <v>103.8</v>
      </c>
      <c r="L828" s="6">
        <v>0.75</v>
      </c>
      <c r="M828" s="6">
        <v>-0.82</v>
      </c>
      <c r="N828" s="6">
        <v>0.5</v>
      </c>
      <c r="O828" s="6">
        <v>0.5</v>
      </c>
      <c r="P828" s="6">
        <v>0.25</v>
      </c>
      <c r="Q828" s="7"/>
      <c r="R828" s="7"/>
    </row>
    <row r="829" spans="1:18">
      <c r="A829" s="4" t="s">
        <v>1145</v>
      </c>
      <c r="B829" s="4">
        <f t="shared" si="12"/>
        <v>4</v>
      </c>
      <c r="C829" s="4"/>
      <c r="D829" s="1" t="str">
        <f>IFERROR(VLOOKUP(A829,[1]biopep_DB!$F$2:$J$1654,5,0),)</f>
        <v/>
      </c>
      <c r="E829" s="1" t="str">
        <f>IFERROR(VLOOKUP(A829,[1]biopep_DB!$F$2:$L$1654,6,0),0)</f>
        <v/>
      </c>
      <c r="F829" s="1" t="str">
        <f>IFERROR(VLOOKUP(A829,[1]biopep_DB!$F$2:$L$1654,7,0),0)</f>
        <v/>
      </c>
      <c r="G829" s="5">
        <v>501.57</v>
      </c>
      <c r="H829" s="5">
        <v>4.05</v>
      </c>
      <c r="I829" s="5">
        <v>-1.24</v>
      </c>
      <c r="J829" s="6">
        <v>0.15</v>
      </c>
      <c r="K829" s="5">
        <v>55.65</v>
      </c>
      <c r="L829" s="6">
        <v>0.5</v>
      </c>
      <c r="M829" s="6">
        <v>-1.71</v>
      </c>
      <c r="N829" s="6">
        <v>0.75</v>
      </c>
      <c r="O829" s="6">
        <v>0</v>
      </c>
      <c r="P829" s="6">
        <v>0.5</v>
      </c>
      <c r="Q829" s="7"/>
      <c r="R829" s="7"/>
    </row>
    <row r="830" spans="1:18">
      <c r="A830" s="4" t="s">
        <v>1146</v>
      </c>
      <c r="B830" s="4">
        <f t="shared" si="12"/>
        <v>3</v>
      </c>
      <c r="C830" s="4" t="s">
        <v>31</v>
      </c>
      <c r="D830" s="1" t="str">
        <f>IFERROR(VLOOKUP(A830,[1]biopep_DB!$F$2:$J$1654,5,0),)</f>
        <v/>
      </c>
      <c r="E830" s="1" t="str">
        <f>IFERROR(VLOOKUP(A830,[1]biopep_DB!$F$2:$L$1654,6,0),0)</f>
        <v/>
      </c>
      <c r="F830" s="1" t="str">
        <f>IFERROR(VLOOKUP(A830,[1]biopep_DB!$F$2:$L$1654,7,0),0)</f>
        <v/>
      </c>
      <c r="G830" s="5">
        <v>423.46</v>
      </c>
      <c r="H830" s="5">
        <v>4.05</v>
      </c>
      <c r="I830" s="5">
        <v>-1.24</v>
      </c>
      <c r="J830" s="6">
        <v>-0.3333</v>
      </c>
      <c r="K830" s="5">
        <v>6.67</v>
      </c>
      <c r="L830" s="6">
        <v>0.3333</v>
      </c>
      <c r="M830" s="6">
        <v>-1.0467</v>
      </c>
      <c r="N830" s="6">
        <v>0.6667</v>
      </c>
      <c r="O830" s="6">
        <v>0</v>
      </c>
      <c r="P830" s="6">
        <v>0.6667</v>
      </c>
      <c r="Q830" s="7"/>
      <c r="R830" s="7"/>
    </row>
    <row r="831" spans="1:18">
      <c r="A831" s="4" t="s">
        <v>1147</v>
      </c>
      <c r="B831" s="4">
        <f t="shared" si="12"/>
        <v>2</v>
      </c>
      <c r="C831" s="4" t="s">
        <v>36</v>
      </c>
      <c r="D831" s="1" t="str">
        <f>IFERROR(VLOOKUP(A831,[1]biopep_DB!$F$2:$J$1654,5,0),)</f>
        <v>Isolation from alpha-zein of thermolysin peptides with angiotensin I-converting enzyme inhibitory activity.; Angiotensin I-converting enzyme inhibitory peptides in a hydrolyzed chicken breast muscle extract.;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Bioactive peptides in amaranth (Amaranthus hypochondriacus) seed.; Quality and acceptability of a set-type yogurt made from camel milk.; Use of beta-cyclodextrin to decrease the level of cholesterol in milk fat.; Peptides with angiotensin I converting enzyme (ACE) inhibitory activity generated from porcine skeletal muscle proteins by the action of meat-borne Lactobacillus.; Isolation and characterization of peptides with antihypertensive activity in foodstuffs.</v>
      </c>
      <c r="E831" s="1" t="str">
        <f>IFERROR(VLOOKUP(A831,[1]biopep_DB!$F$2:$L$1654,6,0),0)</f>
        <v>10.1271/bbb.60.661; 10.1021/jf020604h; 10.1021/jf051263l; 10.1002/psc.800; 10.1002/psc.892; 10.1021/jf072911z; 10.3168/jds.2008-1408; 10.3168/jds.2008-1452; 10.1016/j.jprot.2013.06.023; 10.1080/10408398.2012.664829</v>
      </c>
      <c r="F831" s="1" t="str">
        <f>IFERROR(VLOOKUP(A831,[1]biopep_DB!$F$2:$L$1654,7,0),0)</f>
        <v>8829536 12617616 16448176 17117396 17654623 18211015 19233778 19233779 23806758 24915368</v>
      </c>
      <c r="G831" s="5">
        <v>278.35</v>
      </c>
      <c r="H831" s="5">
        <v>5.53</v>
      </c>
      <c r="I831" s="5">
        <v>-0.24</v>
      </c>
      <c r="J831" s="6">
        <v>3.3</v>
      </c>
      <c r="K831" s="5">
        <v>5</v>
      </c>
      <c r="L831" s="6">
        <v>1</v>
      </c>
      <c r="M831" s="6">
        <v>-3.95</v>
      </c>
      <c r="N831" s="6">
        <v>0.5</v>
      </c>
      <c r="O831" s="6">
        <v>0</v>
      </c>
      <c r="P831" s="6">
        <v>1</v>
      </c>
      <c r="Q831" s="7"/>
      <c r="R831" s="7"/>
    </row>
    <row r="832" spans="1:18">
      <c r="A832" s="4" t="s">
        <v>1148</v>
      </c>
      <c r="B832" s="4">
        <f t="shared" si="12"/>
        <v>9</v>
      </c>
      <c r="C832" s="4"/>
      <c r="D832" s="1" t="str">
        <f>IFERROR(VLOOKUP(A832,[1]biopep_DB!$F$2:$J$1654,5,0),)</f>
        <v>Angiotensin I-converting enzyme inhibitory peptides generated from in vitro gastrointestinal digestion of pork meat.</v>
      </c>
      <c r="E832" s="1" t="str">
        <f>IFERROR(VLOOKUP(A832,[1]biopep_DB!$F$2:$L$1654,6,0),0)</f>
        <v>10.1021/jf904204n</v>
      </c>
      <c r="F832" s="1" t="str">
        <f>IFERROR(VLOOKUP(A832,[1]biopep_DB!$F$2:$L$1654,7,0),0)</f>
        <v>20151679</v>
      </c>
      <c r="G832" s="5">
        <v>1015.2</v>
      </c>
      <c r="H832" s="5">
        <v>5.84</v>
      </c>
      <c r="I832" s="5">
        <v>-0.24</v>
      </c>
      <c r="J832" s="6">
        <v>0.3556</v>
      </c>
      <c r="K832" s="5">
        <v>75.01</v>
      </c>
      <c r="L832" s="6">
        <v>0.6667</v>
      </c>
      <c r="M832" s="6">
        <v>-1.4178</v>
      </c>
      <c r="N832" s="6">
        <v>0.3333</v>
      </c>
      <c r="O832" s="6">
        <v>0.4444</v>
      </c>
      <c r="P832" s="6">
        <v>0.4444</v>
      </c>
      <c r="Q832" s="7"/>
      <c r="R832" s="7"/>
    </row>
    <row r="833" spans="1:18">
      <c r="A833" s="4" t="s">
        <v>1149</v>
      </c>
      <c r="B833" s="4">
        <f t="shared" si="12"/>
        <v>4</v>
      </c>
      <c r="C833" s="4" t="s">
        <v>1150</v>
      </c>
      <c r="D833" s="1" t="str">
        <f>IFERROR(VLOOKUP(A833,[1]biopep_DB!$F$2:$J$1654,5,0),)</f>
        <v/>
      </c>
      <c r="E833" s="1" t="str">
        <f>IFERROR(VLOOKUP(A833,[1]biopep_DB!$F$2:$L$1654,6,0),0)</f>
        <v/>
      </c>
      <c r="F833" s="1" t="str">
        <f>IFERROR(VLOOKUP(A833,[1]biopep_DB!$F$2:$L$1654,7,0),0)</f>
        <v/>
      </c>
      <c r="G833" s="5">
        <v>562.66</v>
      </c>
      <c r="H833" s="5">
        <v>9.75</v>
      </c>
      <c r="I833" s="5">
        <v>0.76</v>
      </c>
      <c r="J833" s="6">
        <v>-0.35</v>
      </c>
      <c r="K833" s="5">
        <v>55.65</v>
      </c>
      <c r="L833" s="6">
        <v>0.5</v>
      </c>
      <c r="M833" s="6">
        <v>-0.955</v>
      </c>
      <c r="N833" s="6">
        <v>0.25</v>
      </c>
      <c r="O833" s="6">
        <v>0</v>
      </c>
      <c r="P833" s="6">
        <v>0.5</v>
      </c>
      <c r="Q833" s="7"/>
      <c r="R833" s="7"/>
    </row>
    <row r="834" spans="1:18">
      <c r="A834" s="4" t="s">
        <v>1151</v>
      </c>
      <c r="B834" s="4">
        <f t="shared" si="12"/>
        <v>2</v>
      </c>
      <c r="C834" s="4" t="s">
        <v>36</v>
      </c>
      <c r="D834" s="1" t="str">
        <f>IFERROR(VLOOKUP(A834,[1]biopep_DB!$F$2:$J$1654,5,0),)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834" s="1" t="str">
        <f>IFERROR(VLOOKUP(A834,[1]biopep_DB!$F$2:$L$1654,6,0),0)</f>
        <v>10.1021/jf051263l; 10.1002/psc.800; 10.1002/psc.892; 10.1007/s00894-010-0862-x; 10.1016/j.jprot.2013.06.023; 10.1016/j.foodchem.2013.05.140</v>
      </c>
      <c r="F834" s="1" t="str">
        <f>IFERROR(VLOOKUP(A834,[1]biopep_DB!$F$2:$L$1654,7,0),0)</f>
        <v>6243277 16448176 17117396 17654623 20941517 23806758 23871047</v>
      </c>
      <c r="G834" s="5">
        <v>188.22</v>
      </c>
      <c r="H834" s="5">
        <v>5.53</v>
      </c>
      <c r="I834" s="5">
        <v>-0.24</v>
      </c>
      <c r="J834" s="6">
        <v>1.7</v>
      </c>
      <c r="K834" s="5">
        <v>5</v>
      </c>
      <c r="L834" s="6">
        <v>0.5</v>
      </c>
      <c r="M834" s="6">
        <v>-2.93</v>
      </c>
      <c r="N834" s="6">
        <v>0.5</v>
      </c>
      <c r="O834" s="6">
        <v>0.5</v>
      </c>
      <c r="P834" s="6">
        <v>0.5</v>
      </c>
      <c r="Q834" s="7"/>
      <c r="R834" s="7"/>
    </row>
    <row r="835" spans="1:18">
      <c r="A835" s="4" t="s">
        <v>1152</v>
      </c>
      <c r="B835" s="4">
        <f t="shared" si="12"/>
        <v>8</v>
      </c>
      <c r="C835" s="4"/>
      <c r="G835" s="5">
        <v>872.02</v>
      </c>
      <c r="H835" s="5">
        <v>8.75</v>
      </c>
      <c r="I835" s="5">
        <v>0.76</v>
      </c>
      <c r="J835" s="6">
        <v>0.05</v>
      </c>
      <c r="K835" s="5">
        <v>27.44</v>
      </c>
      <c r="L835" s="6">
        <v>0.625</v>
      </c>
      <c r="M835" s="6">
        <v>-1.1062</v>
      </c>
      <c r="N835" s="6">
        <v>0.25</v>
      </c>
      <c r="O835" s="6">
        <v>0.375</v>
      </c>
      <c r="P835" s="6">
        <v>0.375</v>
      </c>
      <c r="Q835" s="7"/>
      <c r="R835" s="7"/>
    </row>
    <row r="836" spans="1:18">
      <c r="A836" s="4" t="s">
        <v>1153</v>
      </c>
      <c r="B836" s="4">
        <f t="shared" si="12"/>
        <v>11</v>
      </c>
      <c r="C836" s="4"/>
      <c r="G836" s="5">
        <v>1094.18</v>
      </c>
      <c r="H836" s="5">
        <v>5.84</v>
      </c>
      <c r="I836" s="5">
        <v>-0.24</v>
      </c>
      <c r="J836" s="6">
        <v>-0.9182</v>
      </c>
      <c r="K836" s="5">
        <v>112.78</v>
      </c>
      <c r="L836" s="6">
        <v>0.5455</v>
      </c>
      <c r="M836" s="6">
        <v>-0.2382</v>
      </c>
      <c r="N836" s="6">
        <v>0.2727</v>
      </c>
      <c r="O836" s="6">
        <v>0.6364</v>
      </c>
      <c r="P836" s="6">
        <v>0.0909</v>
      </c>
      <c r="Q836" s="7"/>
      <c r="R836" s="7"/>
    </row>
    <row r="837" spans="1:18">
      <c r="A837" s="4" t="s">
        <v>1154</v>
      </c>
      <c r="B837" s="4">
        <f t="shared" si="12"/>
        <v>13</v>
      </c>
      <c r="C837" s="4" t="s">
        <v>1155</v>
      </c>
      <c r="D837" s="1" t="str">
        <f>IFERROR(VLOOKUP(A837,[1]biopep_DB!$F$2:$J$1654,5,0),)</f>
        <v>Novel angiotensin I-converting enzyme inhibitory peptides derived from an edible mushroom, Pleurotus cystidiosus O.K. Miller identified by LC-MS/MS.; Isolation and characterization of peptides with antihypertensive activity in foodstuffs.</v>
      </c>
      <c r="E837" s="1" t="str">
        <f>IFERROR(VLOOKUP(A837,[1]biopep_DB!$F$2:$L$1654,6,0),0)</f>
        <v>10.1186/1472-6882-13-313; 10.1080/10408398.2012.664829</v>
      </c>
      <c r="F837" s="1" t="str">
        <f>IFERROR(VLOOKUP(A837,[1]biopep_DB!$F$2:$L$1654,7,0),0)</f>
        <v>24215325 24915368</v>
      </c>
      <c r="G837" s="5">
        <v>1555.77</v>
      </c>
      <c r="H837" s="5">
        <v>8.6</v>
      </c>
      <c r="I837" s="5">
        <v>0.85</v>
      </c>
      <c r="J837" s="6">
        <v>-0.1462</v>
      </c>
      <c r="K837" s="5">
        <v>30.88</v>
      </c>
      <c r="L837" s="6">
        <v>0.4615</v>
      </c>
      <c r="M837" s="6">
        <v>-0.87</v>
      </c>
      <c r="N837" s="6">
        <v>0.1538</v>
      </c>
      <c r="O837" s="6">
        <v>0.2308</v>
      </c>
      <c r="P837" s="6">
        <v>0.6154</v>
      </c>
      <c r="Q837" s="7"/>
      <c r="R837" s="7"/>
    </row>
    <row r="838" spans="1:18">
      <c r="A838" s="4" t="s">
        <v>1156</v>
      </c>
      <c r="B838" s="4">
        <f t="shared" ref="B838:B901" si="13">LEN(A838)</f>
        <v>3</v>
      </c>
      <c r="C838" s="4"/>
      <c r="D838" s="1" t="str">
        <f>IFERROR(VLOOKUP(A838,[1]biopep_DB!$F$2:$J$1654,5,0),)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838" s="1" t="str">
        <f>IFERROR(VLOOKUP(A838,[1]biopep_DB!$F$2:$L$1654,6,0),0)</f>
        <v>10.1002/psc.800; 10.1007/s00894-010-0862-x; 10.1016/j.foodchem.2013.05.140</v>
      </c>
      <c r="F838" s="1" t="str">
        <f>IFERROR(VLOOKUP(A838,[1]biopep_DB!$F$2:$L$1654,7,0),0)</f>
        <v>17117396 20941517 23871047</v>
      </c>
      <c r="G838" s="5">
        <v>245.28</v>
      </c>
      <c r="H838" s="5">
        <v>5.53</v>
      </c>
      <c r="I838" s="5">
        <v>-0.24</v>
      </c>
      <c r="J838" s="6">
        <v>1</v>
      </c>
      <c r="K838" s="5">
        <v>47.8</v>
      </c>
      <c r="L838" s="6">
        <v>0.3333</v>
      </c>
      <c r="M838" s="6">
        <v>-2.2667</v>
      </c>
      <c r="N838" s="6">
        <v>0.3333</v>
      </c>
      <c r="O838" s="6">
        <v>0.6667</v>
      </c>
      <c r="P838" s="6">
        <v>0.3333</v>
      </c>
      <c r="Q838" s="7"/>
      <c r="R838" s="7"/>
    </row>
    <row r="839" spans="1:18">
      <c r="A839" s="4" t="s">
        <v>1157</v>
      </c>
      <c r="B839" s="4">
        <f t="shared" si="13"/>
        <v>4</v>
      </c>
      <c r="C839" s="4" t="s">
        <v>31</v>
      </c>
      <c r="D839" s="1" t="str">
        <f>IFERROR(VLOOKUP(A839,[1]biopep_DB!$F$2:$J$1654,5,0),)</f>
        <v/>
      </c>
      <c r="E839" s="1" t="str">
        <f>IFERROR(VLOOKUP(A839,[1]biopep_DB!$F$2:$L$1654,6,0),0)</f>
        <v/>
      </c>
      <c r="F839" s="1" t="str">
        <f>IFERROR(VLOOKUP(A839,[1]biopep_DB!$F$2:$L$1654,7,0),0)</f>
        <v/>
      </c>
      <c r="G839" s="5">
        <v>348.42</v>
      </c>
      <c r="H839" s="5">
        <v>5.52</v>
      </c>
      <c r="I839" s="5">
        <v>-0.25</v>
      </c>
      <c r="J839" s="6">
        <v>1.375</v>
      </c>
      <c r="K839" s="5">
        <v>38.35</v>
      </c>
      <c r="L839" s="6">
        <v>0.25</v>
      </c>
      <c r="M839" s="6">
        <v>-2.02</v>
      </c>
      <c r="N839" s="6">
        <v>0.25</v>
      </c>
      <c r="O839" s="6">
        <v>0.5</v>
      </c>
      <c r="P839" s="6">
        <v>0.25</v>
      </c>
      <c r="Q839" s="7"/>
      <c r="R839" s="7"/>
    </row>
    <row r="840" spans="1:18">
      <c r="A840" s="4" t="s">
        <v>1158</v>
      </c>
      <c r="B840" s="4">
        <f t="shared" si="13"/>
        <v>3</v>
      </c>
      <c r="C840" s="4" t="s">
        <v>36</v>
      </c>
      <c r="D840" s="1" t="str">
        <f>IFERROR(VLOOKUP(A840,[1]biopep_DB!$F$2:$J$1654,5,0),)</f>
        <v>Structural requirements of Angiotensin I-converting enzyme inhibitory peptides: quantitative structure-activity relationship study of di- and tripeptides.; Isolation and characterization of peptides with antihypertensive activity in foodstuffs.</v>
      </c>
      <c r="E840" s="1" t="str">
        <f>IFERROR(VLOOKUP(A840,[1]biopep_DB!$F$2:$L$1654,6,0),0)</f>
        <v>10.1021/jf051263l; 10.1080/10408398.2012.664829</v>
      </c>
      <c r="F840" s="1" t="str">
        <f>IFERROR(VLOOKUP(A840,[1]biopep_DB!$F$2:$L$1654,7,0),0)</f>
        <v>16448176 24915368</v>
      </c>
      <c r="G840" s="5">
        <v>301.38</v>
      </c>
      <c r="H840" s="5">
        <v>5.53</v>
      </c>
      <c r="I840" s="5">
        <v>-0.24</v>
      </c>
      <c r="J840" s="6">
        <v>2.6333</v>
      </c>
      <c r="K840" s="5">
        <v>-21.63</v>
      </c>
      <c r="L840" s="6">
        <v>0.6667</v>
      </c>
      <c r="M840" s="6">
        <v>-3.5933</v>
      </c>
      <c r="N840" s="6">
        <v>0.3333</v>
      </c>
      <c r="O840" s="6">
        <v>0.3333</v>
      </c>
      <c r="P840" s="6">
        <v>0.6667</v>
      </c>
      <c r="Q840" s="7"/>
      <c r="R840" s="7"/>
    </row>
    <row r="841" spans="1:18">
      <c r="A841" s="4" t="s">
        <v>1159</v>
      </c>
      <c r="B841" s="4">
        <f t="shared" si="13"/>
        <v>3</v>
      </c>
      <c r="C841" s="4"/>
      <c r="D841" s="1" t="str">
        <f>IFERROR(VLOOKUP(A841,[1]biopep_DB!$F$2:$J$1654,5,0),)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841" s="1" t="str">
        <f>IFERROR(VLOOKUP(A841,[1]biopep_DB!$F$2:$L$1654,6,0),0)</f>
        <v>10.1002/psc.800; 10.1007/s00894-010-0862-x; 10.1016/j.foodchem.2013.05.140</v>
      </c>
      <c r="F841" s="1" t="str">
        <f>IFERROR(VLOOKUP(A841,[1]biopep_DB!$F$2:$L$1654,7,0),0)</f>
        <v>17117396 20941517 23871047</v>
      </c>
      <c r="G841" s="5">
        <v>301.38</v>
      </c>
      <c r="H841" s="5">
        <v>5.53</v>
      </c>
      <c r="I841" s="5">
        <v>-0.24</v>
      </c>
      <c r="J841" s="6">
        <v>2.4</v>
      </c>
      <c r="K841" s="5">
        <v>6.67</v>
      </c>
      <c r="L841" s="6">
        <v>0.6667</v>
      </c>
      <c r="M841" s="6">
        <v>-3.5933</v>
      </c>
      <c r="N841" s="6">
        <v>0.6667</v>
      </c>
      <c r="O841" s="6">
        <v>0.3333</v>
      </c>
      <c r="P841" s="6">
        <v>0.6667</v>
      </c>
      <c r="Q841" s="7"/>
      <c r="R841" s="7"/>
    </row>
    <row r="842" spans="1:18">
      <c r="A842" s="4" t="s">
        <v>1160</v>
      </c>
      <c r="B842" s="4">
        <f t="shared" si="13"/>
        <v>3</v>
      </c>
      <c r="C842" s="4" t="s">
        <v>281</v>
      </c>
      <c r="D842" s="1" t="str">
        <f>IFERROR(VLOOKUP(A842,[1]biopep_DB!$F$2:$J$1654,5,0),)</f>
        <v>Structure and activity of angiotensin I converting enzyme inhibitory peptides derived from Alaskan pollack skin.; Assessing the dependence of (51)V A(z) value on the aromatic ring orientation of V(IV)O(2+) pyridine complexes.</v>
      </c>
      <c r="E842" s="1" t="str">
        <f>IFERROR(VLOOKUP(A842,[1]biopep_DB!$F$2:$L$1654,6,0),0)</f>
        <v>10.5483/bmbrep.2002.35.2.239; 10.1021/ic9001779</v>
      </c>
      <c r="F842" s="1" t="str">
        <f>IFERROR(VLOOKUP(A842,[1]biopep_DB!$F$2:$L$1654,7,0),0)</f>
        <v>12297036 19449891</v>
      </c>
      <c r="G842" s="5">
        <v>285.34</v>
      </c>
      <c r="H842" s="5">
        <v>5.53</v>
      </c>
      <c r="I842" s="5">
        <v>-0.24</v>
      </c>
      <c r="J842" s="6">
        <v>0.6</v>
      </c>
      <c r="K842" s="5">
        <v>6.67</v>
      </c>
      <c r="L842" s="6">
        <v>0.6667</v>
      </c>
      <c r="M842" s="6">
        <v>-1.9533</v>
      </c>
      <c r="N842" s="6">
        <v>0.3333</v>
      </c>
      <c r="O842" s="6">
        <v>0.6667</v>
      </c>
      <c r="P842" s="6">
        <v>0.3333</v>
      </c>
      <c r="Q842" s="7"/>
      <c r="R842" s="7"/>
    </row>
    <row r="843" spans="1:18">
      <c r="A843" s="4" t="s">
        <v>1161</v>
      </c>
      <c r="B843" s="4">
        <f t="shared" si="13"/>
        <v>7</v>
      </c>
      <c r="C843" s="4" t="s">
        <v>1162</v>
      </c>
      <c r="D843" s="1" t="str">
        <f>IFERROR(VLOOKUP(A843,[1]biopep_DB!$F$2:$J$1654,5,0),)</f>
        <v>Active peptides from skate (Okamejei kenojei) skin gelatin diminish angiotensin-I converting enzyme activity and intracellular free radical-mediated oxidation.</v>
      </c>
      <c r="E843" s="1" t="str">
        <f>IFERROR(VLOOKUP(A843,[1]biopep_DB!$F$2:$L$1654,6,0),0)</f>
        <v>10.1016/j.foodchem.2013.07.067</v>
      </c>
      <c r="F843" s="1" t="str">
        <f>IFERROR(VLOOKUP(A843,[1]biopep_DB!$F$2:$L$1654,7,0),0)</f>
        <v>24054237</v>
      </c>
      <c r="G843" s="5">
        <v>720.82</v>
      </c>
      <c r="H843" s="5">
        <v>6.74</v>
      </c>
      <c r="I843" s="5">
        <v>-0.15</v>
      </c>
      <c r="J843" s="6">
        <v>-0.2143</v>
      </c>
      <c r="K843" s="5">
        <v>8.57</v>
      </c>
      <c r="L843" s="6">
        <v>0.4286</v>
      </c>
      <c r="M843" s="6">
        <v>-1.3386</v>
      </c>
      <c r="N843" s="6">
        <v>0.2857</v>
      </c>
      <c r="O843" s="6">
        <v>0.4286</v>
      </c>
      <c r="P843" s="6">
        <v>0.2857</v>
      </c>
      <c r="Q843" s="7"/>
      <c r="R843" s="7"/>
    </row>
    <row r="844" spans="1:18">
      <c r="A844" s="4" t="s">
        <v>1163</v>
      </c>
      <c r="B844" s="4">
        <f t="shared" si="13"/>
        <v>9</v>
      </c>
      <c r="C844" s="4"/>
      <c r="G844" s="5">
        <v>939.11</v>
      </c>
      <c r="H844" s="5">
        <v>9.75</v>
      </c>
      <c r="I844" s="5">
        <v>0.76</v>
      </c>
      <c r="J844" s="6">
        <v>0.0778</v>
      </c>
      <c r="K844" s="5">
        <v>63.66</v>
      </c>
      <c r="L844" s="6">
        <v>0.6667</v>
      </c>
      <c r="M844" s="6">
        <v>-1.2333</v>
      </c>
      <c r="N844" s="6">
        <v>0.1111</v>
      </c>
      <c r="O844" s="6">
        <v>0.5556</v>
      </c>
      <c r="P844" s="6">
        <v>0.3333</v>
      </c>
      <c r="Q844" s="7"/>
      <c r="R844" s="7"/>
    </row>
    <row r="845" spans="1:18">
      <c r="A845" s="4" t="s">
        <v>1164</v>
      </c>
      <c r="B845" s="4">
        <f t="shared" si="13"/>
        <v>10</v>
      </c>
      <c r="C845" s="4"/>
      <c r="D845" s="1" t="str">
        <f>IFERROR(VLOOKUP(A845,[1]biopep_DB!$F$2:$J$1654,5,0),)</f>
        <v>Identification of angiotensin-I-converting enzyme inhibitory peptides derived from sodium caseinate hydrolysates produced by Lactobacillus helveticus NCC 2765.</v>
      </c>
      <c r="E845" s="1" t="str">
        <f>IFERROR(VLOOKUP(A845,[1]biopep_DB!$F$2:$L$1654,6,0),0)</f>
        <v>10.1021/jf049510t</v>
      </c>
      <c r="F845" s="1" t="str">
        <f>IFERROR(VLOOKUP(A845,[1]biopep_DB!$F$2:$L$1654,7,0),0)</f>
        <v>15537298</v>
      </c>
      <c r="G845" s="5">
        <v>1052.27</v>
      </c>
      <c r="H845" s="5">
        <v>9.75</v>
      </c>
      <c r="I845" s="5">
        <v>0.76</v>
      </c>
      <c r="J845" s="6">
        <v>0.52</v>
      </c>
      <c r="K845" s="5">
        <v>58.29</v>
      </c>
      <c r="L845" s="6">
        <v>0.7</v>
      </c>
      <c r="M845" s="6">
        <v>-1.602</v>
      </c>
      <c r="N845" s="6">
        <v>0.1</v>
      </c>
      <c r="O845" s="6">
        <v>0.5</v>
      </c>
      <c r="P845" s="6">
        <v>0.4</v>
      </c>
      <c r="Q845" s="7"/>
      <c r="R845" s="7"/>
    </row>
    <row r="846" spans="1:18">
      <c r="A846" s="4" t="s">
        <v>1165</v>
      </c>
      <c r="B846" s="4">
        <f t="shared" si="13"/>
        <v>7</v>
      </c>
      <c r="C846" s="4"/>
      <c r="D846" s="1" t="str">
        <f>IFERROR(VLOOKUP(A846,[1]biopep_DB!$F$2:$J$1654,5,0),)</f>
        <v>Inhibitory profile of nonapeptide derived from porcine troponin C against angiotensin I-converting enzyme.</v>
      </c>
      <c r="E846" s="1" t="str">
        <f>IFERROR(VLOOKUP(A846,[1]biopep_DB!$F$2:$L$1654,6,0),0)</f>
        <v>10.1021/jf0350865</v>
      </c>
      <c r="F846" s="1" t="str">
        <f>IFERROR(VLOOKUP(A846,[1]biopep_DB!$F$2:$L$1654,7,0),0)</f>
        <v>14969529</v>
      </c>
      <c r="G846" s="5">
        <v>743.85</v>
      </c>
      <c r="H846" s="5">
        <v>8.75</v>
      </c>
      <c r="I846" s="5">
        <v>0.76</v>
      </c>
      <c r="J846" s="6">
        <v>-1</v>
      </c>
      <c r="K846" s="5">
        <v>8.57</v>
      </c>
      <c r="L846" s="6">
        <v>0.2857</v>
      </c>
      <c r="M846" s="6">
        <v>-0.3429</v>
      </c>
      <c r="N846" s="6">
        <v>0.2857</v>
      </c>
      <c r="O846" s="6">
        <v>0.2857</v>
      </c>
      <c r="P846" s="6">
        <v>0.4286</v>
      </c>
      <c r="Q846" s="7"/>
      <c r="R846" s="7"/>
    </row>
    <row r="847" spans="1:18">
      <c r="A847" s="4" t="s">
        <v>1166</v>
      </c>
      <c r="B847" s="4">
        <f t="shared" si="13"/>
        <v>5</v>
      </c>
      <c r="C847" s="4"/>
      <c r="D847" s="1" t="str">
        <f>IFERROR(VLOOKUP(A847,[1]biopep_DB!$F$2:$J$1654,5,0),)</f>
        <v>Enterococcus faecalis strains from food, environmental, and clinical origin produce ACE-inhibitory peptides and other bioactive peptides during growth in bovine skim milk.</v>
      </c>
      <c r="E847" s="1" t="str">
        <f>IFERROR(VLOOKUP(A847,[1]biopep_DB!$F$2:$L$1654,6,0),0)</f>
        <v>10.1016/j.ijfoodmicro.2013.06.019</v>
      </c>
      <c r="F847" s="1" t="str">
        <f>IFERROR(VLOOKUP(A847,[1]biopep_DB!$F$2:$L$1654,7,0),0)</f>
        <v>23845432</v>
      </c>
      <c r="G847" s="5">
        <v>580.63</v>
      </c>
      <c r="H847" s="5">
        <v>5.52</v>
      </c>
      <c r="I847" s="5">
        <v>-0.24</v>
      </c>
      <c r="J847" s="6">
        <v>-0.42</v>
      </c>
      <c r="K847" s="5">
        <v>-39.14</v>
      </c>
      <c r="L847" s="6">
        <v>0.2</v>
      </c>
      <c r="M847" s="6">
        <v>-0.82</v>
      </c>
      <c r="N847" s="6">
        <v>0.2</v>
      </c>
      <c r="O847" s="6">
        <v>0.2</v>
      </c>
      <c r="P847" s="6">
        <v>0.6</v>
      </c>
      <c r="Q847" s="7"/>
      <c r="R847" s="7"/>
    </row>
    <row r="848" spans="1:18">
      <c r="A848" s="4" t="s">
        <v>1167</v>
      </c>
      <c r="B848" s="4">
        <f t="shared" si="13"/>
        <v>25</v>
      </c>
      <c r="C848" s="4"/>
      <c r="D848" s="1" t="str">
        <f>IFERROR(VLOOKUP(A848,[1]biopep_DB!$F$2:$J$1654,5,0),)</f>
        <v>Angiotensin I-converting-enzyme-inhibitory and antibacterial peptides from Lactobacillus helveticus PR4 proteinase-hydrolyzed caseins of milk from six species.</v>
      </c>
      <c r="E848" s="1" t="str">
        <f>IFERROR(VLOOKUP(A848,[1]biopep_DB!$F$2:$L$1654,6,0),0)</f>
        <v>10.1128/AEM.69.9.5297-5305.2003</v>
      </c>
      <c r="F848" s="1" t="str">
        <f>IFERROR(VLOOKUP(A848,[1]biopep_DB!$F$2:$L$1654,7,0),0)</f>
        <v>12957917</v>
      </c>
      <c r="G848" s="5">
        <v>2667.79</v>
      </c>
      <c r="H848" s="5">
        <v>4.05</v>
      </c>
      <c r="I848" s="5">
        <v>-3.23</v>
      </c>
      <c r="J848" s="6">
        <v>-0.9</v>
      </c>
      <c r="K848" s="5">
        <v>25.29</v>
      </c>
      <c r="L848" s="6">
        <v>0.32</v>
      </c>
      <c r="M848" s="6">
        <v>-0.1836</v>
      </c>
      <c r="N848" s="6">
        <v>0.2</v>
      </c>
      <c r="O848" s="6">
        <v>0.52</v>
      </c>
      <c r="P848" s="6">
        <v>0.28</v>
      </c>
      <c r="Q848" s="7"/>
      <c r="R848" s="7"/>
    </row>
    <row r="849" spans="1:18">
      <c r="A849" s="4" t="s">
        <v>1168</v>
      </c>
      <c r="B849" s="4">
        <f t="shared" si="13"/>
        <v>4</v>
      </c>
      <c r="C849" s="4"/>
      <c r="D849" s="1" t="str">
        <f>IFERROR(VLOOKUP(A849,[1]biopep_DB!$F$2:$J$1654,5,0),)</f>
        <v/>
      </c>
      <c r="E849" s="1" t="str">
        <f>IFERROR(VLOOKUP(A849,[1]biopep_DB!$F$2:$L$1654,6,0),0)</f>
        <v/>
      </c>
      <c r="F849" s="1" t="str">
        <f>IFERROR(VLOOKUP(A849,[1]biopep_DB!$F$2:$L$1654,7,0),0)</f>
        <v/>
      </c>
      <c r="G849" s="5">
        <v>464.56</v>
      </c>
      <c r="H849" s="5">
        <v>5.52</v>
      </c>
      <c r="I849" s="5">
        <v>-0.24</v>
      </c>
      <c r="J849" s="6">
        <v>1.475</v>
      </c>
      <c r="K849" s="5">
        <v>-13.73</v>
      </c>
      <c r="L849" s="6">
        <v>0.5</v>
      </c>
      <c r="M849" s="6">
        <v>-2.66</v>
      </c>
      <c r="N849" s="6">
        <v>0.5</v>
      </c>
      <c r="O849" s="6">
        <v>0.25</v>
      </c>
      <c r="P849" s="6">
        <v>0.75</v>
      </c>
      <c r="Q849" s="7"/>
      <c r="R849" s="7"/>
    </row>
    <row r="850" spans="1:18">
      <c r="A850" s="4" t="s">
        <v>1169</v>
      </c>
      <c r="B850" s="4">
        <f t="shared" si="13"/>
        <v>5</v>
      </c>
      <c r="C850" s="4" t="s">
        <v>31</v>
      </c>
      <c r="D850" s="1" t="str">
        <f>IFERROR(VLOOKUP(A850,[1]biopep_DB!$F$2:$J$1654,5,0),)</f>
        <v/>
      </c>
      <c r="E850" s="1" t="str">
        <f>IFERROR(VLOOKUP(A850,[1]biopep_DB!$F$2:$L$1654,6,0),0)</f>
        <v/>
      </c>
      <c r="F850" s="1" t="str">
        <f>IFERROR(VLOOKUP(A850,[1]biopep_DB!$F$2:$L$1654,7,0),0)</f>
        <v/>
      </c>
      <c r="G850" s="5">
        <v>551.59</v>
      </c>
      <c r="H850" s="5">
        <v>5.24</v>
      </c>
      <c r="I850" s="5">
        <v>-1.15</v>
      </c>
      <c r="J850" s="6">
        <v>-0.98</v>
      </c>
      <c r="K850" s="5">
        <v>46.52</v>
      </c>
      <c r="L850" s="6">
        <v>0.4</v>
      </c>
      <c r="M850" s="6">
        <v>-0.646</v>
      </c>
      <c r="N850" s="6">
        <v>0.4</v>
      </c>
      <c r="O850" s="6">
        <v>0.4</v>
      </c>
      <c r="P850" s="6">
        <v>0.2</v>
      </c>
      <c r="Q850" s="7"/>
      <c r="R850" s="7"/>
    </row>
    <row r="851" spans="1:18">
      <c r="A851" s="4" t="s">
        <v>1170</v>
      </c>
      <c r="B851" s="4">
        <f t="shared" si="13"/>
        <v>6</v>
      </c>
      <c r="C851" s="4" t="s">
        <v>1171</v>
      </c>
      <c r="D851" s="1" t="str">
        <f>IFERROR(VLOOKUP(A851,[1]biopep_DB!$F$2:$J$1654,5,0),)</f>
        <v>Rational design of angiotensin-I-converting enzyme inhibitory peptides by integrating in silico modeling and an in vitro assay.</v>
      </c>
      <c r="E851" s="1" t="str">
        <f>IFERROR(VLOOKUP(A851,[1]biopep_DB!$F$2:$L$1654,6,0),0)</f>
        <v>10.1002/cmdc.201300132</v>
      </c>
      <c r="F851" s="1" t="str">
        <f>IFERROR(VLOOKUP(A851,[1]biopep_DB!$F$2:$L$1654,7,0),0)</f>
        <v>23740817</v>
      </c>
      <c r="G851" s="5">
        <v>682.77</v>
      </c>
      <c r="H851" s="5">
        <v>6.74</v>
      </c>
      <c r="I851" s="5">
        <v>-0.15</v>
      </c>
      <c r="J851" s="6">
        <v>-0.7167</v>
      </c>
      <c r="K851" s="5">
        <v>11.62</v>
      </c>
      <c r="L851" s="6">
        <v>0.5</v>
      </c>
      <c r="M851" s="6">
        <v>-0.7883</v>
      </c>
      <c r="N851" s="6">
        <v>0.1667</v>
      </c>
      <c r="O851" s="6">
        <v>0.5</v>
      </c>
      <c r="P851" s="6">
        <v>0.3333</v>
      </c>
      <c r="Q851" s="7"/>
      <c r="R851" s="7"/>
    </row>
    <row r="852" spans="1:18">
      <c r="A852" s="4" t="s">
        <v>1172</v>
      </c>
      <c r="B852" s="4">
        <f t="shared" si="13"/>
        <v>4</v>
      </c>
      <c r="C852" s="4" t="s">
        <v>1173</v>
      </c>
      <c r="D852" s="1" t="str">
        <f>IFERROR(VLOOKUP(A852,[1]biopep_DB!$F$2:$J$1654,5,0),)</f>
        <v>Inhibition of angiotensin-converting enzyme by synthetic peptide fragments of various beta-caseins.; What are the ideal properties for functional food peptides with antihypertensive effect? A computational peptidology approach.</v>
      </c>
      <c r="E852" s="1" t="str">
        <f>IFERROR(VLOOKUP(A852,[1]biopep_DB!$F$2:$L$1654,6,0),0)</f>
        <v>10.1016/j.foodchem.2013.05.140</v>
      </c>
      <c r="F852" s="1" t="str">
        <f>IFERROR(VLOOKUP(A852,[1]biopep_DB!$F$2:$L$1654,7,0),0)</f>
        <v>1368548 23871047</v>
      </c>
      <c r="G852" s="5">
        <v>478.58</v>
      </c>
      <c r="H852" s="5">
        <v>6.74</v>
      </c>
      <c r="I852" s="5">
        <v>-0.15</v>
      </c>
      <c r="J852" s="6">
        <v>0.7</v>
      </c>
      <c r="K852" s="5">
        <v>55.65</v>
      </c>
      <c r="L852" s="6">
        <v>0.75</v>
      </c>
      <c r="M852" s="6">
        <v>-2.2125</v>
      </c>
      <c r="N852" s="6">
        <v>0.5</v>
      </c>
      <c r="O852" s="6">
        <v>0.25</v>
      </c>
      <c r="P852" s="6">
        <v>0.5</v>
      </c>
      <c r="Q852" s="7"/>
      <c r="R852" s="7"/>
    </row>
    <row r="853" spans="1:18">
      <c r="A853" s="4" t="s">
        <v>1174</v>
      </c>
      <c r="B853" s="4">
        <f t="shared" si="13"/>
        <v>6</v>
      </c>
      <c r="C853" s="4" t="s">
        <v>896</v>
      </c>
      <c r="D853" s="1" t="str">
        <f>IFERROR(VLOOKUP(A853,[1]biopep_DB!$F$2:$J$1654,5,0),)</f>
        <v>Stability to gastrointestinal enzymes and structure-activity relationship of beta-casein-peptides with antihypertensive properties.; Rational design of angiotensin-I-converting enzyme inhibitory peptides by integrating in silico modeling and an in vitro assay.</v>
      </c>
      <c r="E853" s="1" t="str">
        <f>IFERROR(VLOOKUP(A853,[1]biopep_DB!$F$2:$L$1654,6,0),0)</f>
        <v>10.1016/j.peptides.2009.06.031; 10.1002/cmdc.201300132</v>
      </c>
      <c r="F853" s="1" t="str">
        <f>IFERROR(VLOOKUP(A853,[1]biopep_DB!$F$2:$L$1654,7,0),0)</f>
        <v>19591889 23740817</v>
      </c>
      <c r="G853" s="5">
        <v>646.78</v>
      </c>
      <c r="H853" s="5">
        <v>6.74</v>
      </c>
      <c r="I853" s="5">
        <v>-0.15</v>
      </c>
      <c r="J853" s="6">
        <v>0.5</v>
      </c>
      <c r="K853" s="5">
        <v>104.63</v>
      </c>
      <c r="L853" s="6">
        <v>0.8333</v>
      </c>
      <c r="M853" s="6">
        <v>-1.7767</v>
      </c>
      <c r="N853" s="6">
        <v>0.5</v>
      </c>
      <c r="O853" s="6">
        <v>0.3333</v>
      </c>
      <c r="P853" s="6">
        <v>0.3333</v>
      </c>
      <c r="Q853" s="7"/>
      <c r="R853" s="7"/>
    </row>
    <row r="854" spans="1:18">
      <c r="A854" s="4" t="s">
        <v>1175</v>
      </c>
      <c r="B854" s="4">
        <f t="shared" si="13"/>
        <v>6</v>
      </c>
      <c r="C854" s="4" t="s">
        <v>579</v>
      </c>
      <c r="D854" s="1" t="str">
        <f>IFERROR(VLOOKUP(A854,[1]biopep_DB!$F$2:$J$1654,5,0),)</f>
        <v>Stability to gastrointestinal enzymes and structure-activity relationship of beta-casein-peptides with antihypertensive properties.</v>
      </c>
      <c r="E854" s="1" t="str">
        <f>IFERROR(VLOOKUP(A854,[1]biopep_DB!$F$2:$L$1654,6,0),0)</f>
        <v>10.1016/j.peptides.2009.06.031</v>
      </c>
      <c r="F854" s="1" t="str">
        <f>IFERROR(VLOOKUP(A854,[1]biopep_DB!$F$2:$L$1654,7,0),0)</f>
        <v>19591889</v>
      </c>
      <c r="G854" s="5">
        <v>632.75</v>
      </c>
      <c r="H854" s="5">
        <v>6.74</v>
      </c>
      <c r="I854" s="5">
        <v>-0.15</v>
      </c>
      <c r="J854" s="6">
        <v>0.1333</v>
      </c>
      <c r="K854" s="5">
        <v>40.43</v>
      </c>
      <c r="L854" s="6">
        <v>0.6667</v>
      </c>
      <c r="M854" s="6">
        <v>-1.6317</v>
      </c>
      <c r="N854" s="6">
        <v>0.3333</v>
      </c>
      <c r="O854" s="6">
        <v>0.5</v>
      </c>
      <c r="P854" s="6">
        <v>0.3333</v>
      </c>
      <c r="Q854" s="7"/>
      <c r="R854" s="7"/>
    </row>
    <row r="855" spans="1:18">
      <c r="A855" s="4" t="s">
        <v>1176</v>
      </c>
      <c r="B855" s="4">
        <f t="shared" si="13"/>
        <v>6</v>
      </c>
      <c r="C855" s="4" t="s">
        <v>1177</v>
      </c>
      <c r="D855" s="1" t="str">
        <f>IFERROR(VLOOKUP(A855,[1]biopep_DB!$F$2:$J$1654,5,0),)</f>
        <v>Stability to gastrointestinal enzymes and structure-activity relationship of beta-casein-peptides with antihypertensive properties.</v>
      </c>
      <c r="E855" s="1" t="str">
        <f>IFERROR(VLOOKUP(A855,[1]biopep_DB!$F$2:$L$1654,6,0),0)</f>
        <v>10.1016/j.peptides.2009.06.031</v>
      </c>
      <c r="F855" s="1" t="str">
        <f>IFERROR(VLOOKUP(A855,[1]biopep_DB!$F$2:$L$1654,7,0),0)</f>
        <v>19591889</v>
      </c>
      <c r="G855" s="5">
        <v>704.9</v>
      </c>
      <c r="H855" s="5">
        <v>6.74</v>
      </c>
      <c r="I855" s="5">
        <v>-0.15</v>
      </c>
      <c r="J855" s="6">
        <v>1.7333</v>
      </c>
      <c r="K855" s="5">
        <v>40.43</v>
      </c>
      <c r="L855" s="6">
        <v>0.8333</v>
      </c>
      <c r="M855" s="6">
        <v>-3.115</v>
      </c>
      <c r="N855" s="6">
        <v>0.6667</v>
      </c>
      <c r="O855" s="6">
        <v>0.1667</v>
      </c>
      <c r="P855" s="6">
        <v>0.6667</v>
      </c>
      <c r="Q855" s="7"/>
      <c r="R855" s="7"/>
    </row>
    <row r="856" spans="1:18">
      <c r="A856" s="4" t="s">
        <v>1178</v>
      </c>
      <c r="B856" s="4">
        <f t="shared" si="13"/>
        <v>6</v>
      </c>
      <c r="C856" s="4" t="s">
        <v>1179</v>
      </c>
      <c r="D856" s="1" t="str">
        <f>IFERROR(VLOOKUP(A856,[1]biopep_DB!$F$2:$J$1654,5,0),)</f>
        <v>Inhibition of angiotensin-converting enzyme by synthetic peptide fragments of various beta-caseins.; Stability to gastrointestinal enzymes and structure-activity relationship of beta-casein-peptides with antihypertensive properties.; Antihypertensive peptides: production, bioavailability and incorporation into foods.; The potential role of milk-derived peptides in cardiovascular disease.; Enterococcus faecalis strains from food, environmental, and clinical origin produce ACE-inhibitory peptides and other bioactive peptides during growth in bovine skim milk.</v>
      </c>
      <c r="E856" s="1" t="str">
        <f>IFERROR(VLOOKUP(A856,[1]biopep_DB!$F$2:$L$1654,6,0),0)</f>
        <v>10.1016/j.peptides.2009.06.031; 10.1016/j.cis.2010.11.001; 10.1039/c1fo10017c; 10.1016/j.ijfoodmicro.2013.06.019</v>
      </c>
      <c r="F856" s="1" t="str">
        <f>IFERROR(VLOOKUP(A856,[1]biopep_DB!$F$2:$L$1654,7,0),0)</f>
        <v>1368548 19591889 21185549 21779574 23845432</v>
      </c>
      <c r="G856" s="5">
        <v>688.86</v>
      </c>
      <c r="H856" s="5">
        <v>6.74</v>
      </c>
      <c r="I856" s="5">
        <v>-0.15</v>
      </c>
      <c r="J856" s="6">
        <v>0.8333</v>
      </c>
      <c r="K856" s="5">
        <v>72.53</v>
      </c>
      <c r="L856" s="6">
        <v>0.8333</v>
      </c>
      <c r="M856" s="6">
        <v>-2.295</v>
      </c>
      <c r="N856" s="6">
        <v>0.5</v>
      </c>
      <c r="O856" s="6">
        <v>0.3333</v>
      </c>
      <c r="P856" s="6">
        <v>0.5</v>
      </c>
      <c r="Q856" s="7"/>
      <c r="R856" s="7"/>
    </row>
    <row r="857" spans="1:18">
      <c r="A857" s="4" t="s">
        <v>1180</v>
      </c>
      <c r="B857" s="4">
        <f t="shared" si="13"/>
        <v>7</v>
      </c>
      <c r="C857" s="4" t="s">
        <v>1181</v>
      </c>
      <c r="D857" s="1" t="str">
        <f>IFERROR(VLOOKUP(A857,[1]biopep_DB!$F$2:$J$1654,5,0),)</f>
        <v>Antihypertensive effect of peptides obtained from Enterococcus faecalis-fermented milk in rats.; Antihypertensive peptides: production, bioavailability and incorporation into foods.; Antihypertensive peptides from food proteins: a review.; A new QSAR model, for angiotensin I-converting enzyme inhibitory oligopeptides.; Enterococcus faecalis strains from food, environmental, and clinical origin produce ACE-inhibitory peptides and other bioactive peptides during growth in bovine skim milk.</v>
      </c>
      <c r="E857" s="1" t="str">
        <f>IFERROR(VLOOKUP(A857,[1]biopep_DB!$F$2:$L$1654,6,0),0)</f>
        <v>10.3168/jds.S0022-0302(06)72372-4; 10.1016/j.cis.2010.11.001; 10.1039/c2fo10192k; 10.1016/j.foodchem.2012.09.092; 10.1016/j.ijfoodmicro.2013.06.019</v>
      </c>
      <c r="F857" s="1" t="str">
        <f>IFERROR(VLOOKUP(A857,[1]biopep_DB!$F$2:$L$1654,7,0),0)</f>
        <v>16899668 21185549 22249830 23194537 23845432</v>
      </c>
      <c r="G857" s="5">
        <v>802.02</v>
      </c>
      <c r="H857" s="5">
        <v>6.74</v>
      </c>
      <c r="I857" s="5">
        <v>-0.15</v>
      </c>
      <c r="J857" s="6">
        <v>1.2571</v>
      </c>
      <c r="K857" s="5">
        <v>63.6</v>
      </c>
      <c r="L857" s="6">
        <v>0.8571</v>
      </c>
      <c r="M857" s="6">
        <v>-2.67</v>
      </c>
      <c r="N857" s="6">
        <v>0.5714</v>
      </c>
      <c r="O857" s="6">
        <v>0.2857</v>
      </c>
      <c r="P857" s="6">
        <v>0.5714</v>
      </c>
      <c r="Q857" s="7"/>
      <c r="R857" s="7"/>
    </row>
    <row r="858" spans="1:18">
      <c r="A858" s="4" t="s">
        <v>1182</v>
      </c>
      <c r="B858" s="4">
        <f t="shared" si="13"/>
        <v>8</v>
      </c>
      <c r="C858" s="4"/>
      <c r="D858" s="1" t="str">
        <f>IFERROR(VLOOKUP(A858,[1]biopep_DB!$F$2:$J$1654,5,0),)</f>
        <v>Identification of angiotensin-I-converting enzyme inhibitory peptides derived from sodium caseinate hydrolysates produced by Lactobacillus helveticus NCC 2765.; Enterococcus faecalis strains from food, environmental, and clinical origin produce ACE-inhibitory peptides and other bioactive peptides during growth in bovine skim milk.</v>
      </c>
      <c r="E858" s="1" t="str">
        <f>IFERROR(VLOOKUP(A858,[1]biopep_DB!$F$2:$L$1654,6,0),0)</f>
        <v>10.1021/jf049510t; 10.1016/j.ijfoodmicro.2013.06.019</v>
      </c>
      <c r="F858" s="1" t="str">
        <f>IFERROR(VLOOKUP(A858,[1]biopep_DB!$F$2:$L$1654,7,0),0)</f>
        <v>15537298 23845432</v>
      </c>
      <c r="G858" s="5">
        <v>915.17</v>
      </c>
      <c r="H858" s="5">
        <v>6.74</v>
      </c>
      <c r="I858" s="5">
        <v>-0.15</v>
      </c>
      <c r="J858" s="6">
        <v>1.575</v>
      </c>
      <c r="K858" s="5">
        <v>56.9</v>
      </c>
      <c r="L858" s="6">
        <v>0.875</v>
      </c>
      <c r="M858" s="6">
        <v>-2.9512</v>
      </c>
      <c r="N858" s="6">
        <v>0.625</v>
      </c>
      <c r="O858" s="6">
        <v>0.25</v>
      </c>
      <c r="P858" s="6">
        <v>0.625</v>
      </c>
      <c r="Q858" s="7"/>
      <c r="R858" s="7"/>
    </row>
    <row r="859" spans="1:18">
      <c r="A859" s="4" t="s">
        <v>1183</v>
      </c>
      <c r="B859" s="4">
        <f t="shared" si="13"/>
        <v>6</v>
      </c>
      <c r="C859" s="4" t="s">
        <v>461</v>
      </c>
      <c r="D859" s="1" t="str">
        <f>IFERROR(VLOOKUP(A859,[1]biopep_DB!$F$2:$J$1654,5,0),)</f>
        <v>Stability to gastrointestinal enzymes and structure-activity relationship of beta-casein-peptides with antihypertensive properties.</v>
      </c>
      <c r="E859" s="1" t="str">
        <f>IFERROR(VLOOKUP(A859,[1]biopep_DB!$F$2:$L$1654,6,0),0)</f>
        <v>10.1016/j.peptides.2009.06.031</v>
      </c>
      <c r="F859" s="1" t="str">
        <f>IFERROR(VLOOKUP(A859,[1]biopep_DB!$F$2:$L$1654,7,0),0)</f>
        <v>19591889</v>
      </c>
      <c r="G859" s="5">
        <v>747.93</v>
      </c>
      <c r="H859" s="5">
        <v>9.76</v>
      </c>
      <c r="I859" s="5">
        <v>0.85</v>
      </c>
      <c r="J859" s="6">
        <v>0.35</v>
      </c>
      <c r="K859" s="5">
        <v>72.53</v>
      </c>
      <c r="L859" s="6">
        <v>0.6667</v>
      </c>
      <c r="M859" s="6">
        <v>-1.8417</v>
      </c>
      <c r="N859" s="6">
        <v>0.5</v>
      </c>
      <c r="O859" s="6">
        <v>0.1667</v>
      </c>
      <c r="P859" s="6">
        <v>0.5</v>
      </c>
      <c r="Q859" s="7"/>
      <c r="R859" s="7"/>
    </row>
    <row r="860" spans="1:18">
      <c r="A860" s="4" t="s">
        <v>1184</v>
      </c>
      <c r="B860" s="4">
        <f t="shared" si="13"/>
        <v>5</v>
      </c>
      <c r="C860" s="4" t="s">
        <v>31</v>
      </c>
      <c r="D860" s="1" t="str">
        <f>IFERROR(VLOOKUP(A860,[1]biopep_DB!$F$2:$J$1654,5,0),)</f>
        <v/>
      </c>
      <c r="E860" s="1" t="str">
        <f>IFERROR(VLOOKUP(A860,[1]biopep_DB!$F$2:$L$1654,6,0),0)</f>
        <v/>
      </c>
      <c r="F860" s="1" t="str">
        <f>IFERROR(VLOOKUP(A860,[1]biopep_DB!$F$2:$L$1654,7,0),0)</f>
        <v/>
      </c>
      <c r="G860" s="5">
        <v>565.66</v>
      </c>
      <c r="H860" s="5">
        <v>6.74</v>
      </c>
      <c r="I860" s="5">
        <v>-0.15</v>
      </c>
      <c r="J860" s="6">
        <v>0.4</v>
      </c>
      <c r="K860" s="5">
        <v>85.04</v>
      </c>
      <c r="L860" s="6">
        <v>0.6</v>
      </c>
      <c r="M860" s="6">
        <v>-1.602</v>
      </c>
      <c r="N860" s="6">
        <v>0.4</v>
      </c>
      <c r="O860" s="6">
        <v>0.4</v>
      </c>
      <c r="P860" s="6">
        <v>0.4</v>
      </c>
      <c r="Q860" s="7"/>
      <c r="R860" s="7"/>
    </row>
    <row r="861" spans="1:18">
      <c r="A861" s="4" t="s">
        <v>1185</v>
      </c>
      <c r="B861" s="4">
        <f t="shared" si="13"/>
        <v>6</v>
      </c>
      <c r="C861" s="4" t="s">
        <v>1186</v>
      </c>
      <c r="D861" s="1" t="str">
        <f>IFERROR(VLOOKUP(A861,[1]biopep_DB!$F$2:$J$1654,5,0),)</f>
        <v>Stability to gastrointestinal enzymes and structure-activity relationship of beta-casein-peptides with antihypertensive properties.</v>
      </c>
      <c r="E861" s="1" t="str">
        <f>IFERROR(VLOOKUP(A861,[1]biopep_DB!$F$2:$L$1654,6,0),0)</f>
        <v>10.1016/j.peptides.2009.06.031</v>
      </c>
      <c r="F861" s="1" t="str">
        <f>IFERROR(VLOOKUP(A861,[1]biopep_DB!$F$2:$L$1654,7,0),0)</f>
        <v>19591889</v>
      </c>
      <c r="G861" s="5">
        <v>738.87</v>
      </c>
      <c r="H861" s="5">
        <v>6.74</v>
      </c>
      <c r="I861" s="5">
        <v>-0.15</v>
      </c>
      <c r="J861" s="6">
        <v>-0.0167</v>
      </c>
      <c r="K861" s="5">
        <v>61</v>
      </c>
      <c r="L861" s="6">
        <v>0.6667</v>
      </c>
      <c r="M861" s="6">
        <v>-1.4517</v>
      </c>
      <c r="N861" s="6">
        <v>0.3333</v>
      </c>
      <c r="O861" s="6">
        <v>0.3333</v>
      </c>
      <c r="P861" s="6">
        <v>0.5</v>
      </c>
      <c r="Q861" s="7"/>
      <c r="R861" s="7"/>
    </row>
    <row r="862" spans="1:18">
      <c r="A862" s="4" t="s">
        <v>1187</v>
      </c>
      <c r="B862" s="4">
        <f t="shared" si="13"/>
        <v>6</v>
      </c>
      <c r="C862" s="4" t="s">
        <v>1188</v>
      </c>
      <c r="D862" s="1" t="str">
        <f>IFERROR(VLOOKUP(A862,[1]biopep_DB!$F$2:$J$1654,5,0),)</f>
        <v>Stability to gastrointestinal enzymes and structure-activity relationship of beta-casein-peptides with antihypertensive properties.</v>
      </c>
      <c r="E862" s="1" t="str">
        <f>IFERROR(VLOOKUP(A862,[1]biopep_DB!$F$2:$L$1654,6,0),0)</f>
        <v>10.1016/j.peptides.2009.06.031</v>
      </c>
      <c r="F862" s="1" t="str">
        <f>IFERROR(VLOOKUP(A862,[1]biopep_DB!$F$2:$L$1654,7,0),0)</f>
        <v>19591889</v>
      </c>
      <c r="G862" s="5">
        <v>777.95</v>
      </c>
      <c r="H862" s="5">
        <v>6.74</v>
      </c>
      <c r="I862" s="5">
        <v>-0.15</v>
      </c>
      <c r="J862" s="6">
        <v>0.95</v>
      </c>
      <c r="K862" s="5">
        <v>100.47</v>
      </c>
      <c r="L862" s="6">
        <v>0.8333</v>
      </c>
      <c r="M862" s="6">
        <v>-2.6833</v>
      </c>
      <c r="N862" s="6">
        <v>0.5</v>
      </c>
      <c r="O862" s="6">
        <v>0.1667</v>
      </c>
      <c r="P862" s="6">
        <v>0.6667</v>
      </c>
      <c r="Q862" s="7"/>
      <c r="R862" s="7"/>
    </row>
    <row r="863" spans="1:18">
      <c r="A863" s="4" t="s">
        <v>1189</v>
      </c>
      <c r="B863" s="4">
        <f t="shared" si="13"/>
        <v>6</v>
      </c>
      <c r="C863" s="4" t="s">
        <v>1190</v>
      </c>
      <c r="D863" s="1" t="str">
        <f>IFERROR(VLOOKUP(A863,[1]biopep_DB!$F$2:$J$1654,5,0),)</f>
        <v>Stability to gastrointestinal enzymes and structure-activity relationship of beta-casein-peptides with antihypertensive properties.</v>
      </c>
      <c r="E863" s="1" t="str">
        <f>IFERROR(VLOOKUP(A863,[1]biopep_DB!$F$2:$L$1654,6,0),0)</f>
        <v>10.1016/j.peptides.2009.06.031</v>
      </c>
      <c r="F863" s="1" t="str">
        <f>IFERROR(VLOOKUP(A863,[1]biopep_DB!$F$2:$L$1654,7,0),0)</f>
        <v>19591889</v>
      </c>
      <c r="G863" s="5">
        <v>754.92</v>
      </c>
      <c r="H863" s="5">
        <v>6.74</v>
      </c>
      <c r="I863" s="5">
        <v>-0.15</v>
      </c>
      <c r="J863" s="6">
        <v>0.8833</v>
      </c>
      <c r="K863" s="5">
        <v>40.43</v>
      </c>
      <c r="L863" s="6">
        <v>0.6667</v>
      </c>
      <c r="M863" s="6">
        <v>-2.2717</v>
      </c>
      <c r="N863" s="6">
        <v>0.5</v>
      </c>
      <c r="O863" s="6">
        <v>0.1667</v>
      </c>
      <c r="P863" s="6">
        <v>0.6667</v>
      </c>
      <c r="Q863" s="7"/>
      <c r="R863" s="7"/>
    </row>
    <row r="864" spans="1:18">
      <c r="A864" s="4" t="s">
        <v>1191</v>
      </c>
      <c r="B864" s="4">
        <f t="shared" si="13"/>
        <v>3</v>
      </c>
      <c r="C864" s="4" t="s">
        <v>1192</v>
      </c>
      <c r="D864" s="1" t="str">
        <f>IFERROR(VLOOKUP(A864,[1]biopep_DB!$F$2:$J$1654,5,0),)</f>
        <v>Antihypertensive peptides from food proteins: a review.; Vegetable foods: a cheap source of proteins and peptides with antihypertensive, antioxidant, and other less occurrence bioactivities.</v>
      </c>
      <c r="E864" s="1" t="str">
        <f>IFERROR(VLOOKUP(A864,[1]biopep_DB!$F$2:$L$1654,6,0),0)</f>
        <v>10.1039/c2fo10192k; 10.1016/j.talanta.2012.12.041</v>
      </c>
      <c r="F864" s="1" t="str">
        <f>IFERROR(VLOOKUP(A864,[1]biopep_DB!$F$2:$L$1654,7,0),0)</f>
        <v>22249830 23598136</v>
      </c>
      <c r="G864" s="5">
        <v>365.43</v>
      </c>
      <c r="H864" s="5">
        <v>6.74</v>
      </c>
      <c r="I864" s="5">
        <v>-0.15</v>
      </c>
      <c r="J864" s="6">
        <v>-0.3333</v>
      </c>
      <c r="K864" s="5">
        <v>-2.93</v>
      </c>
      <c r="L864" s="6">
        <v>0.6667</v>
      </c>
      <c r="M864" s="6">
        <v>-1.31</v>
      </c>
      <c r="N864" s="6">
        <v>0.3333</v>
      </c>
      <c r="O864" s="6">
        <v>0.3333</v>
      </c>
      <c r="P864" s="6">
        <v>0.3333</v>
      </c>
      <c r="Q864" s="7"/>
      <c r="R864" s="7"/>
    </row>
    <row r="865" spans="1:18">
      <c r="A865" s="4" t="s">
        <v>1193</v>
      </c>
      <c r="B865" s="4">
        <f t="shared" si="13"/>
        <v>8</v>
      </c>
      <c r="C865" s="4"/>
      <c r="G865" s="5">
        <v>892.96</v>
      </c>
      <c r="H865" s="5">
        <v>6.74</v>
      </c>
      <c r="I865" s="5">
        <v>-0.15</v>
      </c>
      <c r="J865" s="6">
        <v>-1.3875</v>
      </c>
      <c r="K865" s="5">
        <v>5.15</v>
      </c>
      <c r="L865" s="6">
        <v>0.375</v>
      </c>
      <c r="M865" s="6">
        <v>-0.115</v>
      </c>
      <c r="N865" s="6">
        <v>0.25</v>
      </c>
      <c r="O865" s="6">
        <v>0.375</v>
      </c>
      <c r="P865" s="6">
        <v>0.125</v>
      </c>
      <c r="Q865" s="7"/>
      <c r="R865" s="7"/>
    </row>
    <row r="866" spans="1:18">
      <c r="A866" s="4" t="s">
        <v>1194</v>
      </c>
      <c r="B866" s="4">
        <f t="shared" si="13"/>
        <v>5</v>
      </c>
      <c r="C866" s="4" t="s">
        <v>31</v>
      </c>
      <c r="D866" s="1" t="str">
        <f>IFERROR(VLOOKUP(A866,[1]biopep_DB!$F$2:$J$1654,5,0),)</f>
        <v/>
      </c>
      <c r="E866" s="1" t="str">
        <f>IFERROR(VLOOKUP(A866,[1]biopep_DB!$F$2:$L$1654,6,0),0)</f>
        <v/>
      </c>
      <c r="F866" s="1" t="str">
        <f>IFERROR(VLOOKUP(A866,[1]biopep_DB!$F$2:$L$1654,7,0),0)</f>
        <v/>
      </c>
      <c r="G866" s="5">
        <v>667.71</v>
      </c>
      <c r="H866" s="5">
        <v>6.75</v>
      </c>
      <c r="I866" s="5">
        <v>-0.15</v>
      </c>
      <c r="J866" s="6">
        <v>-2.18</v>
      </c>
      <c r="K866" s="5">
        <v>8</v>
      </c>
      <c r="L866" s="6">
        <v>0.2</v>
      </c>
      <c r="M866" s="6">
        <v>0.41</v>
      </c>
      <c r="N866" s="6">
        <v>0.4</v>
      </c>
      <c r="O866" s="6">
        <v>0.2</v>
      </c>
      <c r="P866" s="6">
        <v>0.2</v>
      </c>
      <c r="Q866" s="7"/>
      <c r="R866" s="7"/>
    </row>
    <row r="867" spans="1:18">
      <c r="A867" s="4" t="s">
        <v>1195</v>
      </c>
      <c r="B867" s="4">
        <f t="shared" si="13"/>
        <v>7</v>
      </c>
      <c r="C867" s="4"/>
      <c r="D867" s="1" t="str">
        <f>IFERROR(VLOOKUP(A867,[1]biopep_DB!$F$2:$J$1654,5,0),)</f>
        <v>Enterococcus faecalis strains from food, environmental, and clinical origin produce ACE-inhibitory peptides and other bioactive peptides during growth in bovine skim milk.</v>
      </c>
      <c r="E867" s="1" t="str">
        <f>IFERROR(VLOOKUP(A867,[1]biopep_DB!$F$2:$L$1654,6,0),0)</f>
        <v>10.1016/j.ijfoodmicro.2013.06.019</v>
      </c>
      <c r="F867" s="1" t="str">
        <f>IFERROR(VLOOKUP(A867,[1]biopep_DB!$F$2:$L$1654,7,0),0)</f>
        <v>23845432</v>
      </c>
      <c r="G867" s="5">
        <v>800.92</v>
      </c>
      <c r="H867" s="5">
        <v>6.75</v>
      </c>
      <c r="I867" s="5">
        <v>-0.15</v>
      </c>
      <c r="J867" s="6">
        <v>-0.8714</v>
      </c>
      <c r="K867" s="5">
        <v>8.57</v>
      </c>
      <c r="L867" s="6">
        <v>0.2857</v>
      </c>
      <c r="M867" s="6">
        <v>-0.4514</v>
      </c>
      <c r="N867" s="6">
        <v>0.5714</v>
      </c>
      <c r="O867" s="6">
        <v>0.2857</v>
      </c>
      <c r="P867" s="6">
        <v>0.1429</v>
      </c>
      <c r="Q867" s="7"/>
      <c r="R867" s="7"/>
    </row>
    <row r="868" spans="1:18">
      <c r="A868" s="4" t="s">
        <v>1196</v>
      </c>
      <c r="B868" s="4">
        <f t="shared" si="13"/>
        <v>2</v>
      </c>
      <c r="C868" s="4"/>
      <c r="D868" s="1" t="str">
        <f>IFERROR(VLOOKUP(A868,[1]biopep_DB!$F$2:$J$1654,5,0),)</f>
        <v>Quantitative structure-activity relationship study of bitter di- and tri-peptides including relationship with angiotensin I-converting enzyme inhibitory activity.</v>
      </c>
      <c r="E868" s="1" t="str">
        <f>IFERROR(VLOOKUP(A868,[1]biopep_DB!$F$2:$L$1654,6,0),0)</f>
        <v>10.1002/psc.800</v>
      </c>
      <c r="F868" s="1" t="str">
        <f>IFERROR(VLOOKUP(A868,[1]biopep_DB!$F$2:$L$1654,7,0),0)</f>
        <v>17117396</v>
      </c>
      <c r="G868" s="5">
        <v>244.33</v>
      </c>
      <c r="H868" s="5">
        <v>5.53</v>
      </c>
      <c r="I868" s="5">
        <v>-0.24</v>
      </c>
      <c r="J868" s="6">
        <v>4.15</v>
      </c>
      <c r="K868" s="5">
        <v>5</v>
      </c>
      <c r="L868" s="6">
        <v>1</v>
      </c>
      <c r="M868" s="6">
        <v>-4.92</v>
      </c>
      <c r="N868" s="6">
        <v>0.5</v>
      </c>
      <c r="O868" s="6">
        <v>0</v>
      </c>
      <c r="P868" s="6">
        <v>1</v>
      </c>
      <c r="Q868" s="7"/>
      <c r="R868" s="7"/>
    </row>
    <row r="869" spans="1:18">
      <c r="A869" s="4" t="s">
        <v>1197</v>
      </c>
      <c r="B869" s="4">
        <f t="shared" si="13"/>
        <v>8</v>
      </c>
      <c r="C869" s="4" t="s">
        <v>1198</v>
      </c>
      <c r="D869" s="1" t="str">
        <f>IFERROR(VLOOKUP(A869,[1]biopep_DB!$F$2:$J$1654,5,0),)</f>
        <v>A new QSAR model, for angiotensin I-converting enzyme inhibitory oligopeptides.; Vegetable foods: a cheap source of proteins and peptides with antihypertensive, antioxidant, and other less occurrence bioactivities.</v>
      </c>
      <c r="E869" s="1" t="str">
        <f>IFERROR(VLOOKUP(A869,[1]biopep_DB!$F$2:$L$1654,6,0),0)</f>
        <v>10.1016/j.foodchem.2012.09.092; 10.1016/j.talanta.2012.12.041</v>
      </c>
      <c r="F869" s="1" t="str">
        <f>IFERROR(VLOOKUP(A869,[1]biopep_DB!$F$2:$L$1654,7,0),0)</f>
        <v>23194537 23598136</v>
      </c>
      <c r="G869" s="5">
        <v>855.03</v>
      </c>
      <c r="H869" s="5">
        <v>5.52</v>
      </c>
      <c r="I869" s="5">
        <v>-0.24</v>
      </c>
      <c r="J869" s="6">
        <v>0.75</v>
      </c>
      <c r="K869" s="5">
        <v>53.3</v>
      </c>
      <c r="L869" s="6">
        <v>0.75</v>
      </c>
      <c r="M869" s="6">
        <v>-1.835</v>
      </c>
      <c r="N869" s="6">
        <v>0.125</v>
      </c>
      <c r="O869" s="6">
        <v>0.5</v>
      </c>
      <c r="P869" s="6">
        <v>0.5</v>
      </c>
      <c r="Q869" s="7"/>
      <c r="R869" s="7"/>
    </row>
    <row r="870" spans="1:18">
      <c r="A870" s="4" t="s">
        <v>1199</v>
      </c>
      <c r="B870" s="4">
        <f t="shared" si="13"/>
        <v>4</v>
      </c>
      <c r="C870" s="4"/>
      <c r="D870" s="1" t="str">
        <f>IFERROR(VLOOKUP(A870,[1]biopep_DB!$F$2:$J$1654,5,0),)</f>
        <v>Isolation from alpha-zein of thermolysin peptides with angiotensin I-converting enzyme inhibitory activity.</v>
      </c>
      <c r="E870" s="1" t="str">
        <f>IFERROR(VLOOKUP(A870,[1]biopep_DB!$F$2:$L$1654,6,0),0)</f>
        <v>10.1271/bbb.60.661</v>
      </c>
      <c r="F870" s="1" t="str">
        <f>IFERROR(VLOOKUP(A870,[1]biopep_DB!$F$2:$L$1654,7,0),0)</f>
        <v>8829536</v>
      </c>
      <c r="G870" s="5">
        <v>469.57</v>
      </c>
      <c r="H870" s="5">
        <v>5.53</v>
      </c>
      <c r="I870" s="5">
        <v>-0.24</v>
      </c>
      <c r="J870" s="6">
        <v>0.8</v>
      </c>
      <c r="K870" s="5">
        <v>55.65</v>
      </c>
      <c r="L870" s="6">
        <v>0.75</v>
      </c>
      <c r="M870" s="6">
        <v>-2.12</v>
      </c>
      <c r="N870" s="6">
        <v>0.25</v>
      </c>
      <c r="O870" s="6">
        <v>0.25</v>
      </c>
      <c r="P870" s="6">
        <v>0.5</v>
      </c>
      <c r="Q870" s="7"/>
      <c r="R870" s="7"/>
    </row>
    <row r="871" spans="1:18">
      <c r="A871" s="4" t="s">
        <v>1200</v>
      </c>
      <c r="B871" s="4">
        <f t="shared" si="13"/>
        <v>10</v>
      </c>
      <c r="C871" s="4"/>
      <c r="G871" s="5">
        <v>1073.24</v>
      </c>
      <c r="H871" s="5">
        <v>6.74</v>
      </c>
      <c r="I871" s="5">
        <v>-0.15</v>
      </c>
      <c r="J871" s="6">
        <v>1.02</v>
      </c>
      <c r="K871" s="5">
        <v>22.05</v>
      </c>
      <c r="L871" s="6">
        <v>0.6</v>
      </c>
      <c r="M871" s="6">
        <v>-1.942</v>
      </c>
      <c r="N871" s="6">
        <v>0.2</v>
      </c>
      <c r="O871" s="6">
        <v>0.3</v>
      </c>
      <c r="P871" s="6">
        <v>0.5</v>
      </c>
      <c r="Q871" s="7"/>
      <c r="R871" s="7"/>
    </row>
    <row r="872" spans="1:18">
      <c r="A872" s="4" t="s">
        <v>1201</v>
      </c>
      <c r="B872" s="4">
        <f t="shared" si="13"/>
        <v>5</v>
      </c>
      <c r="C872" s="4" t="s">
        <v>1202</v>
      </c>
      <c r="D872" s="1" t="str">
        <f>IFERROR(VLOOKUP(A872,[1]biopep_DB!$F$2:$J$1654,5,0),)</f>
        <v/>
      </c>
      <c r="E872" s="1" t="str">
        <f>IFERROR(VLOOKUP(A872,[1]biopep_DB!$F$2:$L$1654,6,0),0)</f>
        <v/>
      </c>
      <c r="F872" s="1" t="str">
        <f>IFERROR(VLOOKUP(A872,[1]biopep_DB!$F$2:$L$1654,7,0),0)</f>
        <v/>
      </c>
      <c r="G872" s="5">
        <v>671.87</v>
      </c>
      <c r="H872" s="5">
        <v>8.75</v>
      </c>
      <c r="I872" s="5">
        <v>0.76</v>
      </c>
      <c r="J872" s="6">
        <v>1.46</v>
      </c>
      <c r="K872" s="5">
        <v>-8.98</v>
      </c>
      <c r="L872" s="6">
        <v>0.8</v>
      </c>
      <c r="M872" s="6">
        <v>-3.102</v>
      </c>
      <c r="N872" s="6">
        <v>0.6</v>
      </c>
      <c r="O872" s="6">
        <v>0</v>
      </c>
      <c r="P872" s="6">
        <v>0.8</v>
      </c>
      <c r="Q872" s="7"/>
      <c r="R872" s="7"/>
    </row>
    <row r="873" spans="1:18">
      <c r="A873" s="4" t="s">
        <v>1203</v>
      </c>
      <c r="B873" s="4">
        <f t="shared" si="13"/>
        <v>3</v>
      </c>
      <c r="C873" s="4" t="s">
        <v>36</v>
      </c>
      <c r="D873" s="1" t="str">
        <f>IFERROR(VLOOKUP(A873,[1]biopep_DB!$F$2:$J$1654,5,0),)</f>
        <v>Structural requirements of Angiotensin I-converting enzyme inhibitory peptides: quantitative structure-activity relationship study of di- and tripeptides.; Inhibition strength of short peptides derived from an ACE inhibitory peptide.; Rational design of angiotensin-I-converting enzyme inhibitory peptides by integrating in silico modeling and an in vitro assay.</v>
      </c>
      <c r="E873" s="1" t="str">
        <f>IFERROR(VLOOKUP(A873,[1]biopep_DB!$F$2:$L$1654,6,0),0)</f>
        <v>10.1021/jf051263l; 10.1021/jf202902r; 10.1002/cmdc.201300132</v>
      </c>
      <c r="F873" s="1" t="str">
        <f>IFERROR(VLOOKUP(A873,[1]biopep_DB!$F$2:$L$1654,7,0),0)</f>
        <v>16448176 21923188 23740817</v>
      </c>
      <c r="G873" s="5">
        <v>407.5</v>
      </c>
      <c r="H873" s="5">
        <v>5.52</v>
      </c>
      <c r="I873" s="5">
        <v>-0.24</v>
      </c>
      <c r="J873" s="6">
        <v>2.3333</v>
      </c>
      <c r="K873" s="5">
        <v>6.67</v>
      </c>
      <c r="L873" s="6">
        <v>0.6667</v>
      </c>
      <c r="M873" s="6">
        <v>-3.2333</v>
      </c>
      <c r="N873" s="6">
        <v>0.3333</v>
      </c>
      <c r="O873" s="6">
        <v>0</v>
      </c>
      <c r="P873" s="6">
        <v>1</v>
      </c>
      <c r="Q873" s="7"/>
      <c r="R873" s="7"/>
    </row>
    <row r="874" spans="1:18">
      <c r="A874" s="4" t="s">
        <v>1204</v>
      </c>
      <c r="B874" s="4">
        <f t="shared" si="13"/>
        <v>4</v>
      </c>
      <c r="C874" s="4" t="s">
        <v>105</v>
      </c>
      <c r="D874" s="1" t="str">
        <f>IFERROR(VLOOKUP(A874,[1]biopep_DB!$F$2:$J$1654,5,0),)</f>
        <v>Inhibition of angiotensin-converting enzyme by synthetic peptide fragments of various beta-caseins.; The potential role of milk-derived peptides in cardiovascular disease.; What are the ideal properties for functional food peptides with antihypertensive effect? A computational peptidology approach.</v>
      </c>
      <c r="E874" s="1" t="str">
        <f>IFERROR(VLOOKUP(A874,[1]biopep_DB!$F$2:$L$1654,6,0),0)</f>
        <v>10.1039/c1fo10017c; 10.1016/j.foodchem.2013.05.140</v>
      </c>
      <c r="F874" s="1" t="str">
        <f>IFERROR(VLOOKUP(A874,[1]biopep_DB!$F$2:$L$1654,7,0),0)</f>
        <v>1368548 21779574 23871047</v>
      </c>
      <c r="G874" s="5">
        <v>504.62</v>
      </c>
      <c r="H874" s="5">
        <v>5.52</v>
      </c>
      <c r="I874" s="5">
        <v>-0.24</v>
      </c>
      <c r="J874" s="6">
        <v>1.35</v>
      </c>
      <c r="K874" s="5">
        <v>38.35</v>
      </c>
      <c r="L874" s="6">
        <v>0.75</v>
      </c>
      <c r="M874" s="6">
        <v>-2.425</v>
      </c>
      <c r="N874" s="6">
        <v>0.25</v>
      </c>
      <c r="O874" s="6">
        <v>0.25</v>
      </c>
      <c r="P874" s="6">
        <v>0.75</v>
      </c>
      <c r="Q874" s="7"/>
      <c r="R874" s="7"/>
    </row>
    <row r="875" spans="1:18">
      <c r="A875" s="4" t="s">
        <v>1205</v>
      </c>
      <c r="B875" s="4">
        <f t="shared" si="13"/>
        <v>3</v>
      </c>
      <c r="C875" s="4" t="s">
        <v>418</v>
      </c>
      <c r="D875" s="1" t="str">
        <f>IFERROR(VLOOKUP(A875,[1]biopep_DB!$F$2:$J$1654,5,0),)</f>
        <v>Temporal gene expression and probiotic attributes of Lactobacillus acidophilus during growth in milk.; Isolation and characterization of peptides with antihypertensive activity in foodstuffs.</v>
      </c>
      <c r="E875" s="1" t="str">
        <f>IFERROR(VLOOKUP(A875,[1]biopep_DB!$F$2:$L$1654,6,0),0)</f>
        <v>10.3168/jds.2008-1457; 10.1080/10408398.2012.664829</v>
      </c>
      <c r="F875" s="1" t="str">
        <f>IFERROR(VLOOKUP(A875,[1]biopep_DB!$F$2:$L$1654,7,0),0)</f>
        <v>19233780 24915368</v>
      </c>
      <c r="G875" s="5">
        <v>330.42</v>
      </c>
      <c r="H875" s="5">
        <v>8.75</v>
      </c>
      <c r="I875" s="5">
        <v>0.76</v>
      </c>
      <c r="J875" s="6">
        <v>0.5667</v>
      </c>
      <c r="K875" s="5">
        <v>-21.63</v>
      </c>
      <c r="L875" s="6">
        <v>0.6667</v>
      </c>
      <c r="M875" s="6">
        <v>-1.7167</v>
      </c>
      <c r="N875" s="6">
        <v>1</v>
      </c>
      <c r="O875" s="6">
        <v>0</v>
      </c>
      <c r="P875" s="6">
        <v>0.3333</v>
      </c>
      <c r="Q875" s="7"/>
      <c r="R875" s="7"/>
    </row>
    <row r="876" spans="1:18">
      <c r="A876" s="4" t="s">
        <v>1206</v>
      </c>
      <c r="B876" s="4">
        <f t="shared" si="13"/>
        <v>3</v>
      </c>
      <c r="C876" s="4" t="s">
        <v>31</v>
      </c>
      <c r="D876" s="1" t="str">
        <f>IFERROR(VLOOKUP(A876,[1]biopep_DB!$F$2:$J$1654,5,0),)</f>
        <v/>
      </c>
      <c r="E876" s="1" t="str">
        <f>IFERROR(VLOOKUP(A876,[1]biopep_DB!$F$2:$L$1654,6,0),0)</f>
        <v/>
      </c>
      <c r="F876" s="1" t="str">
        <f>IFERROR(VLOOKUP(A876,[1]biopep_DB!$F$2:$L$1654,7,0),0)</f>
        <v/>
      </c>
      <c r="G876" s="5">
        <v>362.49</v>
      </c>
      <c r="H876" s="5">
        <v>8.22</v>
      </c>
      <c r="I876" s="5">
        <v>0.75</v>
      </c>
      <c r="J876" s="6">
        <v>0.8</v>
      </c>
      <c r="K876" s="5">
        <v>-21.63</v>
      </c>
      <c r="L876" s="6">
        <v>0.3333</v>
      </c>
      <c r="M876" s="6">
        <v>-1.54</v>
      </c>
      <c r="N876" s="6">
        <v>0.6667</v>
      </c>
      <c r="O876" s="6">
        <v>0</v>
      </c>
      <c r="P876" s="6">
        <v>0.3333</v>
      </c>
      <c r="Q876" s="7"/>
      <c r="R876" s="7"/>
    </row>
    <row r="877" spans="1:18">
      <c r="A877" s="4" t="s">
        <v>1207</v>
      </c>
      <c r="B877" s="4">
        <f t="shared" si="13"/>
        <v>3</v>
      </c>
      <c r="C877" s="4" t="s">
        <v>31</v>
      </c>
      <c r="D877" s="1" t="str">
        <f>IFERROR(VLOOKUP(A877,[1]biopep_DB!$F$2:$J$1654,5,0),)</f>
        <v/>
      </c>
      <c r="E877" s="1" t="str">
        <f>IFERROR(VLOOKUP(A877,[1]biopep_DB!$F$2:$L$1654,6,0),0)</f>
        <v/>
      </c>
      <c r="F877" s="1" t="str">
        <f>IFERROR(VLOOKUP(A877,[1]biopep_DB!$F$2:$L$1654,7,0),0)</f>
        <v/>
      </c>
      <c r="G877" s="5">
        <v>374.43</v>
      </c>
      <c r="H877" s="5">
        <v>6.09</v>
      </c>
      <c r="I877" s="5">
        <v>-0.24</v>
      </c>
      <c r="J877" s="6">
        <v>-1.2</v>
      </c>
      <c r="K877" s="5">
        <v>-21.63</v>
      </c>
      <c r="L877" s="6">
        <v>0.3333</v>
      </c>
      <c r="M877" s="6">
        <v>-0.5533</v>
      </c>
      <c r="N877" s="6">
        <v>0.6667</v>
      </c>
      <c r="O877" s="6">
        <v>0.3333</v>
      </c>
      <c r="P877" s="6">
        <v>0.3333</v>
      </c>
      <c r="Q877" s="7"/>
      <c r="R877" s="7"/>
    </row>
    <row r="878" spans="1:18">
      <c r="A878" s="4" t="s">
        <v>1208</v>
      </c>
      <c r="B878" s="4">
        <f t="shared" si="13"/>
        <v>5</v>
      </c>
      <c r="C878" s="4" t="s">
        <v>31</v>
      </c>
      <c r="G878" s="5">
        <v>573.64</v>
      </c>
      <c r="H878" s="5">
        <v>5.84</v>
      </c>
      <c r="I878" s="5">
        <v>-0.24</v>
      </c>
      <c r="J878" s="6">
        <v>-1.06</v>
      </c>
      <c r="K878" s="5">
        <v>-8.98</v>
      </c>
      <c r="L878" s="6">
        <v>0.4</v>
      </c>
      <c r="M878" s="6">
        <v>-0.422</v>
      </c>
      <c r="N878" s="6">
        <v>0.6</v>
      </c>
      <c r="O878" s="6">
        <v>0.2</v>
      </c>
      <c r="P878" s="6">
        <v>0.2</v>
      </c>
      <c r="Q878" s="7"/>
      <c r="R878" s="7"/>
    </row>
    <row r="879" spans="1:18">
      <c r="A879" s="4" t="s">
        <v>1209</v>
      </c>
      <c r="B879" s="4">
        <f t="shared" si="13"/>
        <v>5</v>
      </c>
      <c r="C879" s="4" t="s">
        <v>31</v>
      </c>
      <c r="D879" s="1" t="str">
        <f>IFERROR(VLOOKUP(A879,[1]biopep_DB!$F$2:$J$1654,5,0),)</f>
        <v/>
      </c>
      <c r="E879" s="1" t="str">
        <f>IFERROR(VLOOKUP(A879,[1]biopep_DB!$F$2:$L$1654,6,0),0)</f>
        <v/>
      </c>
      <c r="F879" s="1" t="str">
        <f>IFERROR(VLOOKUP(A879,[1]biopep_DB!$F$2:$L$1654,7,0),0)</f>
        <v/>
      </c>
      <c r="G879" s="5">
        <v>603.67</v>
      </c>
      <c r="H879" s="5">
        <v>5.84</v>
      </c>
      <c r="I879" s="5">
        <v>-0.24</v>
      </c>
      <c r="J879" s="6">
        <v>-1.56</v>
      </c>
      <c r="K879" s="5">
        <v>-54.12</v>
      </c>
      <c r="L879" s="6">
        <v>0.2</v>
      </c>
      <c r="M879" s="6">
        <v>-0.008</v>
      </c>
      <c r="N879" s="6">
        <v>0.4</v>
      </c>
      <c r="O879" s="6">
        <v>0.2</v>
      </c>
      <c r="P879" s="6">
        <v>0.4</v>
      </c>
      <c r="Q879" s="7"/>
      <c r="R879" s="7"/>
    </row>
    <row r="880" spans="1:18">
      <c r="A880" s="4" t="s">
        <v>1210</v>
      </c>
      <c r="B880" s="4">
        <f t="shared" si="13"/>
        <v>5</v>
      </c>
      <c r="C880" s="4" t="s">
        <v>31</v>
      </c>
      <c r="D880" s="1" t="str">
        <f>IFERROR(VLOOKUP(A880,[1]biopep_DB!$F$2:$J$1654,5,0),)</f>
        <v/>
      </c>
      <c r="E880" s="1" t="str">
        <f>IFERROR(VLOOKUP(A880,[1]biopep_DB!$F$2:$L$1654,6,0),0)</f>
        <v/>
      </c>
      <c r="F880" s="1" t="str">
        <f>IFERROR(VLOOKUP(A880,[1]biopep_DB!$F$2:$L$1654,7,0),0)</f>
        <v/>
      </c>
      <c r="G880" s="5">
        <v>629.75</v>
      </c>
      <c r="H880" s="5">
        <v>6</v>
      </c>
      <c r="I880" s="5">
        <v>-0.24</v>
      </c>
      <c r="J880" s="6">
        <v>-0.66</v>
      </c>
      <c r="K880" s="5">
        <v>56.22</v>
      </c>
      <c r="L880" s="6">
        <v>0.4</v>
      </c>
      <c r="M880" s="6">
        <v>-1.052</v>
      </c>
      <c r="N880" s="6">
        <v>0.8</v>
      </c>
      <c r="O880" s="6">
        <v>0</v>
      </c>
      <c r="P880" s="6">
        <v>0.4</v>
      </c>
      <c r="Q880" s="7"/>
      <c r="R880" s="7"/>
    </row>
    <row r="881" spans="1:18">
      <c r="A881" s="4" t="s">
        <v>1211</v>
      </c>
      <c r="B881" s="4">
        <f t="shared" si="13"/>
        <v>12</v>
      </c>
      <c r="C881" s="4" t="s">
        <v>1212</v>
      </c>
      <c r="D881" s="1" t="str">
        <f>IFERROR(VLOOKUP(A881,[1]biopep_DB!$F$2:$J$1654,5,0),)</f>
        <v/>
      </c>
      <c r="E881" s="1" t="str">
        <f>IFERROR(VLOOKUP(A881,[1]biopep_DB!$F$2:$L$1654,6,0),0)</f>
        <v/>
      </c>
      <c r="F881" s="1" t="str">
        <f>IFERROR(VLOOKUP(A881,[1]biopep_DB!$F$2:$L$1654,7,0),0)</f>
        <v/>
      </c>
      <c r="G881" s="5">
        <v>1305.48</v>
      </c>
      <c r="H881" s="5">
        <v>6</v>
      </c>
      <c r="I881" s="5">
        <v>-0.24</v>
      </c>
      <c r="J881" s="6">
        <v>-0.1167</v>
      </c>
      <c r="K881" s="5">
        <v>9.16</v>
      </c>
      <c r="L881" s="6">
        <v>0.4167</v>
      </c>
      <c r="M881" s="6">
        <v>-1.2358</v>
      </c>
      <c r="N881" s="6">
        <v>0.3333</v>
      </c>
      <c r="O881" s="6">
        <v>0.4167</v>
      </c>
      <c r="P881" s="6">
        <v>0.4167</v>
      </c>
      <c r="Q881" s="7"/>
      <c r="R881" s="7"/>
    </row>
    <row r="882" spans="1:18">
      <c r="A882" s="4" t="s">
        <v>1213</v>
      </c>
      <c r="B882" s="4">
        <f t="shared" si="13"/>
        <v>6</v>
      </c>
      <c r="C882" s="4" t="s">
        <v>1214</v>
      </c>
      <c r="D882" s="1" t="str">
        <f>IFERROR(VLOOKUP(A882,[1]biopep_DB!$F$2:$J$1654,5,0),)</f>
        <v/>
      </c>
      <c r="E882" s="1" t="str">
        <f>IFERROR(VLOOKUP(A882,[1]biopep_DB!$F$2:$L$1654,6,0),0)</f>
        <v/>
      </c>
      <c r="F882" s="1" t="str">
        <f>IFERROR(VLOOKUP(A882,[1]biopep_DB!$F$2:$L$1654,7,0),0)</f>
        <v/>
      </c>
      <c r="G882" s="5">
        <v>715.88</v>
      </c>
      <c r="H882" s="5">
        <v>10</v>
      </c>
      <c r="I882" s="5">
        <v>1.76</v>
      </c>
      <c r="J882" s="6">
        <v>-0.6333</v>
      </c>
      <c r="K882" s="5">
        <v>12.13</v>
      </c>
      <c r="L882" s="6">
        <v>0.3333</v>
      </c>
      <c r="M882" s="6">
        <v>-0.7467</v>
      </c>
      <c r="N882" s="6">
        <v>0.5</v>
      </c>
      <c r="O882" s="6">
        <v>0.1667</v>
      </c>
      <c r="P882" s="6">
        <v>0.3333</v>
      </c>
      <c r="Q882" s="7"/>
      <c r="R882" s="7"/>
    </row>
    <row r="883" spans="1:18">
      <c r="A883" s="4" t="s">
        <v>1215</v>
      </c>
      <c r="B883" s="4">
        <f t="shared" si="13"/>
        <v>8</v>
      </c>
      <c r="C883" s="4"/>
      <c r="D883" s="1" t="str">
        <f>IFERROR(VLOOKUP(A883,[1]biopep_DB!$F$2:$J$1654,5,0),)</f>
        <v>Enterococcus faecalis strains from food, environmental, and clinical origin produce ACE-inhibitory peptides and other bioactive peptides during growth in bovine skim milk.</v>
      </c>
      <c r="E883" s="1" t="str">
        <f>IFERROR(VLOOKUP(A883,[1]biopep_DB!$F$2:$L$1654,6,0),0)</f>
        <v>10.1016/j.ijfoodmicro.2013.06.019</v>
      </c>
      <c r="F883" s="1" t="str">
        <f>IFERROR(VLOOKUP(A883,[1]biopep_DB!$F$2:$L$1654,7,0),0)</f>
        <v>23845432</v>
      </c>
      <c r="G883" s="5">
        <v>1003.24</v>
      </c>
      <c r="H883" s="5">
        <v>10</v>
      </c>
      <c r="I883" s="5">
        <v>2.76</v>
      </c>
      <c r="J883" s="6">
        <v>-1.2625</v>
      </c>
      <c r="K883" s="5">
        <v>35.68</v>
      </c>
      <c r="L883" s="6">
        <v>0.375</v>
      </c>
      <c r="M883" s="6">
        <v>-0.34</v>
      </c>
      <c r="N883" s="6">
        <v>0.5</v>
      </c>
      <c r="O883" s="6">
        <v>0.125</v>
      </c>
      <c r="P883" s="6">
        <v>0.375</v>
      </c>
      <c r="Q883" s="7"/>
      <c r="R883" s="7"/>
    </row>
    <row r="884" spans="1:18">
      <c r="A884" s="4" t="s">
        <v>1216</v>
      </c>
      <c r="B884" s="4">
        <f t="shared" si="13"/>
        <v>3</v>
      </c>
      <c r="C884" s="4" t="s">
        <v>36</v>
      </c>
      <c r="D884" s="1" t="str">
        <f>IFERROR(VLOOKUP(A884,[1]biopep_DB!$F$2:$J$1654,5,0),)</f>
        <v>Structural requirements of Angiotensin I-converting enzyme inhibitory peptides: quantitative structure-activity relationship study of di- and tripeptides.</v>
      </c>
      <c r="E884" s="1" t="str">
        <f>IFERROR(VLOOKUP(A884,[1]biopep_DB!$F$2:$L$1654,6,0),0)</f>
        <v>10.1021/jf051263l</v>
      </c>
      <c r="F884" s="1" t="str">
        <f>IFERROR(VLOOKUP(A884,[1]biopep_DB!$F$2:$L$1654,7,0),0)</f>
        <v>16448176</v>
      </c>
      <c r="G884" s="5">
        <v>372.5</v>
      </c>
      <c r="H884" s="5">
        <v>8.75</v>
      </c>
      <c r="I884" s="5">
        <v>0.76</v>
      </c>
      <c r="J884" s="6">
        <v>1.2333</v>
      </c>
      <c r="K884" s="5">
        <v>-49.93</v>
      </c>
      <c r="L884" s="6">
        <v>0.6667</v>
      </c>
      <c r="M884" s="6">
        <v>-2.7533</v>
      </c>
      <c r="N884" s="6">
        <v>1</v>
      </c>
      <c r="O884" s="6">
        <v>0</v>
      </c>
      <c r="P884" s="6">
        <v>0.6667</v>
      </c>
      <c r="Q884" s="7"/>
      <c r="R884" s="7"/>
    </row>
    <row r="885" spans="1:18">
      <c r="A885" s="4" t="s">
        <v>1217</v>
      </c>
      <c r="B885" s="4">
        <f t="shared" si="13"/>
        <v>3</v>
      </c>
      <c r="C885" s="4" t="s">
        <v>31</v>
      </c>
      <c r="D885" s="1" t="str">
        <f>IFERROR(VLOOKUP(A885,[1]biopep_DB!$F$2:$J$1654,5,0),)</f>
        <v/>
      </c>
      <c r="E885" s="1" t="str">
        <f>IFERROR(VLOOKUP(A885,[1]biopep_DB!$F$2:$L$1654,6,0),0)</f>
        <v/>
      </c>
      <c r="F885" s="1" t="str">
        <f>IFERROR(VLOOKUP(A885,[1]biopep_DB!$F$2:$L$1654,7,0),0)</f>
        <v/>
      </c>
      <c r="G885" s="5">
        <v>373.45</v>
      </c>
      <c r="H885" s="5">
        <v>8.75</v>
      </c>
      <c r="I885" s="5">
        <v>0.76</v>
      </c>
      <c r="J885" s="6">
        <v>-1.2</v>
      </c>
      <c r="K885" s="5">
        <v>-21.63</v>
      </c>
      <c r="L885" s="6">
        <v>0.3333</v>
      </c>
      <c r="M885" s="6">
        <v>-0.5733</v>
      </c>
      <c r="N885" s="6">
        <v>0.6667</v>
      </c>
      <c r="O885" s="6">
        <v>0.3333</v>
      </c>
      <c r="P885" s="6">
        <v>0.3333</v>
      </c>
      <c r="Q885" s="7"/>
      <c r="R885" s="7"/>
    </row>
    <row r="886" spans="1:18">
      <c r="A886" s="4" t="s">
        <v>1218</v>
      </c>
      <c r="B886" s="4">
        <f t="shared" si="13"/>
        <v>3</v>
      </c>
      <c r="C886" s="4" t="s">
        <v>31</v>
      </c>
      <c r="D886" s="1" t="str">
        <f>IFERROR(VLOOKUP(A886,[1]biopep_DB!$F$2:$J$1654,5,0),)</f>
        <v>ACE inhibitory peptides derived from enzymatic hydrolysates of animal muscle protein: a review.; Structural requirements of Angiotensin I-converting enzyme inhibitory peptides: quantitative structure-activity relationship study of di- and tripeptides.; Angiotensin converting enzyme inhibitory peptides derived from food proteins: biochemistry, bioactivity and production.; Temporal gene expression and probiotic attributes of Lactobacillus acidophilus during growth in milk.; Model of the exofacial substrate-binding site and helical folding of the human Glut1 glucose transporter based on scanning mutagenesis.; Inhibition strength of short peptides derived from an ACE inhibitory peptide.; Antihypertensive peptides from food proteins: a review.; Review on the angiotensin-I-converting enzyme (ACE) inhibitor peptides from marine proteins.; Vegetable foods: a cheap source of proteins and peptides with antihypertensive, antioxidant, and other less occurrence bioactivities.; Glycinyl-histidinyl-serine (GHS), a novel rapeseed protein-derived peptide has blood pressure-lowering effect in spontaneously hypertensive rats.; Comparison of analytical methods to assay inhibitors of angiotensin I-converting enzyme.; Isolation and characterization of peptides with antihypertensive activity in foodstuffs.</v>
      </c>
      <c r="E886" s="1" t="str">
        <f>IFERROR(VLOOKUP(A886,[1]biopep_DB!$F$2:$L$1654,6,0),0)</f>
        <v>10.1021/jf0508908; 10.1021/jf051263l; 10.2174/138161207780363068; 10.3168/jds.2008-1457; 10.1021/bi900521n; 10.1021/jf202902r; 10.1039/c2fo10192k; 10.1007/s12010-012-0024-y; 10.1016/j.talanta.2012.12.041; 10.1021/jf400865m; 10.1016/j.foodchem.2013.06.048; 10.1080/10408398.2012.664829</v>
      </c>
      <c r="F886" s="1" t="str">
        <f>IFERROR(VLOOKUP(A886,[1]biopep_DB!$F$2:$L$1654,7,0),0)</f>
        <v>16218651 16448176 17430180 19233780 19449892 21923188 22249830 23271625 23598136 23919612 23993489 24915368</v>
      </c>
      <c r="G886" s="5">
        <v>356.46</v>
      </c>
      <c r="H886" s="5">
        <v>8.75</v>
      </c>
      <c r="I886" s="5">
        <v>0.76</v>
      </c>
      <c r="J886" s="6">
        <v>-0.5667</v>
      </c>
      <c r="K886" s="5">
        <v>-46.77</v>
      </c>
      <c r="L886" s="6">
        <v>0.6667</v>
      </c>
      <c r="M886" s="6">
        <v>-1.1133</v>
      </c>
      <c r="N886" s="6">
        <v>0.6667</v>
      </c>
      <c r="O886" s="6">
        <v>0.3333</v>
      </c>
      <c r="P886" s="6">
        <v>0.3333</v>
      </c>
      <c r="Q886" s="7"/>
      <c r="R886" s="7"/>
    </row>
    <row r="887" spans="1:18">
      <c r="A887" s="4" t="s">
        <v>1219</v>
      </c>
      <c r="B887" s="4">
        <f t="shared" si="13"/>
        <v>5</v>
      </c>
      <c r="C887" s="4" t="s">
        <v>1220</v>
      </c>
      <c r="D887" s="1" t="str">
        <f>IFERROR(VLOOKUP(A887,[1]biopep_DB!$F$2:$J$1654,5,0),)</f>
        <v>A new QSAR model, for angiotensin I-converting enzyme inhibitory oligopeptides.</v>
      </c>
      <c r="E887" s="1" t="str">
        <f>IFERROR(VLOOKUP(A887,[1]biopep_DB!$F$2:$L$1654,6,0),0)</f>
        <v>10.1016/j.foodchem.2012.09.092</v>
      </c>
      <c r="F887" s="1" t="str">
        <f>IFERROR(VLOOKUP(A887,[1]biopep_DB!$F$2:$L$1654,7,0),0)</f>
        <v>23194537</v>
      </c>
      <c r="G887" s="5">
        <v>602.74</v>
      </c>
      <c r="H887" s="5">
        <v>5.84</v>
      </c>
      <c r="I887" s="5">
        <v>-0.24</v>
      </c>
      <c r="J887" s="6">
        <v>-0.66</v>
      </c>
      <c r="K887" s="5">
        <v>-39.14</v>
      </c>
      <c r="L887" s="6">
        <v>0.6</v>
      </c>
      <c r="M887" s="6">
        <v>-0.802</v>
      </c>
      <c r="N887" s="6">
        <v>0.6</v>
      </c>
      <c r="O887" s="6">
        <v>0.4</v>
      </c>
      <c r="P887" s="6">
        <v>0.2</v>
      </c>
      <c r="Q887" s="7"/>
      <c r="R887" s="7"/>
    </row>
    <row r="888" spans="1:18">
      <c r="A888" s="4" t="s">
        <v>1221</v>
      </c>
      <c r="B888" s="4">
        <f t="shared" si="13"/>
        <v>4</v>
      </c>
      <c r="C888" s="4"/>
      <c r="D888" s="1" t="str">
        <f>IFERROR(VLOOKUP(A888,[1]biopep_DB!$F$2:$J$1654,5,0),)</f>
        <v/>
      </c>
      <c r="E888" s="1" t="str">
        <f>IFERROR(VLOOKUP(A888,[1]biopep_DB!$F$2:$L$1654,6,0),0)</f>
        <v/>
      </c>
      <c r="F888" s="1" t="str">
        <f>IFERROR(VLOOKUP(A888,[1]biopep_DB!$F$2:$L$1654,7,0),0)</f>
        <v/>
      </c>
      <c r="G888" s="5">
        <v>469.62</v>
      </c>
      <c r="H888" s="5">
        <v>8.75</v>
      </c>
      <c r="I888" s="5">
        <v>0.76</v>
      </c>
      <c r="J888" s="6">
        <v>0.7</v>
      </c>
      <c r="K888" s="5">
        <v>-32.58</v>
      </c>
      <c r="L888" s="6">
        <v>0.75</v>
      </c>
      <c r="M888" s="6">
        <v>-2.065</v>
      </c>
      <c r="N888" s="6">
        <v>0.5</v>
      </c>
      <c r="O888" s="6">
        <v>0.25</v>
      </c>
      <c r="P888" s="6">
        <v>0.5</v>
      </c>
      <c r="Q888" s="7"/>
      <c r="R888" s="7"/>
    </row>
    <row r="889" spans="1:18">
      <c r="A889" s="4" t="s">
        <v>1222</v>
      </c>
      <c r="B889" s="4">
        <f t="shared" si="13"/>
        <v>5</v>
      </c>
      <c r="C889" s="4" t="s">
        <v>938</v>
      </c>
      <c r="D889" s="1" t="str">
        <f>IFERROR(VLOOKUP(A889,[1]biopep_DB!$F$2:$J$1654,5,0),)</f>
        <v>A new QSAR model, for angiotensin I-converting enzyme inhibitory oligopeptides.</v>
      </c>
      <c r="E889" s="1" t="str">
        <f>IFERROR(VLOOKUP(A889,[1]biopep_DB!$F$2:$L$1654,6,0),0)</f>
        <v>10.1016/j.foodchem.2012.09.092</v>
      </c>
      <c r="F889" s="1" t="str">
        <f>IFERROR(VLOOKUP(A889,[1]biopep_DB!$F$2:$L$1654,7,0),0)</f>
        <v>23194537</v>
      </c>
      <c r="G889" s="5">
        <v>601.76</v>
      </c>
      <c r="H889" s="5">
        <v>8.75</v>
      </c>
      <c r="I889" s="5">
        <v>0.76</v>
      </c>
      <c r="J889" s="6">
        <v>-0.66</v>
      </c>
      <c r="K889" s="5">
        <v>-39.14</v>
      </c>
      <c r="L889" s="6">
        <v>0.6</v>
      </c>
      <c r="M889" s="6">
        <v>-0.814</v>
      </c>
      <c r="N889" s="6">
        <v>0.6</v>
      </c>
      <c r="O889" s="6">
        <v>0.4</v>
      </c>
      <c r="P889" s="6">
        <v>0.2</v>
      </c>
      <c r="Q889" s="7"/>
      <c r="R889" s="7"/>
    </row>
    <row r="890" spans="1:18">
      <c r="A890" s="4" t="s">
        <v>1223</v>
      </c>
      <c r="B890" s="4">
        <f t="shared" si="13"/>
        <v>5</v>
      </c>
      <c r="C890" s="4" t="s">
        <v>938</v>
      </c>
      <c r="D890" s="1" t="str">
        <f>IFERROR(VLOOKUP(A890,[1]biopep_DB!$F$2:$J$1654,5,0),)</f>
        <v>Peptide inhibitors for angiotensin I-converting enzyme from thermolysin digest of dried bonito.; LKPNM: a prodrug-type ACE-inhibitory peptide derived from fish protein.; Antihypertensive peptides from food proteins: a review.; Review on the angiotensin-I-converting enzyme (ACE) inhibitor peptides from marine proteins.; Comparison of analytical methods to assay inhibitors of angiotensin I-converting enzyme.; Novel angiotensin I-converting enzyme inhibitory peptides derived from an edible mushroom, Pleurotus cystidiosus O.K. Miller identified by LC-MS/MS.</v>
      </c>
      <c r="E890" s="1" t="str">
        <f>IFERROR(VLOOKUP(A890,[1]biopep_DB!$F$2:$L$1654,6,0),0)</f>
        <v>10.1271/bbb.56.1541; 10.1016/s0162-3109(99)00118-6; 10.1039/c2fo10192k; 10.1007/s12010-012-0024-y; 10.1016/j.foodchem.2013.06.048; 10.1186/1472-6882-13-313</v>
      </c>
      <c r="F890" s="1" t="str">
        <f>IFERROR(VLOOKUP(A890,[1]biopep_DB!$F$2:$L$1654,7,0),0)</f>
        <v>1369054 10604535 22249830 23271625 23993489 24215325</v>
      </c>
      <c r="G890" s="5">
        <v>601.76</v>
      </c>
      <c r="H890" s="5">
        <v>8.75</v>
      </c>
      <c r="I890" s="5">
        <v>0.76</v>
      </c>
      <c r="J890" s="6">
        <v>-0.66</v>
      </c>
      <c r="K890" s="5">
        <v>-24.06</v>
      </c>
      <c r="L890" s="6">
        <v>0.6</v>
      </c>
      <c r="M890" s="6">
        <v>-0.814</v>
      </c>
      <c r="N890" s="6">
        <v>0.6</v>
      </c>
      <c r="O890" s="6">
        <v>0.4</v>
      </c>
      <c r="P890" s="6">
        <v>0.2</v>
      </c>
      <c r="Q890" s="7"/>
      <c r="R890" s="7"/>
    </row>
    <row r="891" spans="1:18">
      <c r="A891" s="4" t="s">
        <v>1224</v>
      </c>
      <c r="B891" s="4">
        <f t="shared" si="13"/>
        <v>8</v>
      </c>
      <c r="C891" s="4" t="s">
        <v>1225</v>
      </c>
      <c r="D891" s="1" t="str">
        <f>IFERROR(VLOOKUP(A891,[1]biopep_DB!$F$2:$J$1654,5,0),)</f>
        <v>A new QSAR model, for angiotensin I-converting enzyme inhibitory oligopeptides.</v>
      </c>
      <c r="E891" s="1" t="str">
        <f>IFERROR(VLOOKUP(A891,[1]biopep_DB!$F$2:$L$1654,6,0),0)</f>
        <v>10.1016/j.foodchem.2012.09.092</v>
      </c>
      <c r="F891" s="1" t="str">
        <f>IFERROR(VLOOKUP(A891,[1]biopep_DB!$F$2:$L$1654,7,0),0)</f>
        <v>23194537</v>
      </c>
      <c r="G891" s="5">
        <v>854.95</v>
      </c>
      <c r="H891" s="5">
        <v>6</v>
      </c>
      <c r="I891" s="5">
        <v>-0.24</v>
      </c>
      <c r="J891" s="6">
        <v>-1.425</v>
      </c>
      <c r="K891" s="5">
        <v>-0.18</v>
      </c>
      <c r="L891" s="6">
        <v>0.375</v>
      </c>
      <c r="M891" s="6">
        <v>-0.095</v>
      </c>
      <c r="N891" s="6">
        <v>0.375</v>
      </c>
      <c r="O891" s="6">
        <v>0.5</v>
      </c>
      <c r="P891" s="6">
        <v>0.25</v>
      </c>
      <c r="Q891" s="7"/>
      <c r="R891" s="7"/>
    </row>
    <row r="892" spans="1:18">
      <c r="A892" s="4" t="s">
        <v>1226</v>
      </c>
      <c r="B892" s="4">
        <f t="shared" si="13"/>
        <v>8</v>
      </c>
      <c r="C892" s="4" t="s">
        <v>1227</v>
      </c>
      <c r="D892" s="1" t="str">
        <f>IFERROR(VLOOKUP(A892,[1]biopep_DB!$F$2:$J$1654,5,0),)</f>
        <v/>
      </c>
      <c r="E892" s="1" t="str">
        <f>IFERROR(VLOOKUP(A892,[1]biopep_DB!$F$2:$L$1654,6,0),0)</f>
        <v/>
      </c>
      <c r="F892" s="1" t="str">
        <f>IFERROR(VLOOKUP(A892,[1]biopep_DB!$F$2:$L$1654,7,0),0)</f>
        <v/>
      </c>
      <c r="G892" s="5">
        <v>853.96</v>
      </c>
      <c r="H892" s="5">
        <v>8.75</v>
      </c>
      <c r="I892" s="5">
        <v>0.76</v>
      </c>
      <c r="J892" s="6">
        <v>-1.425</v>
      </c>
      <c r="K892" s="5">
        <v>2.18</v>
      </c>
      <c r="L892" s="6">
        <v>0.375</v>
      </c>
      <c r="M892" s="6">
        <v>-0.13</v>
      </c>
      <c r="N892" s="6">
        <v>0.25</v>
      </c>
      <c r="O892" s="6">
        <v>0.5</v>
      </c>
      <c r="P892" s="6">
        <v>0.25</v>
      </c>
      <c r="Q892" s="7"/>
      <c r="R892" s="7"/>
    </row>
    <row r="893" spans="1:18">
      <c r="A893" s="4" t="s">
        <v>1228</v>
      </c>
      <c r="B893" s="4">
        <f t="shared" si="13"/>
        <v>5</v>
      </c>
      <c r="C893" s="4" t="s">
        <v>31</v>
      </c>
      <c r="D893" s="1" t="str">
        <f>IFERROR(VLOOKUP(A893,[1]biopep_DB!$F$2:$J$1654,5,0),)</f>
        <v/>
      </c>
      <c r="E893" s="1" t="str">
        <f>IFERROR(VLOOKUP(A893,[1]biopep_DB!$F$2:$L$1654,6,0),0)</f>
        <v/>
      </c>
      <c r="F893" s="1" t="str">
        <f>IFERROR(VLOOKUP(A893,[1]biopep_DB!$F$2:$L$1654,7,0),0)</f>
        <v/>
      </c>
      <c r="G893" s="5">
        <v>602.68</v>
      </c>
      <c r="H893" s="5">
        <v>8.75</v>
      </c>
      <c r="I893" s="5">
        <v>0.76</v>
      </c>
      <c r="J893" s="6">
        <v>-1.58</v>
      </c>
      <c r="K893" s="5">
        <v>68.06</v>
      </c>
      <c r="L893" s="6">
        <v>0.2</v>
      </c>
      <c r="M893" s="6">
        <v>0.044</v>
      </c>
      <c r="N893" s="6">
        <v>0.4</v>
      </c>
      <c r="O893" s="6">
        <v>0.2</v>
      </c>
      <c r="P893" s="6">
        <v>0.2</v>
      </c>
      <c r="Q893" s="7"/>
      <c r="R893" s="7"/>
    </row>
    <row r="894" spans="1:18">
      <c r="A894" s="4" t="s">
        <v>1229</v>
      </c>
      <c r="B894" s="4">
        <f t="shared" si="13"/>
        <v>7</v>
      </c>
      <c r="C894" s="4"/>
      <c r="D894" s="1" t="str">
        <f>IFERROR(VLOOKUP(A894,[1]biopep_DB!$F$2:$J$1654,5,0),)</f>
        <v/>
      </c>
      <c r="E894" s="1" t="str">
        <f>IFERROR(VLOOKUP(A894,[1]biopep_DB!$F$2:$L$1654,6,0),0)</f>
        <v/>
      </c>
      <c r="G894" s="5">
        <v>835</v>
      </c>
      <c r="H894" s="5">
        <v>9.7</v>
      </c>
      <c r="I894" s="5">
        <v>1.76</v>
      </c>
      <c r="J894" s="6">
        <v>-0.7143</v>
      </c>
      <c r="K894" s="5">
        <v>-16.94</v>
      </c>
      <c r="L894" s="6">
        <v>0.2857</v>
      </c>
      <c r="M894" s="6">
        <v>-0.7486</v>
      </c>
      <c r="N894" s="6">
        <v>0.4286</v>
      </c>
      <c r="O894" s="6">
        <v>0.1429</v>
      </c>
      <c r="P894" s="6">
        <v>0.4286</v>
      </c>
      <c r="Q894" s="7"/>
      <c r="R894" s="7"/>
    </row>
    <row r="895" spans="1:18">
      <c r="A895" s="4" t="s">
        <v>1230</v>
      </c>
      <c r="B895" s="4">
        <f t="shared" si="13"/>
        <v>8</v>
      </c>
      <c r="C895" s="4" t="s">
        <v>366</v>
      </c>
      <c r="D895" s="1" t="str">
        <f>IFERROR(VLOOKUP(A895,[1]biopep_DB!$F$2:$J$1654,5,0),)</f>
        <v>A new QSAR model, for angiotensin I-converting enzyme inhibitory oligopeptides.</v>
      </c>
      <c r="E895" s="1" t="str">
        <f>IFERROR(VLOOKUP(A895,[1]biopep_DB!$F$2:$L$1654,6,0),0)</f>
        <v>10.1016/j.foodchem.2012.09.092</v>
      </c>
      <c r="F895" s="1" t="str">
        <f>IFERROR(VLOOKUP(A895,[1]biopep_DB!$F$2:$L$1654,7,0),0)</f>
        <v>23194537</v>
      </c>
      <c r="G895" s="5">
        <v>934.13</v>
      </c>
      <c r="H895" s="5">
        <v>9.7</v>
      </c>
      <c r="I895" s="5">
        <v>1.76</v>
      </c>
      <c r="J895" s="6">
        <v>-0.1</v>
      </c>
      <c r="K895" s="5">
        <v>-6.56</v>
      </c>
      <c r="L895" s="6">
        <v>0.375</v>
      </c>
      <c r="M895" s="6">
        <v>-1.16</v>
      </c>
      <c r="N895" s="6">
        <v>0.375</v>
      </c>
      <c r="O895" s="6">
        <v>0.125</v>
      </c>
      <c r="P895" s="6">
        <v>0.5</v>
      </c>
      <c r="Q895" s="7"/>
      <c r="R895" s="7"/>
    </row>
    <row r="896" spans="1:18">
      <c r="A896" s="4" t="s">
        <v>1231</v>
      </c>
      <c r="B896" s="4">
        <f t="shared" si="13"/>
        <v>3</v>
      </c>
      <c r="C896" s="4" t="s">
        <v>1232</v>
      </c>
      <c r="D896" s="1" t="str">
        <f>IFERROR(VLOOKUP(A896,[1]biopep_DB!$F$2:$J$1654,5,0),)</f>
        <v>Isolation and identification of antihypertensive peptides from antarctic krill tail meat hydrolysate.;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896" s="1" t="str">
        <f>IFERROR(VLOOKUP(A896,[1]biopep_DB!$F$2:$L$1654,6,0),0)</f>
        <v>10.1111/j.1750-3841.2009.01138.x; 10.1016/j.talanta.2012.12.041; 10.1016/j.foodchem.2013.05.140; 10.1080/10408398.2012.664829</v>
      </c>
      <c r="F896" s="1" t="str">
        <f>IFERROR(VLOOKUP(A896,[1]biopep_DB!$F$2:$L$1654,7,0),0)</f>
        <v>19490329 23598136 23871047 24915368</v>
      </c>
      <c r="G896" s="5">
        <v>422.52</v>
      </c>
      <c r="H896" s="5">
        <v>8.59</v>
      </c>
      <c r="I896" s="5">
        <v>0.76</v>
      </c>
      <c r="J896" s="6">
        <v>-0.4667</v>
      </c>
      <c r="K896" s="5">
        <v>-21.63</v>
      </c>
      <c r="L896" s="6">
        <v>0.3333</v>
      </c>
      <c r="M896" s="6">
        <v>-1.0667</v>
      </c>
      <c r="N896" s="6">
        <v>0.6667</v>
      </c>
      <c r="O896" s="6">
        <v>0</v>
      </c>
      <c r="P896" s="6">
        <v>0.6667</v>
      </c>
      <c r="Q896" s="7"/>
      <c r="R896" s="7"/>
    </row>
    <row r="897" spans="1:18">
      <c r="A897" s="4" t="s">
        <v>1233</v>
      </c>
      <c r="B897" s="4">
        <f t="shared" si="13"/>
        <v>2</v>
      </c>
      <c r="C897" s="4"/>
      <c r="D897" s="1" t="str">
        <f>IFERROR(VLOOKUP(A897,[1]biopep_DB!$F$2:$J$1654,5,0),)</f>
        <v>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v>
      </c>
      <c r="E897" s="1" t="str">
        <f>IFERROR(VLOOKUP(A897,[1]biopep_DB!$F$2:$L$1654,6,0),0)</f>
        <v>10.1002/psc.800; 10.1002/psc.892</v>
      </c>
      <c r="F897" s="1" t="str">
        <f>IFERROR(VLOOKUP(A897,[1]biopep_DB!$F$2:$L$1654,7,0),0)</f>
        <v>17117396 17654623</v>
      </c>
      <c r="G897" s="5">
        <v>244.33</v>
      </c>
      <c r="H897" s="5">
        <v>5.53</v>
      </c>
      <c r="I897" s="5">
        <v>-0.24</v>
      </c>
      <c r="J897" s="6">
        <v>3.8</v>
      </c>
      <c r="K897" s="5">
        <v>5</v>
      </c>
      <c r="L897" s="6">
        <v>1</v>
      </c>
      <c r="M897" s="6">
        <v>-4.92</v>
      </c>
      <c r="N897" s="6">
        <v>1</v>
      </c>
      <c r="O897" s="6">
        <v>0</v>
      </c>
      <c r="P897" s="6">
        <v>1</v>
      </c>
      <c r="Q897" s="7"/>
      <c r="R897" s="7"/>
    </row>
    <row r="898" spans="1:18">
      <c r="A898" s="4" t="s">
        <v>1234</v>
      </c>
      <c r="B898" s="4">
        <f t="shared" si="13"/>
        <v>3</v>
      </c>
      <c r="C898" s="4" t="s">
        <v>36</v>
      </c>
      <c r="D898" s="1" t="str">
        <f>IFERROR(VLOOKUP(A898,[1]biopep_DB!$F$2:$J$1654,5,0),)</f>
        <v>Camel (camelus dromedarius) milk PP3: evidence for an insertion in the amino-terminal sequence of the camel milk whey protein.; Structural requirements of Angiotensin I-converting enzyme inhibitory peptides: quantitative structure-activity relationship study of di- and tripeptides.; Angiotensin converting enzyme inhibitory peptides derived from food proteins: biochemistry, bioactivity and production.; Effect of simulated gastrointestinal digestion on the antihypertensive properties of synthetic beta-lactoglobulin peptide sequences.; Antihypertensive peptides: production, bioavailability and incorporation into foods.; Antihypertensive peptides from food proteins: a review.; LC-MS/MS coupled with QSAR modeling in characterising of angiotensin I-converting enzyme inhibitory peptides from soybean proteins.; What are the ideal properties for functional food peptides with antihypertensive effect? A computational peptidology approach.</v>
      </c>
      <c r="E898" s="1" t="str">
        <f>IFERROR(VLOOKUP(A898,[1]biopep_DB!$F$2:$L$1654,6,0),0)</f>
        <v>10.1139/o99-067; 10.1021/jf051263l; 10.2174/138161207780363068; 10.1017/S0022029907002609; 10.1016/j.cis.2010.11.001; 10.1039/c2fo10192k; 10.1016/j.foodchem.2013.04.064; 10.1016/j.foodchem.2013.05.140</v>
      </c>
      <c r="F898" s="1" t="str">
        <f>IFERROR(VLOOKUP(A898,[1]biopep_DB!$F$2:$L$1654,7,0),0)</f>
        <v>10735560 16448176 17430180 17466121 21185549 22249830 23871011 23871047</v>
      </c>
      <c r="G898" s="5">
        <v>391.5</v>
      </c>
      <c r="H898" s="5">
        <v>5.53</v>
      </c>
      <c r="I898" s="5">
        <v>-0.24</v>
      </c>
      <c r="J898" s="6">
        <v>3.4667</v>
      </c>
      <c r="K898" s="5">
        <v>6.67</v>
      </c>
      <c r="L898" s="6">
        <v>1</v>
      </c>
      <c r="M898" s="6">
        <v>-4.2733</v>
      </c>
      <c r="N898" s="6">
        <v>0.6667</v>
      </c>
      <c r="O898" s="6">
        <v>0</v>
      </c>
      <c r="P898" s="6">
        <v>1</v>
      </c>
      <c r="Q898" s="7"/>
      <c r="R898" s="7"/>
    </row>
    <row r="899" spans="1:18">
      <c r="A899" s="4" t="s">
        <v>1235</v>
      </c>
      <c r="B899" s="4">
        <f t="shared" si="13"/>
        <v>3</v>
      </c>
      <c r="C899" s="4"/>
      <c r="D899" s="1" t="str">
        <f>IFERROR(VLOOKUP(A899,[1]biopep_DB!$F$2:$J$1654,5,0),)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899" s="1" t="str">
        <f>IFERROR(VLOOKUP(A899,[1]biopep_DB!$F$2:$L$1654,6,0),0)</f>
        <v>10.1002/psc.800; 10.1007/s00894-010-0862-x; 10.1016/j.foodchem.2013.05.140</v>
      </c>
      <c r="F899" s="1" t="str">
        <f>IFERROR(VLOOKUP(A899,[1]biopep_DB!$F$2:$L$1654,7,0),0)</f>
        <v>17117396 20941517 23871047</v>
      </c>
      <c r="G899" s="5">
        <v>301.38</v>
      </c>
      <c r="H899" s="5">
        <v>5.53</v>
      </c>
      <c r="I899" s="5">
        <v>-0.24</v>
      </c>
      <c r="J899" s="6">
        <v>2.4</v>
      </c>
      <c r="K899" s="5">
        <v>6.67</v>
      </c>
      <c r="L899" s="6">
        <v>0.6667</v>
      </c>
      <c r="M899" s="6">
        <v>-3.5933</v>
      </c>
      <c r="N899" s="6">
        <v>0.6667</v>
      </c>
      <c r="O899" s="6">
        <v>0.3333</v>
      </c>
      <c r="P899" s="6">
        <v>0.6667</v>
      </c>
      <c r="Q899" s="7"/>
      <c r="R899" s="7"/>
    </row>
    <row r="900" spans="1:18">
      <c r="A900" s="4" t="s">
        <v>1236</v>
      </c>
      <c r="B900" s="4">
        <f t="shared" si="13"/>
        <v>3</v>
      </c>
      <c r="C900" s="4"/>
      <c r="D900" s="1" t="str">
        <f>IFERROR(VLOOKUP(A900,[1]biopep_DB!$F$2:$J$1654,5,0),)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900" s="1" t="str">
        <f>IFERROR(VLOOKUP(A900,[1]biopep_DB!$F$2:$L$1654,6,0),0)</f>
        <v>10.1002/psc.800; 10.1007/s00894-010-0862-x; 10.1016/j.foodchem.2013.05.140</v>
      </c>
      <c r="F900" s="1" t="str">
        <f>IFERROR(VLOOKUP(A900,[1]biopep_DB!$F$2:$L$1654,7,0),0)</f>
        <v>17117396 20941517 23871047</v>
      </c>
      <c r="G900" s="5">
        <v>357.49</v>
      </c>
      <c r="H900" s="5">
        <v>5.53</v>
      </c>
      <c r="I900" s="5">
        <v>-0.24</v>
      </c>
      <c r="J900" s="6">
        <v>3.8</v>
      </c>
      <c r="K900" s="5">
        <v>6.67</v>
      </c>
      <c r="L900" s="6">
        <v>1</v>
      </c>
      <c r="M900" s="6">
        <v>-4.92</v>
      </c>
      <c r="N900" s="6">
        <v>1</v>
      </c>
      <c r="O900" s="6">
        <v>0</v>
      </c>
      <c r="P900" s="6">
        <v>1</v>
      </c>
      <c r="Q900" s="7"/>
      <c r="R900" s="7"/>
    </row>
    <row r="901" spans="1:18">
      <c r="A901" s="4" t="s">
        <v>1237</v>
      </c>
      <c r="B901" s="4">
        <f t="shared" si="13"/>
        <v>7</v>
      </c>
      <c r="C901" s="4" t="s">
        <v>1238</v>
      </c>
      <c r="D901" s="1" t="str">
        <f>IFERROR(VLOOKUP(A901,[1]biopep_DB!$F$2:$J$1654,5,0),)</f>
        <v>Identification of angiotensin I-converting enzyme inhibitory peptides from koumiss, a traditional fermented mare's milk.</v>
      </c>
      <c r="E901" s="1" t="str">
        <f>IFERROR(VLOOKUP(A901,[1]biopep_DB!$F$2:$L$1654,6,0),0)</f>
        <v>10.3168/jds.2009-2672</v>
      </c>
      <c r="F901" s="1" t="str">
        <f>IFERROR(VLOOKUP(A901,[1]biopep_DB!$F$2:$L$1654,7,0),0)</f>
        <v>20172208</v>
      </c>
      <c r="G901" s="5">
        <v>792.02</v>
      </c>
      <c r="H901" s="5">
        <v>6.74</v>
      </c>
      <c r="I901" s="5">
        <v>-0.15</v>
      </c>
      <c r="J901" s="6">
        <v>2.5143</v>
      </c>
      <c r="K901" s="5">
        <v>-3.56</v>
      </c>
      <c r="L901" s="6">
        <v>0.8571</v>
      </c>
      <c r="M901" s="6">
        <v>-3.6314</v>
      </c>
      <c r="N901" s="6">
        <v>0.8571</v>
      </c>
      <c r="O901" s="6">
        <v>0</v>
      </c>
      <c r="P901" s="6">
        <v>0.7143</v>
      </c>
      <c r="Q901" s="7"/>
      <c r="R901" s="7"/>
    </row>
    <row r="902" spans="1:18">
      <c r="A902" s="4" t="s">
        <v>1239</v>
      </c>
      <c r="B902" s="4">
        <f t="shared" ref="B902:B965" si="14">LEN(A902)</f>
        <v>10</v>
      </c>
      <c r="C902" s="4" t="s">
        <v>1240</v>
      </c>
      <c r="D902" s="1" t="str">
        <f>IFERROR(VLOOKUP(A902,[1]biopep_DB!$F$2:$J$1654,5,0),)</f>
        <v/>
      </c>
      <c r="E902" s="1" t="str">
        <f>IFERROR(VLOOKUP(A902,[1]biopep_DB!$F$2:$L$1654,6,0),0)</f>
        <v/>
      </c>
      <c r="F902" s="1" t="str">
        <f>IFERROR(VLOOKUP(A902,[1]biopep_DB!$F$2:$L$1654,7,0),0)</f>
        <v/>
      </c>
      <c r="G902" s="5">
        <v>1140.35</v>
      </c>
      <c r="H902" s="5">
        <v>4.05</v>
      </c>
      <c r="I902" s="5">
        <v>-2.24</v>
      </c>
      <c r="J902" s="6">
        <v>0.34</v>
      </c>
      <c r="K902" s="5">
        <v>47.52</v>
      </c>
      <c r="L902" s="6">
        <v>0.7</v>
      </c>
      <c r="M902" s="6">
        <v>-1.705</v>
      </c>
      <c r="N902" s="6">
        <v>0.5</v>
      </c>
      <c r="O902" s="6">
        <v>0.5</v>
      </c>
      <c r="P902" s="6">
        <v>0.4</v>
      </c>
      <c r="Q902" s="7"/>
      <c r="R902" s="7"/>
    </row>
    <row r="903" spans="1:18">
      <c r="A903" s="4" t="s">
        <v>1241</v>
      </c>
      <c r="B903" s="4">
        <f t="shared" si="14"/>
        <v>4</v>
      </c>
      <c r="C903" s="4" t="s">
        <v>311</v>
      </c>
      <c r="D903" s="1" t="str">
        <f>IFERROR(VLOOKUP(A903,[1]biopep_DB!$F$2:$J$1654,5,0),)</f>
        <v>Inhibition of angiotensin-converting enzyme by synthetic peptide fragments of various beta-caseins.</v>
      </c>
      <c r="E903" s="1" t="str">
        <f>IFERROR(VLOOKUP(A903,[1]biopep_DB!$F$2:$L$1654,6,0),0)</f>
        <v/>
      </c>
      <c r="F903" s="1" t="str">
        <f>IFERROR(VLOOKUP(A903,[1]biopep_DB!$F$2:$L$1654,7,0),0)</f>
        <v>1368548</v>
      </c>
      <c r="G903" s="5">
        <v>455.55</v>
      </c>
      <c r="H903" s="5">
        <v>5.53</v>
      </c>
      <c r="I903" s="5">
        <v>-0.24</v>
      </c>
      <c r="J903" s="6">
        <v>0.625</v>
      </c>
      <c r="K903" s="5">
        <v>0.3</v>
      </c>
      <c r="L903" s="6">
        <v>0.75</v>
      </c>
      <c r="M903" s="6">
        <v>-2.055</v>
      </c>
      <c r="N903" s="6">
        <v>0.5</v>
      </c>
      <c r="O903" s="6">
        <v>0.5</v>
      </c>
      <c r="P903" s="6">
        <v>0.5</v>
      </c>
      <c r="Q903" s="7"/>
      <c r="R903" s="7"/>
    </row>
    <row r="904" spans="1:18">
      <c r="A904" s="4" t="s">
        <v>1242</v>
      </c>
      <c r="B904" s="4">
        <f t="shared" si="14"/>
        <v>10</v>
      </c>
      <c r="C904" s="4" t="s">
        <v>25</v>
      </c>
      <c r="D904" s="1" t="str">
        <f>IFERROR(VLOOKUP(A904,[1]biopep_DB!$F$2:$J$1654,5,0),)</f>
        <v>Inhibition of angiotensin-converting enzyme by synthetic peptide fragments of various beta-caseins.</v>
      </c>
      <c r="E904" s="1" t="str">
        <f>IFERROR(VLOOKUP(A904,[1]biopep_DB!$F$2:$L$1654,6,0),0)</f>
        <v/>
      </c>
      <c r="F904" s="1" t="str">
        <f>IFERROR(VLOOKUP(A904,[1]biopep_DB!$F$2:$L$1654,7,0),0)</f>
        <v>1368548</v>
      </c>
      <c r="G904" s="5">
        <v>1191.38</v>
      </c>
      <c r="H904" s="5">
        <v>6.74</v>
      </c>
      <c r="I904" s="5">
        <v>-0.15</v>
      </c>
      <c r="J904" s="6">
        <v>-0.42</v>
      </c>
      <c r="K904" s="5">
        <v>37.72</v>
      </c>
      <c r="L904" s="6">
        <v>0.6</v>
      </c>
      <c r="M904" s="6">
        <v>-1.065</v>
      </c>
      <c r="N904" s="6">
        <v>0.2</v>
      </c>
      <c r="O904" s="6">
        <v>0.4</v>
      </c>
      <c r="P904" s="6">
        <v>0.4</v>
      </c>
      <c r="Q904" s="7"/>
      <c r="R904" s="7"/>
    </row>
    <row r="905" spans="1:18">
      <c r="A905" s="4" t="s">
        <v>1243</v>
      </c>
      <c r="B905" s="4">
        <f t="shared" si="14"/>
        <v>3</v>
      </c>
      <c r="C905" s="4" t="s">
        <v>36</v>
      </c>
      <c r="D905" s="1" t="str">
        <f>IFERROR(VLOOKUP(A905,[1]biopep_DB!$F$2:$J$1654,5,0),)</f>
        <v>Structures and activity of angiotensin-converting enzyme inhibitors in an alpha-zein hydrolysate.; Structural requirements of Angiotensin I-converting enzyme inhibitory peptides: quantitative structure-activity relationship study of di- and tripeptides.; Bioactive peptides in amaranth (Amaranthus hypochondriacus) seed.; Cellular membrane disruption by amyloid fibrils involved intermolecular disulfide cross-linking.; LC-MS/MS quantification of bioactive angiotensin I-converting enzyme inhibitory peptides in rye malt sourdoughs.; What are the ideal properties for functional food peptides with antihypertensive effect? A computational peptidology approach.</v>
      </c>
      <c r="E905" s="1" t="str">
        <f>IFERROR(VLOOKUP(A905,[1]biopep_DB!$F$2:$L$1654,6,0),0)</f>
        <v>10.1021/jf051263l; 10.1021/jf072911z; 10.1021/bi900219c; 10.1021/jf2033329; 10.1016/j.foodchem.2013.05.140</v>
      </c>
      <c r="F905" s="1" t="str">
        <f>IFERROR(VLOOKUP(A905,[1]biopep_DB!$F$2:$L$1654,7,0),0)</f>
        <v>1368684 16448176 18211015 19449893 21985248 23871047</v>
      </c>
      <c r="G905" s="5">
        <v>341.45</v>
      </c>
      <c r="H905" s="5">
        <v>5.53</v>
      </c>
      <c r="I905" s="5">
        <v>-0.24</v>
      </c>
      <c r="J905" s="6">
        <v>2</v>
      </c>
      <c r="K905" s="5">
        <v>70.87</v>
      </c>
      <c r="L905" s="6">
        <v>1</v>
      </c>
      <c r="M905" s="6">
        <v>-3.28</v>
      </c>
      <c r="N905" s="6">
        <v>0.6667</v>
      </c>
      <c r="O905" s="6">
        <v>0.3333</v>
      </c>
      <c r="P905" s="6">
        <v>0.6667</v>
      </c>
      <c r="Q905" s="7"/>
      <c r="R905" s="7"/>
    </row>
    <row r="906" spans="1:18">
      <c r="A906" s="4" t="s">
        <v>1244</v>
      </c>
      <c r="B906" s="4">
        <f t="shared" si="14"/>
        <v>5</v>
      </c>
      <c r="C906" s="4"/>
      <c r="D906" s="1" t="str">
        <f>IFERROR(VLOOKUP(A906,[1]biopep_DB!$F$2:$J$1654,5,0),)</f>
        <v>Enterococcus faecalis strains from food, environmental, and clinical origin produce ACE-inhibitory peptides and other bioactive peptides during growth in bovine skim milk.</v>
      </c>
      <c r="E906" s="1" t="str">
        <f>IFERROR(VLOOKUP(A906,[1]biopep_DB!$F$2:$L$1654,6,0),0)</f>
        <v>10.1016/j.ijfoodmicro.2013.06.019</v>
      </c>
      <c r="F906" s="1" t="str">
        <f>IFERROR(VLOOKUP(A906,[1]biopep_DB!$F$2:$L$1654,7,0),0)</f>
        <v>23845432</v>
      </c>
      <c r="G906" s="5">
        <v>645.75</v>
      </c>
      <c r="H906" s="5">
        <v>5.53</v>
      </c>
      <c r="I906" s="5">
        <v>-0.24</v>
      </c>
      <c r="J906" s="6">
        <v>0.48</v>
      </c>
      <c r="K906" s="5">
        <v>161.08</v>
      </c>
      <c r="L906" s="6">
        <v>0.6</v>
      </c>
      <c r="M906" s="6">
        <v>-1.994</v>
      </c>
      <c r="N906" s="6">
        <v>0.4</v>
      </c>
      <c r="O906" s="6">
        <v>0.2</v>
      </c>
      <c r="P906" s="6">
        <v>0.6</v>
      </c>
      <c r="Q906" s="7"/>
      <c r="R906" s="7"/>
    </row>
    <row r="907" spans="1:18">
      <c r="A907" s="4" t="s">
        <v>1245</v>
      </c>
      <c r="B907" s="4">
        <f t="shared" si="14"/>
        <v>3</v>
      </c>
      <c r="C907" s="4"/>
      <c r="D907" s="1" t="str">
        <f>IFERROR(VLOOKUP(A907,[1]biopep_DB!$F$2:$J$1654,5,0),)</f>
        <v/>
      </c>
      <c r="E907" s="1" t="str">
        <f>IFERROR(VLOOKUP(A907,[1]biopep_DB!$F$2:$L$1654,6,0),0)</f>
        <v/>
      </c>
      <c r="F907" s="1" t="str">
        <f>IFERROR(VLOOKUP(A907,[1]biopep_DB!$F$2:$L$1654,7,0),0)</f>
        <v/>
      </c>
      <c r="G907" s="5">
        <v>400.52</v>
      </c>
      <c r="H907" s="5">
        <v>9.75</v>
      </c>
      <c r="I907" s="5">
        <v>0.76</v>
      </c>
      <c r="J907" s="6">
        <v>1.0333</v>
      </c>
      <c r="K907" s="5">
        <v>70.87</v>
      </c>
      <c r="L907" s="6">
        <v>0.6667</v>
      </c>
      <c r="M907" s="6">
        <v>-2.3733</v>
      </c>
      <c r="N907" s="6">
        <v>0.6667</v>
      </c>
      <c r="O907" s="6">
        <v>0</v>
      </c>
      <c r="P907" s="6">
        <v>0.6667</v>
      </c>
      <c r="Q907" s="7"/>
      <c r="R907" s="7"/>
    </row>
    <row r="908" spans="1:18">
      <c r="A908" s="4" t="s">
        <v>1246</v>
      </c>
      <c r="B908" s="4">
        <f t="shared" si="14"/>
        <v>4</v>
      </c>
      <c r="C908" s="4"/>
      <c r="D908" s="1" t="str">
        <f>IFERROR(VLOOKUP(A908,[1]biopep_DB!$F$2:$J$1654,5,0),)</f>
        <v>Enterococcus faecalis strains from food, environmental, and clinical origin produce ACE-inhibitory peptides and other bioactive peptides during growth in bovine skim milk.</v>
      </c>
      <c r="E908" s="1" t="str">
        <f>IFERROR(VLOOKUP(A908,[1]biopep_DB!$F$2:$L$1654,6,0),0)</f>
        <v>10.1016/j.ijfoodmicro.2013.06.019</v>
      </c>
      <c r="F908" s="1" t="str">
        <f>IFERROR(VLOOKUP(A908,[1]biopep_DB!$F$2:$L$1654,7,0),0)</f>
        <v>23845432</v>
      </c>
      <c r="G908" s="5">
        <v>547.69</v>
      </c>
      <c r="H908" s="5">
        <v>9.75</v>
      </c>
      <c r="I908" s="5">
        <v>0.76</v>
      </c>
      <c r="J908" s="6">
        <v>1.475</v>
      </c>
      <c r="K908" s="5">
        <v>55.65</v>
      </c>
      <c r="L908" s="6">
        <v>0.75</v>
      </c>
      <c r="M908" s="6">
        <v>-2.525</v>
      </c>
      <c r="N908" s="6">
        <v>0.5</v>
      </c>
      <c r="O908" s="6">
        <v>0</v>
      </c>
      <c r="P908" s="6">
        <v>0.75</v>
      </c>
      <c r="Q908" s="7"/>
      <c r="R908" s="7"/>
    </row>
    <row r="909" spans="1:18">
      <c r="A909" s="4" t="s">
        <v>1247</v>
      </c>
      <c r="B909" s="4">
        <f t="shared" si="14"/>
        <v>8</v>
      </c>
      <c r="C909" s="4"/>
      <c r="G909" s="5">
        <v>977.12</v>
      </c>
      <c r="H909" s="5">
        <v>8.75</v>
      </c>
      <c r="I909" s="5">
        <v>0.76</v>
      </c>
      <c r="J909" s="6">
        <v>-0.6</v>
      </c>
      <c r="K909" s="5">
        <v>13.98</v>
      </c>
      <c r="L909" s="6">
        <v>0.375</v>
      </c>
      <c r="M909" s="6">
        <v>-0.565</v>
      </c>
      <c r="N909" s="6">
        <v>0.25</v>
      </c>
      <c r="O909" s="6">
        <v>0.25</v>
      </c>
      <c r="P909" s="6">
        <v>0.5</v>
      </c>
      <c r="Q909" s="7"/>
      <c r="R909" s="7"/>
    </row>
    <row r="910" spans="1:18">
      <c r="A910" s="4" t="s">
        <v>1248</v>
      </c>
      <c r="B910" s="4">
        <f t="shared" si="14"/>
        <v>6</v>
      </c>
      <c r="C910" s="4"/>
      <c r="D910" s="1" t="str">
        <f>IFERROR(VLOOKUP(A910,[1]biopep_DB!$F$2:$J$1654,5,0),)</f>
        <v>Enterococcus faecalis strains from food, environmental, and clinical origin produce ACE-inhibitory peptides and other bioactive peptides during growth in bovine skim milk.</v>
      </c>
      <c r="E910" s="1" t="str">
        <f>IFERROR(VLOOKUP(A910,[1]biopep_DB!$F$2:$L$1654,6,0),0)</f>
        <v>10.1016/j.ijfoodmicro.2013.06.019</v>
      </c>
      <c r="F910" s="1" t="str">
        <f>IFERROR(VLOOKUP(A910,[1]biopep_DB!$F$2:$L$1654,7,0),0)</f>
        <v>23845432</v>
      </c>
      <c r="G910" s="5">
        <v>761.86</v>
      </c>
      <c r="H910" s="5">
        <v>4.05</v>
      </c>
      <c r="I910" s="5">
        <v>-1.24</v>
      </c>
      <c r="J910" s="6">
        <v>-0.3833</v>
      </c>
      <c r="K910" s="5">
        <v>72.53</v>
      </c>
      <c r="L910" s="6">
        <v>0.5</v>
      </c>
      <c r="M910" s="6">
        <v>-1.1167</v>
      </c>
      <c r="N910" s="6">
        <v>0.5</v>
      </c>
      <c r="O910" s="6">
        <v>0.1667</v>
      </c>
      <c r="P910" s="6">
        <v>0.5</v>
      </c>
      <c r="Q910" s="7"/>
      <c r="R910" s="7"/>
    </row>
    <row r="911" spans="1:18">
      <c r="A911" s="4" t="s">
        <v>1249</v>
      </c>
      <c r="B911" s="4">
        <f t="shared" si="14"/>
        <v>19</v>
      </c>
      <c r="C911" s="4" t="s">
        <v>1250</v>
      </c>
      <c r="D911" s="1" t="str">
        <f>IFERROR(VLOOKUP(A911,[1]biopep_DB!$F$2:$J$1654,5,0),)</f>
        <v>Antihypertensive effect of the peptides derived from casein by an extracellular proteinase from Lactobacillus helveticus CP790.</v>
      </c>
      <c r="E911" s="1" t="str">
        <f>IFERROR(VLOOKUP(A911,[1]biopep_DB!$F$2:$L$1654,6,0),0)</f>
        <v>10.3168/jds.S0022-0302(94)77026-0</v>
      </c>
      <c r="F911" s="1" t="str">
        <f>IFERROR(VLOOKUP(A911,[1]biopep_DB!$F$2:$L$1654,7,0),0)</f>
        <v>8201050</v>
      </c>
      <c r="G911" s="5">
        <v>2107.54</v>
      </c>
      <c r="H911" s="5">
        <v>6</v>
      </c>
      <c r="I911" s="5">
        <v>-0.24</v>
      </c>
      <c r="J911" s="6">
        <v>0.8316</v>
      </c>
      <c r="K911" s="5">
        <v>61.36</v>
      </c>
      <c r="L911" s="6">
        <v>0.6842</v>
      </c>
      <c r="M911" s="6">
        <v>-1.88</v>
      </c>
      <c r="N911" s="6">
        <v>0.2105</v>
      </c>
      <c r="O911" s="6">
        <v>0.3158</v>
      </c>
      <c r="P911" s="6">
        <v>0.5263</v>
      </c>
      <c r="Q911" s="7"/>
      <c r="R911" s="7"/>
    </row>
    <row r="912" spans="1:18">
      <c r="A912" s="4" t="s">
        <v>1251</v>
      </c>
      <c r="B912" s="4">
        <f t="shared" si="14"/>
        <v>7</v>
      </c>
      <c r="C912" s="4" t="s">
        <v>559</v>
      </c>
      <c r="D912" s="1" t="str">
        <f>IFERROR(VLOOKUP(A912,[1]biopep_DB!$F$2:$J$1654,5,0),)</f>
        <v>A new QSAR model, for angiotensin I-converting enzyme inhibitory oligopeptides.</v>
      </c>
      <c r="E912" s="1" t="str">
        <f>IFERROR(VLOOKUP(A912,[1]biopep_DB!$F$2:$L$1654,6,0),0)</f>
        <v>10.1016/j.foodchem.2012.09.092</v>
      </c>
      <c r="F912" s="1" t="str">
        <f>IFERROR(VLOOKUP(A912,[1]biopep_DB!$F$2:$L$1654,7,0),0)</f>
        <v>23194537</v>
      </c>
      <c r="G912" s="5">
        <v>860.01</v>
      </c>
      <c r="H912" s="5">
        <v>5.52</v>
      </c>
      <c r="I912" s="5">
        <v>-0.24</v>
      </c>
      <c r="J912" s="6">
        <v>0.2714</v>
      </c>
      <c r="K912" s="5">
        <v>91.11</v>
      </c>
      <c r="L912" s="6">
        <v>0.5714</v>
      </c>
      <c r="M912" s="6">
        <v>-1.5743</v>
      </c>
      <c r="N912" s="6">
        <v>0.2857</v>
      </c>
      <c r="O912" s="6">
        <v>0.1429</v>
      </c>
      <c r="P912" s="6">
        <v>0.5714</v>
      </c>
      <c r="Q912" s="7"/>
      <c r="R912" s="7"/>
    </row>
    <row r="913" spans="1:18">
      <c r="A913" s="4" t="s">
        <v>1252</v>
      </c>
      <c r="B913" s="4">
        <f t="shared" si="14"/>
        <v>19</v>
      </c>
      <c r="C913" s="4"/>
      <c r="D913" s="1" t="str">
        <f>IFERROR(VLOOKUP(A913,[1]biopep_DB!$F$2:$J$1654,5,0),)</f>
        <v>The potential role of milk-derived peptides in cardiovascular disease.</v>
      </c>
      <c r="E913" s="1" t="str">
        <f>IFERROR(VLOOKUP(A913,[1]biopep_DB!$F$2:$L$1654,6,0),0)</f>
        <v>10.1039/c1fo10017c</v>
      </c>
      <c r="F913" s="1" t="str">
        <f>IFERROR(VLOOKUP(A913,[1]biopep_DB!$F$2:$L$1654,7,0),0)</f>
        <v>21779574</v>
      </c>
      <c r="G913" s="5">
        <v>2106.55</v>
      </c>
      <c r="H913" s="5">
        <v>8.75</v>
      </c>
      <c r="I913" s="5">
        <v>0.76</v>
      </c>
      <c r="J913" s="6">
        <v>0.8316</v>
      </c>
      <c r="K913" s="5">
        <v>61.36</v>
      </c>
      <c r="L913" s="6">
        <v>0.6842</v>
      </c>
      <c r="M913" s="6">
        <v>-1.8947</v>
      </c>
      <c r="N913" s="6">
        <v>0.1579</v>
      </c>
      <c r="O913" s="6">
        <v>0.3158</v>
      </c>
      <c r="P913" s="6">
        <v>0.5263</v>
      </c>
      <c r="Q913" s="7"/>
      <c r="R913" s="7"/>
    </row>
    <row r="914" spans="1:18">
      <c r="A914" s="4" t="s">
        <v>1253</v>
      </c>
      <c r="B914" s="4">
        <f t="shared" si="14"/>
        <v>2</v>
      </c>
      <c r="C914" s="4" t="s">
        <v>62</v>
      </c>
      <c r="D914" s="1" t="str">
        <f>IFERROR(VLOOKUP(A914,[1]biopep_DB!$F$2:$J$1654,5,0),)</f>
        <v>Application of at-line two-dimensional liquid chromatography-mass spectrometry for identification of small hydrophilic angiotensin I-inhibiting peptides in milk hydrolysates.;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v>
      </c>
      <c r="E914" s="1" t="str">
        <f>IFERROR(VLOOKUP(A914,[1]biopep_DB!$F$2:$L$1654,6,0),0)</f>
        <v>10.1007/s00216-008-1990-3; 10.1016/j.talanta.2012.12.041; 10.1016/j.jprot.2013.06.023</v>
      </c>
      <c r="F914" s="1" t="str">
        <f>IFERROR(VLOOKUP(A914,[1]biopep_DB!$F$2:$L$1654,7,0),0)</f>
        <v>18392815 23598136 23806758</v>
      </c>
      <c r="G914" s="5">
        <v>245.28</v>
      </c>
      <c r="H914" s="5">
        <v>5.53</v>
      </c>
      <c r="I914" s="5">
        <v>-0.24</v>
      </c>
      <c r="J914" s="6">
        <v>0.15</v>
      </c>
      <c r="K914" s="5">
        <v>5</v>
      </c>
      <c r="L914" s="6">
        <v>0.5</v>
      </c>
      <c r="M914" s="6">
        <v>-1.65</v>
      </c>
      <c r="N914" s="6">
        <v>0.5</v>
      </c>
      <c r="O914" s="6">
        <v>0.5</v>
      </c>
      <c r="P914" s="6">
        <v>0.5</v>
      </c>
      <c r="Q914" s="7"/>
      <c r="R914" s="7"/>
    </row>
    <row r="915" spans="1:18">
      <c r="A915" s="4" t="s">
        <v>1254</v>
      </c>
      <c r="B915" s="4">
        <f t="shared" si="14"/>
        <v>5</v>
      </c>
      <c r="C915" s="4" t="s">
        <v>31</v>
      </c>
      <c r="D915" s="1" t="str">
        <f>IFERROR(VLOOKUP(A915,[1]biopep_DB!$F$2:$J$1654,5,0),)</f>
        <v/>
      </c>
      <c r="E915" s="1" t="str">
        <f>IFERROR(VLOOKUP(A915,[1]biopep_DB!$F$2:$L$1654,6,0),0)</f>
        <v/>
      </c>
      <c r="F915" s="1" t="str">
        <f>IFERROR(VLOOKUP(A915,[1]biopep_DB!$F$2:$L$1654,7,0),0)</f>
        <v/>
      </c>
      <c r="G915" s="5">
        <v>605.66</v>
      </c>
      <c r="H915" s="5">
        <v>4.05</v>
      </c>
      <c r="I915" s="5">
        <v>-1.25</v>
      </c>
      <c r="J915" s="6">
        <v>-0.84</v>
      </c>
      <c r="K915" s="5">
        <v>80.8</v>
      </c>
      <c r="L915" s="6">
        <v>0.2</v>
      </c>
      <c r="M915" s="6">
        <v>-0.316</v>
      </c>
      <c r="N915" s="6">
        <v>0.4</v>
      </c>
      <c r="O915" s="6">
        <v>0.2</v>
      </c>
      <c r="P915" s="6">
        <v>0.2</v>
      </c>
      <c r="Q915" s="7"/>
      <c r="R915" s="7"/>
    </row>
    <row r="916" spans="1:18">
      <c r="A916" s="4" t="s">
        <v>1255</v>
      </c>
      <c r="B916" s="4">
        <f t="shared" si="14"/>
        <v>18</v>
      </c>
      <c r="C916" s="4" t="s">
        <v>1256</v>
      </c>
      <c r="D916" s="1" t="str">
        <f>IFERROR(VLOOKUP(A916,[1]biopep_DB!$F$2:$J$1654,5,0),)</f>
        <v>Identification of angiotensin-I-converting enzyme inhibitory peptides derived from sodium caseinate hydrolysates produced by Lactobacillus helveticus NCC 2765.</v>
      </c>
      <c r="E916" s="1" t="str">
        <f>IFERROR(VLOOKUP(A916,[1]biopep_DB!$F$2:$L$1654,6,0),0)</f>
        <v>10.1021/jf049510t</v>
      </c>
      <c r="F916" s="1" t="str">
        <f>IFERROR(VLOOKUP(A916,[1]biopep_DB!$F$2:$L$1654,7,0),0)</f>
        <v>15537298</v>
      </c>
      <c r="G916" s="5">
        <v>2109.42</v>
      </c>
      <c r="H916" s="5">
        <v>4.53</v>
      </c>
      <c r="I916" s="5">
        <v>-1.23</v>
      </c>
      <c r="J916" s="6">
        <v>0.5944</v>
      </c>
      <c r="K916" s="5">
        <v>61.9</v>
      </c>
      <c r="L916" s="6">
        <v>0.6667</v>
      </c>
      <c r="M916" s="6">
        <v>-1.5706</v>
      </c>
      <c r="N916" s="6">
        <v>0.3333</v>
      </c>
      <c r="O916" s="6">
        <v>0.2778</v>
      </c>
      <c r="P916" s="6">
        <v>0.5</v>
      </c>
      <c r="Q916" s="7"/>
      <c r="R916" s="7"/>
    </row>
    <row r="917" spans="1:18">
      <c r="A917" s="4" t="s">
        <v>1257</v>
      </c>
      <c r="B917" s="4">
        <f t="shared" si="14"/>
        <v>7</v>
      </c>
      <c r="C917" s="4" t="s">
        <v>1258</v>
      </c>
      <c r="D917" s="1" t="str">
        <f>IFERROR(VLOOKUP(A917,[1]biopep_DB!$F$2:$J$1654,5,0),)</f>
        <v/>
      </c>
      <c r="E917" s="1" t="str">
        <f>IFERROR(VLOOKUP(A917,[1]biopep_DB!$F$2:$L$1654,6,0),0)</f>
        <v/>
      </c>
      <c r="F917" s="1" t="str">
        <f>IFERROR(VLOOKUP(A917,[1]biopep_DB!$F$2:$L$1654,7,0),0)</f>
        <v/>
      </c>
      <c r="G917" s="5">
        <v>770.83</v>
      </c>
      <c r="H917" s="5">
        <v>9.75</v>
      </c>
      <c r="I917" s="5">
        <v>0.76</v>
      </c>
      <c r="J917" s="6">
        <v>-1.1857</v>
      </c>
      <c r="K917" s="5">
        <v>63.6</v>
      </c>
      <c r="L917" s="6">
        <v>0.4286</v>
      </c>
      <c r="M917" s="6">
        <v>0.01</v>
      </c>
      <c r="N917" s="6">
        <v>0.2857</v>
      </c>
      <c r="O917" s="6">
        <v>0.5714</v>
      </c>
      <c r="P917" s="6">
        <v>0.1429</v>
      </c>
      <c r="Q917" s="7"/>
      <c r="R917" s="7"/>
    </row>
    <row r="918" spans="1:18">
      <c r="A918" s="4" t="s">
        <v>1259</v>
      </c>
      <c r="B918" s="4">
        <f t="shared" si="14"/>
        <v>3</v>
      </c>
      <c r="C918" s="4" t="s">
        <v>31</v>
      </c>
      <c r="D918" s="1" t="str">
        <f>IFERROR(VLOOKUP(A918,[1]biopep_DB!$F$2:$J$1654,5,0),)</f>
        <v>Structures and activity of angiotensin-converting enzyme inhibitors in an alpha-zein hydrolysate.; Structural requirements of Angiotensin I-converting enzyme inhibitory peptides: quantitative structure-activity relationship study of di- and tripeptides.; Bioactive peptides in amaranth (Amaranthus hypochondriacus) seed.; Cellular membrane disruption by amyloid fibrils involved intermolecular disulfide cross-linking.; What are the ideal properties for functional food peptides with antihypertensive effect? A computational peptidology approach.</v>
      </c>
      <c r="E918" s="1" t="str">
        <f>IFERROR(VLOOKUP(A918,[1]biopep_DB!$F$2:$L$1654,6,0),0)</f>
        <v>10.1021/jf051263l; 10.1021/jf072911z; 10.1021/bi900219c; 10.1016/j.foodchem.2013.05.140</v>
      </c>
      <c r="F918" s="1" t="str">
        <f>IFERROR(VLOOKUP(A918,[1]biopep_DB!$F$2:$L$1654,7,0),0)</f>
        <v>1368684 16448176 18211015 19449893 23871047</v>
      </c>
      <c r="G918" s="5">
        <v>342.39</v>
      </c>
      <c r="H918" s="5">
        <v>5.53</v>
      </c>
      <c r="I918" s="5">
        <v>-0.24</v>
      </c>
      <c r="J918" s="6">
        <v>-0.4333</v>
      </c>
      <c r="K918" s="5">
        <v>-2.93</v>
      </c>
      <c r="L918" s="6">
        <v>0.6667</v>
      </c>
      <c r="M918" s="6">
        <v>-1.1</v>
      </c>
      <c r="N918" s="6">
        <v>0.3333</v>
      </c>
      <c r="O918" s="6">
        <v>0.6667</v>
      </c>
      <c r="P918" s="6">
        <v>0.3333</v>
      </c>
      <c r="Q918" s="7"/>
      <c r="R918" s="7"/>
    </row>
    <row r="919" spans="1:18">
      <c r="A919" s="4" t="s">
        <v>1260</v>
      </c>
      <c r="B919" s="4">
        <f t="shared" si="14"/>
        <v>4</v>
      </c>
      <c r="C919" s="4" t="s">
        <v>1261</v>
      </c>
      <c r="D919" s="1" t="str">
        <f>IFERROR(VLOOKUP(A919,[1]biopep_DB!$F$2:$J$1654,5,0),)</f>
        <v>Isolation from alpha-zein of thermolysin peptides with angiotensin I-converting enzyme inhibitory activity.; What are the ideal properties for functional food peptides with antihypertensive effect? A computational peptidology approach.</v>
      </c>
      <c r="E919" s="1" t="str">
        <f>IFERROR(VLOOKUP(A919,[1]biopep_DB!$F$2:$L$1654,6,0),0)</f>
        <v>10.1271/bbb.60.661; 10.1016/j.foodchem.2013.05.140</v>
      </c>
      <c r="F919" s="1" t="str">
        <f>IFERROR(VLOOKUP(A919,[1]biopep_DB!$F$2:$L$1654,7,0),0)</f>
        <v>8829536 23871047</v>
      </c>
      <c r="G919" s="5">
        <v>413.47</v>
      </c>
      <c r="H919" s="5">
        <v>5.53</v>
      </c>
      <c r="I919" s="5">
        <v>-0.24</v>
      </c>
      <c r="J919" s="6">
        <v>0.125</v>
      </c>
      <c r="K919" s="5">
        <v>48.45</v>
      </c>
      <c r="L919" s="6">
        <v>0.75</v>
      </c>
      <c r="M919" s="6">
        <v>-1.2775</v>
      </c>
      <c r="N919" s="6">
        <v>0.5</v>
      </c>
      <c r="O919" s="6">
        <v>0.5</v>
      </c>
      <c r="P919" s="6">
        <v>0.25</v>
      </c>
      <c r="Q919" s="7"/>
      <c r="R919" s="7"/>
    </row>
    <row r="920" spans="1:18">
      <c r="A920" s="4" t="s">
        <v>1262</v>
      </c>
      <c r="B920" s="4">
        <f t="shared" si="14"/>
        <v>9</v>
      </c>
      <c r="C920" s="4" t="s">
        <v>25</v>
      </c>
      <c r="D920" s="1" t="str">
        <f>IFERROR(VLOOKUP(A920,[1]biopep_DB!$F$2:$J$1654,5,0),)</f>
        <v>Inhibition of angiotensin-converting enzyme by synthetic peptide fragments of various beta-caseins.</v>
      </c>
      <c r="E920" s="1" t="str">
        <f>IFERROR(VLOOKUP(A920,[1]biopep_DB!$F$2:$L$1654,6,0),0)</f>
        <v/>
      </c>
      <c r="F920" s="1" t="str">
        <f>IFERROR(VLOOKUP(A920,[1]biopep_DB!$F$2:$L$1654,7,0),0)</f>
        <v>1368548</v>
      </c>
      <c r="G920" s="5">
        <v>1078.22</v>
      </c>
      <c r="H920" s="5">
        <v>6.74</v>
      </c>
      <c r="I920" s="5">
        <v>-0.15</v>
      </c>
      <c r="J920" s="6">
        <v>-0.8889</v>
      </c>
      <c r="K920" s="5">
        <v>40.8</v>
      </c>
      <c r="L920" s="6">
        <v>0.5556</v>
      </c>
      <c r="M920" s="6">
        <v>-0.6367</v>
      </c>
      <c r="N920" s="6">
        <v>0.1111</v>
      </c>
      <c r="O920" s="6">
        <v>0.4444</v>
      </c>
      <c r="P920" s="6">
        <v>0.3333</v>
      </c>
      <c r="Q920" s="7"/>
      <c r="R920" s="7"/>
    </row>
    <row r="921" spans="1:18">
      <c r="A921" s="4" t="s">
        <v>1263</v>
      </c>
      <c r="B921" s="4">
        <f t="shared" si="14"/>
        <v>3</v>
      </c>
      <c r="C921" s="4"/>
      <c r="D921" s="1" t="str">
        <f>IFERROR(VLOOKUP(A921,[1]biopep_DB!$F$2:$J$1654,5,0),)</f>
        <v>Isolation from alpha-zein of thermolysin peptides with angiotensin I-converting enzyme inhibitory activity.</v>
      </c>
      <c r="E921" s="1" t="str">
        <f>IFERROR(VLOOKUP(A921,[1]biopep_DB!$F$2:$L$1654,6,0),0)</f>
        <v>10.1271/bbb.60.661</v>
      </c>
      <c r="F921" s="1" t="str">
        <f>IFERROR(VLOOKUP(A921,[1]biopep_DB!$F$2:$L$1654,7,0),0)</f>
        <v>8829536</v>
      </c>
      <c r="G921" s="5">
        <v>373.4</v>
      </c>
      <c r="H921" s="5">
        <v>5.53</v>
      </c>
      <c r="I921" s="5">
        <v>-0.24</v>
      </c>
      <c r="J921" s="6">
        <v>-1.0667</v>
      </c>
      <c r="K921" s="5">
        <v>-18.47</v>
      </c>
      <c r="L921" s="6">
        <v>0.3333</v>
      </c>
      <c r="M921" s="6">
        <v>-0.6467</v>
      </c>
      <c r="N921" s="6">
        <v>0.3333</v>
      </c>
      <c r="O921" s="6">
        <v>0.3333</v>
      </c>
      <c r="P921" s="6">
        <v>0.3333</v>
      </c>
      <c r="Q921" s="7"/>
      <c r="R921" s="7"/>
    </row>
    <row r="922" spans="1:18">
      <c r="A922" s="4" t="s">
        <v>1264</v>
      </c>
      <c r="B922" s="4">
        <f t="shared" si="14"/>
        <v>6</v>
      </c>
      <c r="C922" s="4"/>
      <c r="D922" s="1" t="str">
        <f>IFERROR(VLOOKUP(A922,[1]biopep_DB!$F$2:$J$1654,5,0),)</f>
        <v/>
      </c>
      <c r="E922" s="1" t="str">
        <f>IFERROR(VLOOKUP(A922,[1]biopep_DB!$F$2:$L$1654,6,0),0)</f>
        <v/>
      </c>
      <c r="F922" s="1" t="str">
        <f>IFERROR(VLOOKUP(A922,[1]biopep_DB!$F$2:$L$1654,7,0),0)</f>
        <v/>
      </c>
      <c r="G922" s="5">
        <v>627.69</v>
      </c>
      <c r="H922" s="5">
        <v>4.6</v>
      </c>
      <c r="I922" s="5">
        <v>-1.23</v>
      </c>
      <c r="J922" s="6">
        <v>-0.1667</v>
      </c>
      <c r="K922" s="5">
        <v>27.87</v>
      </c>
      <c r="L922" s="6">
        <v>0.5</v>
      </c>
      <c r="M922" s="6">
        <v>-1.1067</v>
      </c>
      <c r="N922" s="6">
        <v>0.3333</v>
      </c>
      <c r="O922" s="6">
        <v>0.5</v>
      </c>
      <c r="P922" s="6">
        <v>0.3333</v>
      </c>
      <c r="Q922" s="7"/>
      <c r="R922" s="7"/>
    </row>
    <row r="923" spans="1:18">
      <c r="A923" s="4" t="s">
        <v>1265</v>
      </c>
      <c r="B923" s="4">
        <f t="shared" si="14"/>
        <v>9</v>
      </c>
      <c r="C923" s="4" t="s">
        <v>936</v>
      </c>
      <c r="D923" s="1" t="str">
        <f>IFERROR(VLOOKUP(A923,[1]biopep_DB!$F$2:$J$1654,5,0),)</f>
        <v>A new QSAR model, for angiotensin I-converting enzyme inhibitory oligopeptides.</v>
      </c>
      <c r="E923" s="1" t="str">
        <f>IFERROR(VLOOKUP(A923,[1]biopep_DB!$F$2:$L$1654,6,0),0)</f>
        <v>10.1016/j.foodchem.2012.09.092</v>
      </c>
      <c r="F923" s="1" t="str">
        <f>IFERROR(VLOOKUP(A923,[1]biopep_DB!$F$2:$L$1654,7,0),0)</f>
        <v>23194537</v>
      </c>
      <c r="G923" s="5">
        <v>969.09</v>
      </c>
      <c r="H923" s="5">
        <v>4.24</v>
      </c>
      <c r="I923" s="5">
        <v>-2.23</v>
      </c>
      <c r="J923" s="6">
        <v>0.4667</v>
      </c>
      <c r="K923" s="5">
        <v>33.88</v>
      </c>
      <c r="L923" s="6">
        <v>0.5556</v>
      </c>
      <c r="M923" s="6">
        <v>-1.5511</v>
      </c>
      <c r="N923" s="6">
        <v>0.3333</v>
      </c>
      <c r="O923" s="6">
        <v>0.3333</v>
      </c>
      <c r="P923" s="6">
        <v>0.4444</v>
      </c>
      <c r="Q923" s="7"/>
      <c r="R923" s="7"/>
    </row>
    <row r="924" spans="1:18">
      <c r="A924" s="4" t="s">
        <v>1266</v>
      </c>
      <c r="B924" s="4">
        <f t="shared" si="14"/>
        <v>9</v>
      </c>
      <c r="C924" s="4" t="s">
        <v>311</v>
      </c>
      <c r="D924" s="1" t="str">
        <f>IFERROR(VLOOKUP(A924,[1]biopep_DB!$F$2:$J$1654,5,0),)</f>
        <v>Angiotensin-converting enzyme inhibitory activity of peptides derived from caprine kefir.</v>
      </c>
      <c r="E924" s="1" t="str">
        <f>IFERROR(VLOOKUP(A924,[1]biopep_DB!$F$2:$L$1654,6,0),0)</f>
        <v>10.3168/jds.S0022-0302(05)73032-0</v>
      </c>
      <c r="F924" s="1" t="str">
        <f>IFERROR(VLOOKUP(A924,[1]biopep_DB!$F$2:$L$1654,7,0),0)</f>
        <v>16162521</v>
      </c>
      <c r="G924" s="5">
        <v>959.05</v>
      </c>
      <c r="H924" s="5">
        <v>4.24</v>
      </c>
      <c r="I924" s="5">
        <v>-2.23</v>
      </c>
      <c r="J924" s="6">
        <v>0.5333</v>
      </c>
      <c r="K924" s="5">
        <v>-8.92</v>
      </c>
      <c r="L924" s="6">
        <v>0.4444</v>
      </c>
      <c r="M924" s="6">
        <v>-1.4244</v>
      </c>
      <c r="N924" s="6">
        <v>0.3333</v>
      </c>
      <c r="O924" s="6">
        <v>0.2222</v>
      </c>
      <c r="P924" s="6">
        <v>0.5556</v>
      </c>
      <c r="Q924" s="7"/>
      <c r="R924" s="7"/>
    </row>
    <row r="925" spans="1:18">
      <c r="A925" s="4" t="s">
        <v>1267</v>
      </c>
      <c r="B925" s="4">
        <f t="shared" si="14"/>
        <v>3</v>
      </c>
      <c r="C925" s="4" t="s">
        <v>36</v>
      </c>
      <c r="D925" s="1" t="str">
        <f>IFERROR(VLOOKUP(A925,[1]biopep_DB!$F$2:$J$1654,5,0),)</f>
        <v>Structural requirements of Angiotensin I-converting enzyme inhibitory peptides: quantitative structure-activity relationship study of di- and tripeptides.</v>
      </c>
      <c r="E925" s="1" t="str">
        <f>IFERROR(VLOOKUP(A925,[1]biopep_DB!$F$2:$L$1654,6,0),0)</f>
        <v>10.1021/jf051263l</v>
      </c>
      <c r="F925" s="1" t="str">
        <f>IFERROR(VLOOKUP(A925,[1]biopep_DB!$F$2:$L$1654,7,0),0)</f>
        <v>16448176</v>
      </c>
      <c r="G925" s="5">
        <v>408.45</v>
      </c>
      <c r="H925" s="5">
        <v>5.52</v>
      </c>
      <c r="I925" s="5">
        <v>-0.24</v>
      </c>
      <c r="J925" s="6">
        <v>-0.3333</v>
      </c>
      <c r="K925" s="5">
        <v>6.67</v>
      </c>
      <c r="L925" s="6">
        <v>0.3333</v>
      </c>
      <c r="M925" s="6">
        <v>-1.0533</v>
      </c>
      <c r="N925" s="6">
        <v>0.3333</v>
      </c>
      <c r="O925" s="6">
        <v>0.3333</v>
      </c>
      <c r="P925" s="6">
        <v>0.6667</v>
      </c>
      <c r="Q925" s="7"/>
      <c r="R925" s="7"/>
    </row>
    <row r="926" spans="1:18">
      <c r="A926" s="4" t="s">
        <v>1268</v>
      </c>
      <c r="B926" s="4">
        <f t="shared" si="14"/>
        <v>2</v>
      </c>
      <c r="C926" s="4"/>
      <c r="D926" s="1" t="str">
        <f>IFERROR(VLOOKUP(A926,[1]biopep_DB!$F$2:$J$1654,5,0),)</f>
        <v>Antihypertensive peptides derived from milk proteins.</v>
      </c>
      <c r="E926" s="1" t="str">
        <f>IFERROR(VLOOKUP(A926,[1]biopep_DB!$F$2:$L$1654,6,0),0)</f>
        <v>10.1002/(SICI)1521-3803(19990601)43:3&lt;159::AID-FOOD159&gt;3.0.CO;2-R</v>
      </c>
      <c r="F926" s="1" t="str">
        <f>IFERROR(VLOOKUP(A926,[1]biopep_DB!$F$2:$L$1654,7,0),0)</f>
        <v>10399348</v>
      </c>
      <c r="G926" s="5">
        <v>228.29</v>
      </c>
      <c r="H926" s="5">
        <v>5.53</v>
      </c>
      <c r="I926" s="5">
        <v>-0.24</v>
      </c>
      <c r="J926" s="6">
        <v>1.1</v>
      </c>
      <c r="K926" s="5">
        <v>101.3</v>
      </c>
      <c r="L926" s="6">
        <v>1</v>
      </c>
      <c r="M926" s="6">
        <v>-2.46</v>
      </c>
      <c r="N926" s="6">
        <v>0.5</v>
      </c>
      <c r="O926" s="6">
        <v>0.5</v>
      </c>
      <c r="P926" s="6">
        <v>0.5</v>
      </c>
      <c r="Q926" s="7"/>
      <c r="R926" s="7"/>
    </row>
    <row r="927" spans="1:18">
      <c r="A927" s="4" t="s">
        <v>1269</v>
      </c>
      <c r="B927" s="4">
        <f t="shared" si="14"/>
        <v>3</v>
      </c>
      <c r="C927" s="4" t="s">
        <v>36</v>
      </c>
      <c r="D927" s="1" t="str">
        <f>IFERROR(VLOOKUP(A927,[1]biopep_DB!$F$2:$J$1654,5,0),)</f>
        <v>Structural requirements of Angiotensin I-converting enzyme inhibitory peptides: quantitative structure-activity relationship study of di- and tripeptides.; Isolation and characterization of peptides with antihypertensive activity in foodstuffs.</v>
      </c>
      <c r="E927" s="1" t="str">
        <f>IFERROR(VLOOKUP(A927,[1]biopep_DB!$F$2:$L$1654,6,0),0)</f>
        <v>10.1021/jf051263l; 10.1080/10408398.2012.664829</v>
      </c>
      <c r="F927" s="1" t="str">
        <f>IFERROR(VLOOKUP(A927,[1]biopep_DB!$F$2:$L$1654,7,0),0)</f>
        <v>16448176 24915368</v>
      </c>
      <c r="G927" s="5">
        <v>375.46</v>
      </c>
      <c r="H927" s="5">
        <v>5.53</v>
      </c>
      <c r="I927" s="5">
        <v>-0.24</v>
      </c>
      <c r="J927" s="6">
        <v>1.6667</v>
      </c>
      <c r="K927" s="5">
        <v>135.07</v>
      </c>
      <c r="L927" s="6">
        <v>1</v>
      </c>
      <c r="M927" s="6">
        <v>-2.6333</v>
      </c>
      <c r="N927" s="6">
        <v>0.3333</v>
      </c>
      <c r="O927" s="6">
        <v>0.3333</v>
      </c>
      <c r="P927" s="6">
        <v>0.6667</v>
      </c>
      <c r="Q927" s="7"/>
      <c r="R927" s="7"/>
    </row>
    <row r="928" spans="1:18">
      <c r="A928" s="4" t="s">
        <v>1270</v>
      </c>
      <c r="B928" s="4">
        <f t="shared" si="14"/>
        <v>3</v>
      </c>
      <c r="C928" s="4" t="s">
        <v>1271</v>
      </c>
      <c r="D928" s="1" t="str">
        <f>IFERROR(VLOOKUP(A928,[1]biopep_DB!$F$2:$J$1654,5,0),)</f>
        <v>Structure and activity of angiotensin I converting enzyme inhibitory peptides derived from Alaskan pollack skin.; Peptides with angiotensin I converting enzyme (ACE) inhibitory activity generated from porcine skeletal muscle proteins by the action of meat-borne Lactobacillus.</v>
      </c>
      <c r="E928" s="1" t="str">
        <f>IFERROR(VLOOKUP(A928,[1]biopep_DB!$F$2:$L$1654,6,0),0)</f>
        <v>10.5483/bmbrep.2002.35.2.239; 10.1016/j.jprot.2013.06.023</v>
      </c>
      <c r="F928" s="1" t="str">
        <f>IFERROR(VLOOKUP(A928,[1]biopep_DB!$F$2:$L$1654,7,0),0)</f>
        <v>12297036 23806758</v>
      </c>
      <c r="G928" s="5">
        <v>285.34</v>
      </c>
      <c r="H928" s="5">
        <v>5.53</v>
      </c>
      <c r="I928" s="5">
        <v>-0.24</v>
      </c>
      <c r="J928" s="6">
        <v>0.6</v>
      </c>
      <c r="K928" s="5">
        <v>70.87</v>
      </c>
      <c r="L928" s="6">
        <v>0.6667</v>
      </c>
      <c r="M928" s="6">
        <v>-1.9533</v>
      </c>
      <c r="N928" s="6">
        <v>0.3333</v>
      </c>
      <c r="O928" s="6">
        <v>0.6667</v>
      </c>
      <c r="P928" s="6">
        <v>0.3333</v>
      </c>
      <c r="Q928" s="7"/>
      <c r="R928" s="7"/>
    </row>
    <row r="929" spans="1:18">
      <c r="A929" s="4" t="s">
        <v>1272</v>
      </c>
      <c r="B929" s="4">
        <f t="shared" si="14"/>
        <v>4</v>
      </c>
      <c r="C929" s="4" t="s">
        <v>1273</v>
      </c>
      <c r="D929" s="1" t="str">
        <f>IFERROR(VLOOKUP(A929,[1]biopep_DB!$F$2:$J$1654,5,0),)</f>
        <v>What are the ideal properties for functional food peptides with antihypertensive effect? A computational peptidology approach.</v>
      </c>
      <c r="E929" s="1" t="str">
        <f>IFERROR(VLOOKUP(A929,[1]biopep_DB!$F$2:$L$1654,6,0),0)</f>
        <v>10.1016/j.foodchem.2013.05.140</v>
      </c>
      <c r="F929" s="1" t="str">
        <f>IFERROR(VLOOKUP(A929,[1]biopep_DB!$F$2:$L$1654,7,0),0)</f>
        <v>23871047</v>
      </c>
      <c r="G929" s="5">
        <v>512.6</v>
      </c>
      <c r="H929" s="5">
        <v>6.74</v>
      </c>
      <c r="I929" s="5">
        <v>-0.15</v>
      </c>
      <c r="J929" s="6">
        <v>0.45</v>
      </c>
      <c r="K929" s="5">
        <v>29.73</v>
      </c>
      <c r="L929" s="6">
        <v>0.75</v>
      </c>
      <c r="M929" s="6">
        <v>-1.7275</v>
      </c>
      <c r="N929" s="6">
        <v>0.25</v>
      </c>
      <c r="O929" s="6">
        <v>0.25</v>
      </c>
      <c r="P929" s="6">
        <v>0.5</v>
      </c>
      <c r="Q929" s="7"/>
      <c r="R929" s="7"/>
    </row>
    <row r="930" spans="1:18">
      <c r="A930" s="4" t="s">
        <v>1274</v>
      </c>
      <c r="B930" s="4">
        <f t="shared" si="14"/>
        <v>4</v>
      </c>
      <c r="C930" s="4" t="s">
        <v>1275</v>
      </c>
      <c r="D930" s="1" t="str">
        <f>IFERROR(VLOOKUP(A930,[1]biopep_DB!$F$2:$J$1654,5,0),)</f>
        <v>Inhibition of angiotensin-converting enzyme by synthetic peptide fragments of various beta-caseins.; The potential role of milk-derived peptides in cardiovascular disease.; What are the ideal properties for functional food peptides with antihypertensive effect? A computational peptidology approach.; Novel probiotic-fermented milk with angiotensin I-converting enzyme inhibitory peptides produced by Bifidobacterium bifidum MF 20/5.</v>
      </c>
      <c r="E930" s="1" t="str">
        <f>IFERROR(VLOOKUP(A930,[1]biopep_DB!$F$2:$L$1654,6,0),0)</f>
        <v>10.1039/c1fo10017c; 10.1016/j.foodchem.2013.05.140; 10.1016/j.ijfoodmicro.2013.09.002</v>
      </c>
      <c r="F930" s="1" t="str">
        <f>IFERROR(VLOOKUP(A930,[1]biopep_DB!$F$2:$L$1654,7,0),0)</f>
        <v>1368548 21779574 23871047 24135669</v>
      </c>
      <c r="G930" s="5">
        <v>438.56</v>
      </c>
      <c r="H930" s="5">
        <v>5.53</v>
      </c>
      <c r="I930" s="5">
        <v>-0.24</v>
      </c>
      <c r="J930" s="6">
        <v>1.1</v>
      </c>
      <c r="K930" s="5">
        <v>103.8</v>
      </c>
      <c r="L930" s="6">
        <v>1</v>
      </c>
      <c r="M930" s="6">
        <v>-2.46</v>
      </c>
      <c r="N930" s="6">
        <v>0.5</v>
      </c>
      <c r="O930" s="6">
        <v>0.5</v>
      </c>
      <c r="P930" s="6">
        <v>0.5</v>
      </c>
      <c r="Q930" s="7"/>
      <c r="R930" s="7"/>
    </row>
    <row r="931" spans="1:18">
      <c r="A931" s="4" t="s">
        <v>1276</v>
      </c>
      <c r="B931" s="4">
        <f t="shared" si="14"/>
        <v>3</v>
      </c>
      <c r="C931" s="4"/>
      <c r="D931" s="1" t="str">
        <f>IFERROR(VLOOKUP(A931,[1]biopep_DB!$F$2:$J$1654,5,0),)</f>
        <v>Isolation from alpha-zein of thermolysin peptides with angiotensin I-converting enzyme inhibitory activity.</v>
      </c>
      <c r="E931" s="1" t="str">
        <f>IFERROR(VLOOKUP(A931,[1]biopep_DB!$F$2:$L$1654,6,0),0)</f>
        <v>10.1271/bbb.60.661</v>
      </c>
      <c r="F931" s="1" t="str">
        <f>IFERROR(VLOOKUP(A931,[1]biopep_DB!$F$2:$L$1654,7,0),0)</f>
        <v>8829536</v>
      </c>
      <c r="G931" s="5">
        <v>342.39</v>
      </c>
      <c r="H931" s="5">
        <v>5.53</v>
      </c>
      <c r="I931" s="5">
        <v>-0.24</v>
      </c>
      <c r="J931" s="6">
        <v>-0.4333</v>
      </c>
      <c r="K931" s="5">
        <v>70.87</v>
      </c>
      <c r="L931" s="6">
        <v>0.6667</v>
      </c>
      <c r="M931" s="6">
        <v>-1.1</v>
      </c>
      <c r="N931" s="6">
        <v>0.3333</v>
      </c>
      <c r="O931" s="6">
        <v>0.6667</v>
      </c>
      <c r="P931" s="6">
        <v>0.3333</v>
      </c>
      <c r="Q931" s="7"/>
      <c r="R931" s="7"/>
    </row>
    <row r="932" spans="1:18">
      <c r="A932" s="4" t="s">
        <v>1277</v>
      </c>
      <c r="B932" s="4">
        <f t="shared" si="14"/>
        <v>3</v>
      </c>
      <c r="C932" s="4" t="s">
        <v>36</v>
      </c>
      <c r="D932" s="1" t="str">
        <f>IFERROR(VLOOKUP(A932,[1]biopep_DB!$F$2:$J$1654,5,0),)</f>
        <v>Structural requirements of Angiotensin I-converting enzyme inhibitory peptides: quantitative structure-activity relationship study of di- and tripeptides.; Bioactive peptides in amaranth (Amaranthus hypochondriacus) seed.;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932" s="1" t="str">
        <f>IFERROR(VLOOKUP(A932,[1]biopep_DB!$F$2:$L$1654,6,0),0)</f>
        <v>10.1021/jf051263l; 10.1021/jf072911z; 10.1016/j.jprot.2013.06.023; 10.1016/j.foodchem.2013.05.140</v>
      </c>
      <c r="F932" s="1" t="str">
        <f>IFERROR(VLOOKUP(A932,[1]biopep_DB!$F$2:$L$1654,7,0),0)</f>
        <v>16448176 18211015 23806758 23871047</v>
      </c>
      <c r="G932" s="5">
        <v>325.4</v>
      </c>
      <c r="H932" s="5">
        <v>5.53</v>
      </c>
      <c r="I932" s="5">
        <v>-0.24</v>
      </c>
      <c r="J932" s="6">
        <v>0.2</v>
      </c>
      <c r="K932" s="5">
        <v>135.07</v>
      </c>
      <c r="L932" s="6">
        <v>1</v>
      </c>
      <c r="M932" s="6">
        <v>-1.64</v>
      </c>
      <c r="N932" s="6">
        <v>0.3333</v>
      </c>
      <c r="O932" s="6">
        <v>0.6667</v>
      </c>
      <c r="P932" s="6">
        <v>0.3333</v>
      </c>
      <c r="Q932" s="7"/>
      <c r="R932" s="7"/>
    </row>
    <row r="933" spans="1:18">
      <c r="A933" s="4" t="s">
        <v>1278</v>
      </c>
      <c r="B933" s="4">
        <f t="shared" si="14"/>
        <v>4</v>
      </c>
      <c r="C933" s="4" t="s">
        <v>311</v>
      </c>
      <c r="D933" s="1" t="str">
        <f>IFERROR(VLOOKUP(A933,[1]biopep_DB!$F$2:$J$1654,5,0),)</f>
        <v/>
      </c>
      <c r="E933" s="1" t="str">
        <f>IFERROR(VLOOKUP(A933,[1]biopep_DB!$F$2:$L$1654,6,0),0)</f>
        <v/>
      </c>
      <c r="F933" s="1" t="str">
        <f>IFERROR(VLOOKUP(A933,[1]biopep_DB!$F$2:$L$1654,7,0),0)</f>
        <v/>
      </c>
      <c r="G933" s="5">
        <v>422.52</v>
      </c>
      <c r="H933" s="5">
        <v>5.53</v>
      </c>
      <c r="I933" s="5">
        <v>-0.24</v>
      </c>
      <c r="J933" s="6">
        <v>-0.25</v>
      </c>
      <c r="K933" s="5">
        <v>151.95</v>
      </c>
      <c r="L933" s="6">
        <v>1</v>
      </c>
      <c r="M933" s="6">
        <v>-1.23</v>
      </c>
      <c r="N933" s="6">
        <v>0.25</v>
      </c>
      <c r="O933" s="6">
        <v>0.75</v>
      </c>
      <c r="P933" s="6">
        <v>0.25</v>
      </c>
      <c r="Q933" s="7"/>
      <c r="R933" s="7"/>
    </row>
    <row r="934" spans="1:18">
      <c r="A934" s="4" t="s">
        <v>1279</v>
      </c>
      <c r="B934" s="4">
        <f t="shared" si="14"/>
        <v>6</v>
      </c>
      <c r="C934" s="4" t="s">
        <v>311</v>
      </c>
      <c r="D934" s="1" t="str">
        <f>IFERROR(VLOOKUP(A934,[1]biopep_DB!$F$2:$J$1654,5,0),)</f>
        <v/>
      </c>
      <c r="E934" s="1" t="str">
        <f>IFERROR(VLOOKUP(A934,[1]biopep_DB!$F$2:$L$1654,6,0),0)</f>
        <v/>
      </c>
      <c r="F934" s="1" t="str">
        <f>IFERROR(VLOOKUP(A934,[1]biopep_DB!$F$2:$L$1654,7,0),0)</f>
        <v/>
      </c>
      <c r="G934" s="5">
        <v>658.79</v>
      </c>
      <c r="H934" s="5">
        <v>6.74</v>
      </c>
      <c r="I934" s="5">
        <v>-0.15</v>
      </c>
      <c r="J934" s="6">
        <v>0</v>
      </c>
      <c r="K934" s="5">
        <v>136.73</v>
      </c>
      <c r="L934" s="6">
        <v>0.8333</v>
      </c>
      <c r="M934" s="6">
        <v>-1.3283</v>
      </c>
      <c r="N934" s="6">
        <v>0.1667</v>
      </c>
      <c r="O934" s="6">
        <v>0.5</v>
      </c>
      <c r="P934" s="6">
        <v>0.3333</v>
      </c>
      <c r="Q934" s="7"/>
      <c r="R934" s="7"/>
    </row>
    <row r="935" spans="1:18">
      <c r="A935" s="4" t="s">
        <v>1280</v>
      </c>
      <c r="B935" s="4">
        <f t="shared" si="14"/>
        <v>7</v>
      </c>
      <c r="C935" s="4" t="s">
        <v>1281</v>
      </c>
      <c r="D935" s="1" t="str">
        <f>IFERROR(VLOOKUP(A935,[1]biopep_DB!$F$2:$J$1654,5,0),)</f>
        <v>Inhibition of angiotensin-converting enzyme by synthetic peptide fragments of various beta-caseins.</v>
      </c>
      <c r="E935" s="1" t="str">
        <f>IFERROR(VLOOKUP(A935,[1]biopep_DB!$F$2:$L$1654,6,0),0)</f>
        <v/>
      </c>
      <c r="F935" s="1" t="str">
        <f>IFERROR(VLOOKUP(A935,[1]biopep_DB!$F$2:$L$1654,7,0),0)</f>
        <v>1368548</v>
      </c>
      <c r="G935" s="5">
        <v>793.95</v>
      </c>
      <c r="H935" s="5">
        <v>5.53</v>
      </c>
      <c r="I935" s="5">
        <v>-0.24</v>
      </c>
      <c r="J935" s="6">
        <v>0.2714</v>
      </c>
      <c r="K935" s="5">
        <v>181.4</v>
      </c>
      <c r="L935" s="6">
        <v>0.7143</v>
      </c>
      <c r="M935" s="6">
        <v>-1.6829</v>
      </c>
      <c r="N935" s="6">
        <v>0.2857</v>
      </c>
      <c r="O935" s="6">
        <v>0.4286</v>
      </c>
      <c r="P935" s="6">
        <v>0.4286</v>
      </c>
      <c r="Q935" s="7"/>
      <c r="R935" s="7"/>
    </row>
    <row r="936" spans="1:18">
      <c r="A936" s="4" t="s">
        <v>1282</v>
      </c>
      <c r="B936" s="4">
        <f t="shared" si="14"/>
        <v>8</v>
      </c>
      <c r="C936" s="4"/>
      <c r="D936" s="1" t="str">
        <f>IFERROR(VLOOKUP(A936,[1]biopep_DB!$F$2:$J$1654,5,0),)</f>
        <v>Isolation and characterization of peptides with antihypertensive activity in foodstuffs.</v>
      </c>
      <c r="E936" s="1" t="str">
        <f>IFERROR(VLOOKUP(A936,[1]biopep_DB!$F$2:$L$1654,6,0),0)</f>
        <v>10.1080/10408398.2012.664829</v>
      </c>
      <c r="F936" s="1" t="str">
        <f>IFERROR(VLOOKUP(A936,[1]biopep_DB!$F$2:$L$1654,7,0),0)</f>
        <v>24915368</v>
      </c>
      <c r="G936" s="5">
        <v>891.07</v>
      </c>
      <c r="H936" s="5">
        <v>5.53</v>
      </c>
      <c r="I936" s="5">
        <v>-0.24</v>
      </c>
      <c r="J936" s="6">
        <v>0.0375</v>
      </c>
      <c r="K936" s="5">
        <v>132.3</v>
      </c>
      <c r="L936" s="6">
        <v>0.75</v>
      </c>
      <c r="M936" s="6">
        <v>-1.4725</v>
      </c>
      <c r="N936" s="6">
        <v>0.25</v>
      </c>
      <c r="O936" s="6">
        <v>0.5</v>
      </c>
      <c r="P936" s="6">
        <v>0.375</v>
      </c>
      <c r="Q936" s="7"/>
      <c r="R936" s="7"/>
    </row>
    <row r="937" spans="1:18">
      <c r="A937" s="4" t="s">
        <v>1283</v>
      </c>
      <c r="B937" s="4">
        <f t="shared" si="14"/>
        <v>28</v>
      </c>
      <c r="C937" s="4"/>
      <c r="D937" s="1" t="str">
        <f>IFERROR(VLOOKUP(A937,[1]biopep_DB!$F$2:$J$1654,5,0),)</f>
        <v/>
      </c>
      <c r="E937" s="1" t="str">
        <f>IFERROR(VLOOKUP(A937,[1]biopep_DB!$F$2:$L$1654,6,0),0)</f>
        <v/>
      </c>
      <c r="F937" s="1" t="str">
        <f>IFERROR(VLOOKUP(A937,[1]biopep_DB!$F$2:$L$1654,7,0),0)</f>
        <v/>
      </c>
      <c r="G937" s="5">
        <v>3026.59</v>
      </c>
      <c r="H937" s="5">
        <v>6</v>
      </c>
      <c r="I937" s="5">
        <v>-0.24</v>
      </c>
      <c r="J937" s="6">
        <v>0.2286</v>
      </c>
      <c r="K937" s="5">
        <v>94.49</v>
      </c>
      <c r="L937" s="6">
        <v>0.6429</v>
      </c>
      <c r="M937" s="6">
        <v>-1.2811</v>
      </c>
      <c r="N937" s="6">
        <v>0.2143</v>
      </c>
      <c r="O937" s="6">
        <v>0.3571</v>
      </c>
      <c r="P937" s="6">
        <v>0.4286</v>
      </c>
      <c r="Q937" s="7"/>
      <c r="R937" s="7"/>
    </row>
    <row r="938" spans="1:18">
      <c r="A938" s="4" t="s">
        <v>1284</v>
      </c>
      <c r="B938" s="4">
        <f t="shared" si="14"/>
        <v>14</v>
      </c>
      <c r="C938" s="4"/>
      <c r="D938" s="1" t="str">
        <f>IFERROR(VLOOKUP(A938,[1]biopep_DB!$F$2:$J$1654,5,0),)</f>
        <v>Identification of angiotensin-I-converting enzyme inhibitory peptides derived from sodium caseinate hydrolysates produced by Lactobacillus helveticus NCC 2765.</v>
      </c>
      <c r="E938" s="1" t="str">
        <f>IFERROR(VLOOKUP(A938,[1]biopep_DB!$F$2:$L$1654,6,0),0)</f>
        <v>10.1021/jf049510t</v>
      </c>
      <c r="F938" s="1" t="str">
        <f>IFERROR(VLOOKUP(A938,[1]biopep_DB!$F$2:$L$1654,7,0),0)</f>
        <v>15537298</v>
      </c>
      <c r="G938" s="5">
        <v>1716.98</v>
      </c>
      <c r="H938" s="5">
        <v>9.53</v>
      </c>
      <c r="I938" s="5">
        <v>1.84</v>
      </c>
      <c r="J938" s="6">
        <v>-0.9143</v>
      </c>
      <c r="K938" s="5">
        <v>19.96</v>
      </c>
      <c r="L938" s="6">
        <v>0.3571</v>
      </c>
      <c r="M938" s="6">
        <v>-0.4943</v>
      </c>
      <c r="N938" s="6">
        <v>0.3571</v>
      </c>
      <c r="O938" s="6">
        <v>0.0714</v>
      </c>
      <c r="P938" s="6">
        <v>0.4286</v>
      </c>
      <c r="Q938" s="7"/>
      <c r="R938" s="7"/>
    </row>
    <row r="939" spans="1:18">
      <c r="A939" s="4" t="s">
        <v>1285</v>
      </c>
      <c r="B939" s="4">
        <f t="shared" si="14"/>
        <v>5</v>
      </c>
      <c r="C939" s="4" t="s">
        <v>299</v>
      </c>
      <c r="D939" s="1" t="str">
        <f>IFERROR(VLOOKUP(A939,[1]biopep_DB!$F$2:$J$1654,5,0),)</f>
        <v>Identification of novel angiotensin-converting enzyme-inhibitory peptides from ovine milk proteins by CE-MS and chromatographic techniques.; A new QSAR model, for angiotensin I-converting enzyme inhibitory oligopeptides.</v>
      </c>
      <c r="E939" s="1" t="str">
        <f>IFERROR(VLOOKUP(A939,[1]biopep_DB!$F$2:$L$1654,6,0),0)</f>
        <v>10.1002/elps.200700324; 10.1016/j.foodchem.2012.09.092</v>
      </c>
      <c r="F939" s="1" t="str">
        <f>IFERROR(VLOOKUP(A939,[1]biopep_DB!$F$2:$L$1654,7,0),0)</f>
        <v>17948260 23194537</v>
      </c>
      <c r="G939" s="5">
        <v>651.75</v>
      </c>
      <c r="H939" s="5">
        <v>5.52</v>
      </c>
      <c r="I939" s="5">
        <v>-0.24</v>
      </c>
      <c r="J939" s="6">
        <v>-0.4</v>
      </c>
      <c r="K939" s="5">
        <v>71.2</v>
      </c>
      <c r="L939" s="6">
        <v>0.6</v>
      </c>
      <c r="M939" s="6">
        <v>-0.928</v>
      </c>
      <c r="N939" s="6">
        <v>0.2</v>
      </c>
      <c r="O939" s="6">
        <v>0.4</v>
      </c>
      <c r="P939" s="6">
        <v>0.6</v>
      </c>
      <c r="Q939" s="7"/>
      <c r="R939" s="7"/>
    </row>
    <row r="940" spans="1:18">
      <c r="A940" s="4" t="s">
        <v>1286</v>
      </c>
      <c r="B940" s="4">
        <f t="shared" si="14"/>
        <v>6</v>
      </c>
      <c r="C940" s="4"/>
      <c r="D940" s="1" t="str">
        <f>IFERROR(VLOOKUP(A940,[1]biopep_DB!$F$2:$J$1654,5,0),)</f>
        <v>Isolation and characterization of peptides with antihypertensive activity in foodstuffs.</v>
      </c>
      <c r="E940" s="1" t="str">
        <f>IFERROR(VLOOKUP(A940,[1]biopep_DB!$F$2:$L$1654,6,0),0)</f>
        <v>10.1080/10408398.2012.664829</v>
      </c>
      <c r="F940" s="1" t="str">
        <f>IFERROR(VLOOKUP(A940,[1]biopep_DB!$F$2:$L$1654,7,0),0)</f>
        <v>24915368</v>
      </c>
      <c r="G940" s="5">
        <v>814.92</v>
      </c>
      <c r="H940" s="5">
        <v>5.52</v>
      </c>
      <c r="I940" s="5">
        <v>-0.24</v>
      </c>
      <c r="J940" s="6">
        <v>-0.55</v>
      </c>
      <c r="K940" s="5">
        <v>81.57</v>
      </c>
      <c r="L940" s="6">
        <v>0.5</v>
      </c>
      <c r="M940" s="6">
        <v>-0.75</v>
      </c>
      <c r="N940" s="6">
        <v>0.1667</v>
      </c>
      <c r="O940" s="6">
        <v>0.3333</v>
      </c>
      <c r="P940" s="6">
        <v>0.6667</v>
      </c>
      <c r="Q940" s="7"/>
      <c r="R940" s="7"/>
    </row>
    <row r="941" spans="1:18">
      <c r="A941" s="4" t="s">
        <v>1287</v>
      </c>
      <c r="B941" s="4">
        <f t="shared" si="14"/>
        <v>2</v>
      </c>
      <c r="C941" s="4" t="s">
        <v>62</v>
      </c>
      <c r="D941" s="1" t="str">
        <f>IFERROR(VLOOKUP(A941,[1]biopep_DB!$F$2:$J$1654,5,0),)</f>
        <v>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
      <c r="E941" s="1" t="str">
        <f>IFERROR(VLOOKUP(A941,[1]biopep_DB!$F$2:$L$1654,6,0),0)</f>
        <v>10.1007/s00216-008-1990-3; 10.1016/j.jprot.2013.06.023</v>
      </c>
      <c r="F941" s="1" t="str">
        <f>IFERROR(VLOOKUP(A941,[1]biopep_DB!$F$2:$L$1654,7,0),0)</f>
        <v>18392815 23806758</v>
      </c>
      <c r="G941" s="5">
        <v>259.3</v>
      </c>
      <c r="H941" s="5">
        <v>5.53</v>
      </c>
      <c r="I941" s="5">
        <v>-0.24</v>
      </c>
      <c r="J941" s="6">
        <v>0.15</v>
      </c>
      <c r="K941" s="5">
        <v>168</v>
      </c>
      <c r="L941" s="6">
        <v>0.5</v>
      </c>
      <c r="M941" s="6">
        <v>-1.78</v>
      </c>
      <c r="N941" s="6">
        <v>0.5</v>
      </c>
      <c r="O941" s="6">
        <v>0</v>
      </c>
      <c r="P941" s="6">
        <v>0.5</v>
      </c>
      <c r="Q941" s="7"/>
      <c r="R941" s="7"/>
    </row>
    <row r="942" spans="1:18">
      <c r="A942" s="4" t="s">
        <v>1288</v>
      </c>
      <c r="B942" s="4">
        <f t="shared" si="14"/>
        <v>3</v>
      </c>
      <c r="C942" s="4" t="s">
        <v>31</v>
      </c>
      <c r="D942" s="1" t="str">
        <f>IFERROR(VLOOKUP(A942,[1]biopep_DB!$F$2:$J$1654,5,0),)</f>
        <v/>
      </c>
      <c r="E942" s="1" t="str">
        <f>IFERROR(VLOOKUP(A942,[1]biopep_DB!$F$2:$L$1654,6,0),0)</f>
        <v/>
      </c>
      <c r="F942" s="1" t="str">
        <f>IFERROR(VLOOKUP(A942,[1]biopep_DB!$F$2:$L$1654,7,0),0)</f>
        <v/>
      </c>
      <c r="G942" s="5">
        <v>362.44</v>
      </c>
      <c r="H942" s="5">
        <v>5.52</v>
      </c>
      <c r="I942" s="5">
        <v>-0.25</v>
      </c>
      <c r="J942" s="6">
        <v>0.9333</v>
      </c>
      <c r="K942" s="5">
        <v>90.2</v>
      </c>
      <c r="L942" s="6">
        <v>0.3333</v>
      </c>
      <c r="M942" s="6">
        <v>-1.6133</v>
      </c>
      <c r="N942" s="6">
        <v>0.3333</v>
      </c>
      <c r="O942" s="6">
        <v>0</v>
      </c>
      <c r="P942" s="6">
        <v>0.3333</v>
      </c>
      <c r="Q942" s="7"/>
      <c r="R942" s="7"/>
    </row>
    <row r="943" spans="1:18">
      <c r="A943" s="4" t="s">
        <v>1289</v>
      </c>
      <c r="B943" s="4">
        <f t="shared" si="14"/>
        <v>5</v>
      </c>
      <c r="C943" s="4" t="s">
        <v>31</v>
      </c>
      <c r="D943" s="1" t="str">
        <f>IFERROR(VLOOKUP(A943,[1]biopep_DB!$F$2:$J$1654,5,0),)</f>
        <v/>
      </c>
      <c r="E943" s="1" t="str">
        <f>IFERROR(VLOOKUP(A943,[1]biopep_DB!$F$2:$L$1654,6,0),0)</f>
        <v/>
      </c>
      <c r="F943" s="1" t="str">
        <f>IFERROR(VLOOKUP(A943,[1]biopep_DB!$F$2:$L$1654,7,0),0)</f>
        <v/>
      </c>
      <c r="G943" s="5">
        <v>560.55</v>
      </c>
      <c r="H943" s="5">
        <v>4.05</v>
      </c>
      <c r="I943" s="5">
        <v>-2.24</v>
      </c>
      <c r="J943" s="6">
        <v>-1.42</v>
      </c>
      <c r="K943" s="5">
        <v>150.24</v>
      </c>
      <c r="L943" s="6">
        <v>0.2</v>
      </c>
      <c r="M943" s="6">
        <v>-0.236</v>
      </c>
      <c r="N943" s="6">
        <v>0.4</v>
      </c>
      <c r="O943" s="6">
        <v>0.4</v>
      </c>
      <c r="P943" s="6">
        <v>0.2</v>
      </c>
      <c r="Q943" s="7"/>
      <c r="R943" s="7"/>
    </row>
    <row r="944" spans="1:18">
      <c r="A944" s="4" t="s">
        <v>1290</v>
      </c>
      <c r="B944" s="4">
        <f t="shared" si="14"/>
        <v>4</v>
      </c>
      <c r="C944" s="4" t="s">
        <v>1177</v>
      </c>
      <c r="D944" s="1" t="str">
        <f>IFERROR(VLOOKUP(A944,[1]biopep_DB!$F$2:$J$1654,5,0),)</f>
        <v>Camel (camelus dromedarius) milk PP3: evidence for an insertion in the amino-terminal sequence of the camel milk whey protein.; Angiotensin converting enzyme inhibitory peptides derived from food proteins: biochemistry, bioactivity and production.; Antihypertensive peptides: production, bioavailability and incorporation into foods.; Antihypertensive peptides from food proteins: a review.; What are the ideal properties for functional food peptides with antihypertensive effect? A computational peptidology approach.</v>
      </c>
      <c r="E944" s="1" t="str">
        <f>IFERROR(VLOOKUP(A944,[1]biopep_DB!$F$2:$L$1654,6,0),0)</f>
        <v>10.1139/o99-067; 10.2174/138161207780363068; 10.1016/j.cis.2010.11.001; 10.1039/c2fo10192k; 10.1016/j.foodchem.2013.05.140</v>
      </c>
      <c r="F944" s="1" t="str">
        <f>IFERROR(VLOOKUP(A944,[1]biopep_DB!$F$2:$L$1654,7,0),0)</f>
        <v>10735560 17430180 21185549 22249830 23871047</v>
      </c>
      <c r="G944" s="5">
        <v>573.68</v>
      </c>
      <c r="H944" s="5">
        <v>8.75</v>
      </c>
      <c r="I944" s="5">
        <v>0.76</v>
      </c>
      <c r="J944" s="6">
        <v>-1.125</v>
      </c>
      <c r="K944" s="5">
        <v>89</v>
      </c>
      <c r="L944" s="6">
        <v>0.5</v>
      </c>
      <c r="M944" s="6">
        <v>-1.0775</v>
      </c>
      <c r="N944" s="6">
        <v>0.5</v>
      </c>
      <c r="O944" s="6">
        <v>0</v>
      </c>
      <c r="P944" s="6">
        <v>0.5</v>
      </c>
      <c r="Q944" s="7"/>
      <c r="R944" s="7"/>
    </row>
    <row r="945" spans="1:18">
      <c r="A945" s="4" t="s">
        <v>1291</v>
      </c>
      <c r="B945" s="4">
        <f t="shared" si="14"/>
        <v>4</v>
      </c>
      <c r="C945" s="4" t="s">
        <v>1292</v>
      </c>
      <c r="D945" s="1" t="str">
        <f>IFERROR(VLOOKUP(A945,[1]biopep_DB!$F$2:$J$1654,5,0),)</f>
        <v/>
      </c>
      <c r="E945" s="1" t="str">
        <f>IFERROR(VLOOKUP(A945,[1]biopep_DB!$F$2:$L$1654,6,0),0)</f>
        <v/>
      </c>
      <c r="F945" s="1" t="str">
        <f>IFERROR(VLOOKUP(A945,[1]biopep_DB!$F$2:$L$1654,7,0),0)</f>
        <v/>
      </c>
      <c r="G945" s="5">
        <v>550.65</v>
      </c>
      <c r="H945" s="5">
        <v>8.59</v>
      </c>
      <c r="I945" s="5">
        <v>0.76</v>
      </c>
      <c r="J945" s="6">
        <v>-1.225</v>
      </c>
      <c r="K945" s="5">
        <v>89</v>
      </c>
      <c r="L945" s="6">
        <v>0.25</v>
      </c>
      <c r="M945" s="6">
        <v>-0.46</v>
      </c>
      <c r="N945" s="6">
        <v>0.5</v>
      </c>
      <c r="O945" s="6">
        <v>0</v>
      </c>
      <c r="P945" s="6">
        <v>0.5</v>
      </c>
      <c r="Q945" s="7"/>
      <c r="R945" s="7"/>
    </row>
    <row r="946" spans="1:18">
      <c r="A946" s="4" t="s">
        <v>1293</v>
      </c>
      <c r="B946" s="4">
        <f t="shared" si="14"/>
        <v>3</v>
      </c>
      <c r="C946" s="4" t="s">
        <v>1232</v>
      </c>
      <c r="D946" s="1" t="str">
        <f>IFERROR(VLOOKUP(A946,[1]biopep_DB!$F$2:$J$1654,5,0),)</f>
        <v>Structures and activity of angiotensin-converting enzyme inhibitors in an alpha-zein hydrolysate.; Isolation from alpha-zein of thermolysin peptides with angiotensin I-converting enzyme inhibitory activity.; Antihypertensive effect of angiotensin I-converting enzyme inhibitory peptides from a sesame protein hydrolysate in spontaneously hypertensive rats.; Bioactive peptides in amaranth (Amaranthus hypochondriacus) seed.; Cellular membrane disruption by amyloid fibrils involved intermolecular disulfide cross-linking.; Angiotensin I converting enzyme inhibitory peptides produced by autolysis reactions from wheat bran.; LC-MS/MS quantification of bioactive angiotensin I-converting enzyme inhibitory peptides in rye malt sourdoughs.;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946" s="1" t="str">
        <f>IFERROR(VLOOKUP(A946,[1]biopep_DB!$F$2:$L$1654,6,0),0)</f>
        <v>10.1271/bbb.60.661; 10.1271/bbb.70.1118; 10.1021/jf072911z; 10.1021/bi900219c; 10.1021/jf900857w; 10.1021/jf2033329; 10.1016/j.talanta.2012.12.041; 10.1016/j.foodchem.2013.05.140; 10.1080/10408398.2012.664829</v>
      </c>
      <c r="F946" s="1" t="str">
        <f>IFERROR(VLOOKUP(A946,[1]biopep_DB!$F$2:$L$1654,7,0),0)</f>
        <v>1368684 8829536 16717411 18211015 19449893 19572648 21985248 23598136 23871047 24915368</v>
      </c>
      <c r="G946" s="5">
        <v>356.42</v>
      </c>
      <c r="H946" s="5">
        <v>5.53</v>
      </c>
      <c r="I946" s="5">
        <v>-0.24</v>
      </c>
      <c r="J946" s="6">
        <v>-0.4333</v>
      </c>
      <c r="K946" s="5">
        <v>179.53</v>
      </c>
      <c r="L946" s="6">
        <v>0.6667</v>
      </c>
      <c r="M946" s="6">
        <v>-1.1867</v>
      </c>
      <c r="N946" s="6">
        <v>0.3333</v>
      </c>
      <c r="O946" s="6">
        <v>0.3333</v>
      </c>
      <c r="P946" s="6">
        <v>0.3333</v>
      </c>
      <c r="Q946" s="7"/>
      <c r="R946" s="7"/>
    </row>
    <row r="947" spans="1:18">
      <c r="A947" s="4" t="s">
        <v>1294</v>
      </c>
      <c r="B947" s="4">
        <f t="shared" si="14"/>
        <v>7</v>
      </c>
      <c r="C947" s="4"/>
      <c r="D947" s="1" t="str">
        <f>IFERROR(VLOOKUP(A947,[1]biopep_DB!$F$2:$J$1654,5,0),)</f>
        <v>Enterococcus faecalis strains from food, environmental, and clinical origin produce ACE-inhibitory peptides and other bioactive peptides during growth in bovine skim milk.</v>
      </c>
      <c r="E947" s="1" t="str">
        <f>IFERROR(VLOOKUP(A947,[1]biopep_DB!$F$2:$L$1654,6,0),0)</f>
        <v>10.1016/j.ijfoodmicro.2013.06.019</v>
      </c>
      <c r="F947" s="1" t="str">
        <f>IFERROR(VLOOKUP(A947,[1]biopep_DB!$F$2:$L$1654,7,0),0)</f>
        <v>23845432</v>
      </c>
      <c r="G947" s="5">
        <v>772.91</v>
      </c>
      <c r="H947" s="5">
        <v>4.05</v>
      </c>
      <c r="I947" s="5">
        <v>-1.24</v>
      </c>
      <c r="J947" s="6">
        <v>0.1286</v>
      </c>
      <c r="K947" s="5">
        <v>107.49</v>
      </c>
      <c r="L947" s="6">
        <v>0.5714</v>
      </c>
      <c r="M947" s="6">
        <v>-1.3214</v>
      </c>
      <c r="N947" s="6">
        <v>0.4286</v>
      </c>
      <c r="O947" s="6">
        <v>0.2857</v>
      </c>
      <c r="P947" s="6">
        <v>0.2857</v>
      </c>
      <c r="Q947" s="7"/>
      <c r="R947" s="7"/>
    </row>
    <row r="948" spans="1:18">
      <c r="A948" s="4" t="s">
        <v>1295</v>
      </c>
      <c r="B948" s="4">
        <f t="shared" si="14"/>
        <v>10</v>
      </c>
      <c r="C948" s="4"/>
      <c r="D948" s="1" t="str">
        <f>IFERROR(VLOOKUP(A948,[1]biopep_DB!$F$2:$J$1654,5,0),)</f>
        <v>Enterococcus faecalis strains from food, environmental, and clinical origin produce ACE-inhibitory peptides and other bioactive peptides during growth in bovine skim milk.</v>
      </c>
      <c r="E948" s="1" t="str">
        <f>IFERROR(VLOOKUP(A948,[1]biopep_DB!$F$2:$L$1654,6,0),0)</f>
        <v>10.1016/j.ijfoodmicro.2013.06.019</v>
      </c>
      <c r="F948" s="1" t="str">
        <f>IFERROR(VLOOKUP(A948,[1]biopep_DB!$F$2:$L$1654,7,0),0)</f>
        <v>23845432</v>
      </c>
      <c r="G948" s="5">
        <v>1087.29</v>
      </c>
      <c r="H948" s="5">
        <v>6</v>
      </c>
      <c r="I948" s="5">
        <v>-0.24</v>
      </c>
      <c r="J948" s="6">
        <v>0.04</v>
      </c>
      <c r="K948" s="5">
        <v>78.24</v>
      </c>
      <c r="L948" s="6">
        <v>0.5</v>
      </c>
      <c r="M948" s="6">
        <v>-1.087</v>
      </c>
      <c r="N948" s="6">
        <v>0.4</v>
      </c>
      <c r="O948" s="6">
        <v>0.3</v>
      </c>
      <c r="P948" s="6">
        <v>0.3</v>
      </c>
      <c r="Q948" s="7"/>
      <c r="R948" s="7"/>
    </row>
    <row r="949" spans="1:18">
      <c r="A949" s="4" t="s">
        <v>1296</v>
      </c>
      <c r="B949" s="4">
        <f t="shared" si="14"/>
        <v>5</v>
      </c>
      <c r="C949" s="4" t="s">
        <v>31</v>
      </c>
      <c r="D949" s="1" t="str">
        <f>IFERROR(VLOOKUP(A949,[1]biopep_DB!$F$2:$J$1654,5,0),)</f>
        <v/>
      </c>
      <c r="E949" s="1" t="str">
        <f>IFERROR(VLOOKUP(A949,[1]biopep_DB!$F$2:$L$1654,6,0),0)</f>
        <v/>
      </c>
      <c r="F949" s="1" t="str">
        <f>IFERROR(VLOOKUP(A949,[1]biopep_DB!$F$2:$L$1654,7,0),0)</f>
        <v/>
      </c>
      <c r="G949" s="5">
        <v>500.55</v>
      </c>
      <c r="H949" s="5">
        <v>5.53</v>
      </c>
      <c r="I949" s="5">
        <v>-0.24</v>
      </c>
      <c r="J949" s="6">
        <v>-0.5</v>
      </c>
      <c r="K949" s="5">
        <v>111.72</v>
      </c>
      <c r="L949" s="6">
        <v>0.4</v>
      </c>
      <c r="M949" s="6">
        <v>-0.732</v>
      </c>
      <c r="N949" s="6">
        <v>0.2</v>
      </c>
      <c r="O949" s="6">
        <v>0.6</v>
      </c>
      <c r="P949" s="6">
        <v>0.2</v>
      </c>
      <c r="Q949" s="7"/>
      <c r="R949" s="7"/>
    </row>
    <row r="950" spans="1:18">
      <c r="A950" s="4" t="s">
        <v>1297</v>
      </c>
      <c r="B950" s="4">
        <f t="shared" si="14"/>
        <v>5</v>
      </c>
      <c r="C950" s="4"/>
      <c r="D950" s="1" t="str">
        <f>IFERROR(VLOOKUP(A950,[1]biopep_DB!$F$2:$J$1654,5,0),)</f>
        <v/>
      </c>
      <c r="E950" s="1" t="str">
        <f>IFERROR(VLOOKUP(A950,[1]biopep_DB!$F$2:$L$1654,6,0),0)</f>
        <v/>
      </c>
      <c r="F950" s="1" t="str">
        <f>IFERROR(VLOOKUP(A950,[1]biopep_DB!$F$2:$L$1654,7,0),0)</f>
        <v/>
      </c>
      <c r="G950" s="5">
        <v>621.69</v>
      </c>
      <c r="H950" s="5">
        <v>6.74</v>
      </c>
      <c r="I950" s="5">
        <v>-0.15</v>
      </c>
      <c r="J950" s="6">
        <v>-1.6</v>
      </c>
      <c r="K950" s="5">
        <v>111.72</v>
      </c>
      <c r="L950" s="6">
        <v>0.4</v>
      </c>
      <c r="M950" s="6">
        <v>-0.242</v>
      </c>
      <c r="N950" s="6">
        <v>0.2</v>
      </c>
      <c r="O950" s="6">
        <v>0.2</v>
      </c>
      <c r="P950" s="6">
        <v>0.2</v>
      </c>
      <c r="Q950" s="7"/>
      <c r="R950" s="7"/>
    </row>
    <row r="951" spans="1:18">
      <c r="A951" s="4" t="s">
        <v>1298</v>
      </c>
      <c r="B951" s="4">
        <f t="shared" si="14"/>
        <v>5</v>
      </c>
      <c r="C951" s="4" t="s">
        <v>31</v>
      </c>
      <c r="D951" s="1" t="str">
        <f>IFERROR(VLOOKUP(A951,[1]biopep_DB!$F$2:$J$1654,5,0),)</f>
        <v/>
      </c>
      <c r="E951" s="1" t="str">
        <f>IFERROR(VLOOKUP(A951,[1]biopep_DB!$F$2:$L$1654,6,0),0)</f>
        <v/>
      </c>
      <c r="F951" s="1" t="str">
        <f>IFERROR(VLOOKUP(A951,[1]biopep_DB!$F$2:$L$1654,7,0),0)</f>
        <v/>
      </c>
      <c r="G951" s="5">
        <v>530.57</v>
      </c>
      <c r="H951" s="5">
        <v>5.53</v>
      </c>
      <c r="I951" s="5">
        <v>-0.24</v>
      </c>
      <c r="J951" s="6">
        <v>-0.58</v>
      </c>
      <c r="K951" s="5">
        <v>188.76</v>
      </c>
      <c r="L951" s="6">
        <v>0.4</v>
      </c>
      <c r="M951" s="6">
        <v>-0.376</v>
      </c>
      <c r="N951" s="6">
        <v>0.2</v>
      </c>
      <c r="O951" s="6">
        <v>0.6</v>
      </c>
      <c r="P951" s="6">
        <v>0.2</v>
      </c>
      <c r="Q951" s="7"/>
      <c r="R951" s="7"/>
    </row>
    <row r="952" spans="1:18">
      <c r="A952" s="4" t="s">
        <v>1299</v>
      </c>
      <c r="B952" s="4">
        <f t="shared" si="14"/>
        <v>3</v>
      </c>
      <c r="C952" s="4" t="s">
        <v>1300</v>
      </c>
      <c r="D952" s="1" t="str">
        <f>IFERROR(VLOOKUP(A952,[1]biopep_DB!$F$2:$J$1654,5,0),)</f>
        <v>Structures and activity of angiotensin-converting enzyme inhibitors in an alpha-zein hydrolysate.; Isolation from alpha-zein of thermolysin peptides with angiotensin I-converting enzyme inhibitory activity.; Bioactive peptides in amaranth (Amaranthus hypochondriacus) seed.; Cellular membrane disruption by amyloid fibrils involved intermolecular disulfide cross-linking.; What are the ideal properties for functional food peptides with antihypertensive effect? A computational peptidology approach.</v>
      </c>
      <c r="E952" s="1" t="str">
        <f>IFERROR(VLOOKUP(A952,[1]biopep_DB!$F$2:$L$1654,6,0),0)</f>
        <v>10.1271/bbb.60.661; 10.1021/jf072911z; 10.1021/bi900219c; 10.1016/j.foodchem.2013.05.140</v>
      </c>
      <c r="F952" s="1" t="str">
        <f>IFERROR(VLOOKUP(A952,[1]biopep_DB!$F$2:$L$1654,7,0),0)</f>
        <v>1368684 8829536 18211015 19449893 23871047</v>
      </c>
      <c r="G952" s="5">
        <v>387.43</v>
      </c>
      <c r="H952" s="5">
        <v>5.53</v>
      </c>
      <c r="I952" s="5">
        <v>-0.24</v>
      </c>
      <c r="J952" s="6">
        <v>-1.0667</v>
      </c>
      <c r="K952" s="5">
        <v>179.53</v>
      </c>
      <c r="L952" s="6">
        <v>0.3333</v>
      </c>
      <c r="M952" s="6">
        <v>-0.7333</v>
      </c>
      <c r="N952" s="6">
        <v>0.3333</v>
      </c>
      <c r="O952" s="6">
        <v>0</v>
      </c>
      <c r="P952" s="6">
        <v>0.3333</v>
      </c>
      <c r="Q952" s="7"/>
      <c r="R952" s="7"/>
    </row>
    <row r="953" spans="1:18">
      <c r="A953" s="4" t="s">
        <v>1301</v>
      </c>
      <c r="B953" s="4">
        <f t="shared" si="14"/>
        <v>5</v>
      </c>
      <c r="C953" s="4" t="s">
        <v>1038</v>
      </c>
      <c r="G953" s="5">
        <v>501.53</v>
      </c>
      <c r="H953" s="5">
        <v>5.53</v>
      </c>
      <c r="I953" s="5">
        <v>-0.24</v>
      </c>
      <c r="J953" s="6">
        <v>-0.8</v>
      </c>
      <c r="K953" s="5">
        <v>136.4</v>
      </c>
      <c r="L953" s="6">
        <v>0.2</v>
      </c>
      <c r="M953" s="6">
        <v>-0.816</v>
      </c>
      <c r="N953" s="6">
        <v>0.2</v>
      </c>
      <c r="O953" s="6">
        <v>0.4</v>
      </c>
      <c r="P953" s="6">
        <v>0.2</v>
      </c>
      <c r="Q953" s="7"/>
      <c r="R953" s="7"/>
    </row>
    <row r="954" spans="1:18">
      <c r="A954" s="4" t="s">
        <v>1302</v>
      </c>
      <c r="B954" s="4">
        <f t="shared" si="14"/>
        <v>4</v>
      </c>
      <c r="C954" s="4"/>
      <c r="D954" s="1" t="str">
        <f>IFERROR(VLOOKUP(A954,[1]biopep_DB!$F$2:$J$1654,5,0),)</f>
        <v>Isolation from alpha-zein of thermolysin peptides with angiotensin I-converting enzyme inhibitory activity.</v>
      </c>
      <c r="E954" s="1" t="str">
        <f>IFERROR(VLOOKUP(A954,[1]biopep_DB!$F$2:$L$1654,6,0),0)</f>
        <v>10.1271/bbb.60.661</v>
      </c>
      <c r="F954" s="1" t="str">
        <f>IFERROR(VLOOKUP(A954,[1]biopep_DB!$F$2:$L$1654,7,0),0)</f>
        <v>8829536</v>
      </c>
      <c r="G954" s="5">
        <v>515.56</v>
      </c>
      <c r="H954" s="5">
        <v>5.53</v>
      </c>
      <c r="I954" s="5">
        <v>-0.24</v>
      </c>
      <c r="J954" s="6">
        <v>-1.675</v>
      </c>
      <c r="K954" s="5">
        <v>185.3</v>
      </c>
      <c r="L954" s="6">
        <v>0.25</v>
      </c>
      <c r="M954" s="6">
        <v>-0.21</v>
      </c>
      <c r="N954" s="6">
        <v>0.25</v>
      </c>
      <c r="O954" s="6">
        <v>0</v>
      </c>
      <c r="P954" s="6">
        <v>0.25</v>
      </c>
      <c r="Q954" s="7"/>
      <c r="R954" s="7"/>
    </row>
    <row r="955" spans="1:18">
      <c r="A955" s="4" t="s">
        <v>1303</v>
      </c>
      <c r="B955" s="4">
        <f t="shared" si="14"/>
        <v>5</v>
      </c>
      <c r="C955" s="4"/>
      <c r="D955" s="1" t="str">
        <f>IFERROR(VLOOKUP(A955,[1]biopep_DB!$F$2:$J$1654,5,0),)</f>
        <v>Isolation from alpha-zein of thermolysin peptides with angiotensin I-converting enzyme inhibitory activity.</v>
      </c>
      <c r="E955" s="1" t="str">
        <f>IFERROR(VLOOKUP(A955,[1]biopep_DB!$F$2:$L$1654,6,0),0)</f>
        <v>10.1271/bbb.60.661</v>
      </c>
      <c r="F955" s="1" t="str">
        <f>IFERROR(VLOOKUP(A955,[1]biopep_DB!$F$2:$L$1654,7,0),0)</f>
        <v>8829536</v>
      </c>
      <c r="G955" s="5">
        <v>612.68</v>
      </c>
      <c r="H955" s="5">
        <v>5.53</v>
      </c>
      <c r="I955" s="5">
        <v>-0.24</v>
      </c>
      <c r="J955" s="6">
        <v>-1.66</v>
      </c>
      <c r="K955" s="5">
        <v>188.76</v>
      </c>
      <c r="L955" s="6">
        <v>0.4</v>
      </c>
      <c r="M955" s="6">
        <v>-0.168</v>
      </c>
      <c r="N955" s="6">
        <v>0.2</v>
      </c>
      <c r="O955" s="6">
        <v>0.2</v>
      </c>
      <c r="P955" s="6">
        <v>0.2</v>
      </c>
      <c r="Q955" s="7"/>
      <c r="R955" s="7"/>
    </row>
    <row r="956" spans="1:18">
      <c r="A956" s="4" t="s">
        <v>1304</v>
      </c>
      <c r="B956" s="4">
        <f t="shared" si="14"/>
        <v>5</v>
      </c>
      <c r="C956" s="4"/>
      <c r="D956" s="1" t="str">
        <f>IFERROR(VLOOKUP(A956,[1]biopep_DB!$F$2:$J$1654,5,0),)</f>
        <v>Isolation from alpha-zein of thermolysin peptides with angiotensin I-converting enzyme inhibitory activity.</v>
      </c>
      <c r="E956" s="1" t="str">
        <f>IFERROR(VLOOKUP(A956,[1]biopep_DB!$F$2:$L$1654,6,0),0)</f>
        <v>10.1271/bbb.60.661</v>
      </c>
      <c r="F956" s="1" t="str">
        <f>IFERROR(VLOOKUP(A956,[1]biopep_DB!$F$2:$L$1654,7,0),0)</f>
        <v>8829536</v>
      </c>
      <c r="G956" s="5">
        <v>643.69</v>
      </c>
      <c r="H956" s="5">
        <v>5.53</v>
      </c>
      <c r="I956" s="5">
        <v>-0.24</v>
      </c>
      <c r="J956" s="6">
        <v>-2.04</v>
      </c>
      <c r="K956" s="5">
        <v>188.76</v>
      </c>
      <c r="L956" s="6">
        <v>0.2</v>
      </c>
      <c r="M956" s="6">
        <v>0.104</v>
      </c>
      <c r="N956" s="6">
        <v>0.2</v>
      </c>
      <c r="O956" s="6">
        <v>0</v>
      </c>
      <c r="P956" s="6">
        <v>0.2</v>
      </c>
      <c r="Q956" s="7"/>
      <c r="R956" s="7"/>
    </row>
    <row r="957" spans="1:18">
      <c r="A957" s="4" t="s">
        <v>1305</v>
      </c>
      <c r="B957" s="4">
        <f t="shared" si="14"/>
        <v>4</v>
      </c>
      <c r="C957" s="4" t="s">
        <v>190</v>
      </c>
      <c r="D957" s="1" t="str">
        <f>IFERROR(VLOOKUP(A957,[1]biopep_DB!$F$2:$J$1654,5,0),)</f>
        <v>Identification of an antihypertensive peptide from casein hydrolysate produced by a proteinase from Lactobacillus helveticus CP790.; Identification of angiotensin-I-converting enzyme inhibitory peptides derived from sodium caseinate hydrolysates produced by Lactobacillus helveticus NCC 2765.; Antihypertensive peptides: production, bioavailability and incorporation into foods.; Antihypertensive peptides from food proteins: a review.; What are the ideal properties for functional food peptides with antihypertensive effect? A computational peptidology approach.</v>
      </c>
      <c r="E957" s="1" t="str">
        <f>IFERROR(VLOOKUP(A957,[1]biopep_DB!$F$2:$L$1654,6,0),0)</f>
        <v>10.3168/jds.S0022-0302(96)76487-1; 10.1021/jf049510t; 10.1016/j.cis.2010.11.001; 10.1039/c2fo10192k; 10.1016/j.foodchem.2013.05.140</v>
      </c>
      <c r="F957" s="1" t="str">
        <f>IFERROR(VLOOKUP(A957,[1]biopep_DB!$F$2:$L$1654,7,0),0)</f>
        <v>8880454 15537298 21185549 22249830 23871047</v>
      </c>
      <c r="G957" s="5">
        <v>532.59</v>
      </c>
      <c r="H957" s="5">
        <v>5.53</v>
      </c>
      <c r="I957" s="5">
        <v>-0.24</v>
      </c>
      <c r="J957" s="6">
        <v>-0.35</v>
      </c>
      <c r="K957" s="5">
        <v>198.85</v>
      </c>
      <c r="L957" s="6">
        <v>0.5</v>
      </c>
      <c r="M957" s="6">
        <v>-1.2625</v>
      </c>
      <c r="N957" s="6">
        <v>0.25</v>
      </c>
      <c r="O957" s="6">
        <v>0.25</v>
      </c>
      <c r="P957" s="6">
        <v>0.5</v>
      </c>
      <c r="Q957" s="7"/>
      <c r="R957" s="7"/>
    </row>
    <row r="958" spans="1:18">
      <c r="A958" s="4" t="s">
        <v>1306</v>
      </c>
      <c r="B958" s="4">
        <f t="shared" si="14"/>
        <v>3</v>
      </c>
      <c r="C958" s="4" t="s">
        <v>31</v>
      </c>
      <c r="D958" s="1" t="str">
        <f>IFERROR(VLOOKUP(A958,[1]biopep_DB!$F$2:$J$1654,5,0),)</f>
        <v/>
      </c>
      <c r="E958" s="1" t="str">
        <f>IFERROR(VLOOKUP(A958,[1]biopep_DB!$F$2:$L$1654,6,0),0)</f>
        <v/>
      </c>
      <c r="F958" s="1" t="str">
        <f>IFERROR(VLOOKUP(A958,[1]biopep_DB!$F$2:$L$1654,7,0),0)</f>
        <v/>
      </c>
      <c r="G958" s="5">
        <v>422.48</v>
      </c>
      <c r="H958" s="5">
        <v>5.52</v>
      </c>
      <c r="I958" s="5">
        <v>-0.24</v>
      </c>
      <c r="J958" s="6">
        <v>-0.3333</v>
      </c>
      <c r="K958" s="5">
        <v>90.2</v>
      </c>
      <c r="L958" s="6">
        <v>0.3333</v>
      </c>
      <c r="M958" s="6">
        <v>-1.14</v>
      </c>
      <c r="N958" s="6">
        <v>0.3333</v>
      </c>
      <c r="O958" s="6">
        <v>0</v>
      </c>
      <c r="P958" s="6">
        <v>0.6667</v>
      </c>
      <c r="Q958" s="7"/>
      <c r="R958" s="7"/>
    </row>
    <row r="959" spans="1:18">
      <c r="A959" s="4" t="s">
        <v>1307</v>
      </c>
      <c r="B959" s="4">
        <f t="shared" si="14"/>
        <v>3</v>
      </c>
      <c r="C959" s="4" t="s">
        <v>31</v>
      </c>
      <c r="D959" s="1" t="str">
        <f>IFERROR(VLOOKUP(A959,[1]biopep_DB!$F$2:$J$1654,5,0),)</f>
        <v/>
      </c>
      <c r="E959" s="1" t="str">
        <f>IFERROR(VLOOKUP(A959,[1]biopep_DB!$F$2:$L$1654,6,0),0)</f>
        <v/>
      </c>
      <c r="F959" s="1" t="str">
        <f>IFERROR(VLOOKUP(A959,[1]biopep_DB!$F$2:$L$1654,7,0),0)</f>
        <v/>
      </c>
      <c r="G959" s="5">
        <v>390.5</v>
      </c>
      <c r="H959" s="5">
        <v>8.25</v>
      </c>
      <c r="I959" s="5">
        <v>0.75</v>
      </c>
      <c r="J959" s="6">
        <v>0.6</v>
      </c>
      <c r="K959" s="5">
        <v>70.87</v>
      </c>
      <c r="L959" s="6">
        <v>0.3333</v>
      </c>
      <c r="M959" s="6">
        <v>-1.16</v>
      </c>
      <c r="N959" s="6">
        <v>0.3333</v>
      </c>
      <c r="O959" s="6">
        <v>0</v>
      </c>
      <c r="P959" s="6">
        <v>0.3333</v>
      </c>
      <c r="Q959" s="7"/>
      <c r="R959" s="7"/>
    </row>
    <row r="960" spans="1:18">
      <c r="A960" s="4" t="s">
        <v>1308</v>
      </c>
      <c r="B960" s="4">
        <f t="shared" si="14"/>
        <v>5</v>
      </c>
      <c r="C960" s="4" t="s">
        <v>31</v>
      </c>
      <c r="D960" s="1" t="str">
        <f>IFERROR(VLOOKUP(A960,[1]biopep_DB!$F$2:$J$1654,5,0),)</f>
        <v/>
      </c>
      <c r="E960" s="1" t="str">
        <f>IFERROR(VLOOKUP(A960,[1]biopep_DB!$F$2:$L$1654,6,0),0)</f>
        <v/>
      </c>
      <c r="F960" s="1" t="str">
        <f>IFERROR(VLOOKUP(A960,[1]biopep_DB!$F$2:$L$1654,7,0),0)</f>
        <v/>
      </c>
      <c r="G960" s="5">
        <v>504.6</v>
      </c>
      <c r="H960" s="5">
        <v>8.25</v>
      </c>
      <c r="I960" s="5">
        <v>0.75</v>
      </c>
      <c r="J960" s="6">
        <v>0.2</v>
      </c>
      <c r="K960" s="5">
        <v>71.2</v>
      </c>
      <c r="L960" s="6">
        <v>0.2</v>
      </c>
      <c r="M960" s="6">
        <v>-1.072</v>
      </c>
      <c r="N960" s="6">
        <v>0.2</v>
      </c>
      <c r="O960" s="6">
        <v>0.4</v>
      </c>
      <c r="P960" s="6">
        <v>0.2</v>
      </c>
      <c r="Q960" s="7"/>
      <c r="R960" s="7"/>
    </row>
    <row r="961" spans="1:18">
      <c r="A961" s="4" t="s">
        <v>1309</v>
      </c>
      <c r="B961" s="4">
        <f t="shared" si="14"/>
        <v>5</v>
      </c>
      <c r="C961" s="4" t="s">
        <v>1179</v>
      </c>
      <c r="D961" s="1" t="str">
        <f>IFERROR(VLOOKUP(A961,[1]biopep_DB!$F$2:$J$1654,5,0),)</f>
        <v/>
      </c>
      <c r="E961" s="1" t="str">
        <f>IFERROR(VLOOKUP(A961,[1]biopep_DB!$F$2:$L$1654,6,0),0)</f>
        <v/>
      </c>
      <c r="F961" s="1" t="str">
        <f>IFERROR(VLOOKUP(A961,[1]biopep_DB!$F$2:$L$1654,7,0),0)</f>
        <v/>
      </c>
      <c r="G961" s="5">
        <v>561.66</v>
      </c>
      <c r="H961" s="5">
        <v>8.25</v>
      </c>
      <c r="I961" s="5">
        <v>0.75</v>
      </c>
      <c r="J961" s="6">
        <v>-0.42</v>
      </c>
      <c r="K961" s="5">
        <v>16.46</v>
      </c>
      <c r="L961" s="6">
        <v>0.2</v>
      </c>
      <c r="M961" s="6">
        <v>-0.56</v>
      </c>
      <c r="N961" s="6">
        <v>0.2</v>
      </c>
      <c r="O961" s="6">
        <v>0.4</v>
      </c>
      <c r="P961" s="6">
        <v>0.2</v>
      </c>
      <c r="Q961" s="7"/>
      <c r="R961" s="7"/>
    </row>
    <row r="962" spans="1:18">
      <c r="A962" s="4" t="s">
        <v>1310</v>
      </c>
      <c r="B962" s="4">
        <f t="shared" si="14"/>
        <v>13</v>
      </c>
      <c r="C962" s="4"/>
      <c r="G962" s="5">
        <v>1613.96</v>
      </c>
      <c r="H962" s="5">
        <v>8.59</v>
      </c>
      <c r="I962" s="5">
        <v>0.76</v>
      </c>
      <c r="J962" s="6">
        <v>-0.4154</v>
      </c>
      <c r="K962" s="5">
        <v>29.2</v>
      </c>
      <c r="L962" s="6">
        <v>0.4615</v>
      </c>
      <c r="M962" s="6">
        <v>-1.1192</v>
      </c>
      <c r="N962" s="6">
        <v>0.7692</v>
      </c>
      <c r="O962" s="6">
        <v>0.1538</v>
      </c>
      <c r="P962" s="6">
        <v>0.3846</v>
      </c>
      <c r="Q962" s="7"/>
      <c r="R962" s="7"/>
    </row>
    <row r="963" spans="1:18">
      <c r="A963" s="4" t="s">
        <v>1311</v>
      </c>
      <c r="B963" s="4">
        <f t="shared" si="14"/>
        <v>3</v>
      </c>
      <c r="C963" s="4"/>
      <c r="D963" s="1" t="str">
        <f>IFERROR(VLOOKUP(A963,[1]biopep_DB!$F$2:$J$1654,5,0),)</f>
        <v/>
      </c>
      <c r="E963" s="1" t="str">
        <f>IFERROR(VLOOKUP(A963,[1]biopep_DB!$F$2:$L$1654,6,0),0)</f>
        <v/>
      </c>
      <c r="F963" s="1" t="str">
        <f>IFERROR(VLOOKUP(A963,[1]biopep_DB!$F$2:$L$1654,7,0),0)</f>
        <v/>
      </c>
      <c r="G963" s="5">
        <v>434.53</v>
      </c>
      <c r="H963" s="5">
        <v>9.75</v>
      </c>
      <c r="I963" s="5">
        <v>0.76</v>
      </c>
      <c r="J963" s="6">
        <v>0.7</v>
      </c>
      <c r="K963" s="5">
        <v>70.87</v>
      </c>
      <c r="L963" s="6">
        <v>0.6667</v>
      </c>
      <c r="M963" s="6">
        <v>-1.7267</v>
      </c>
      <c r="N963" s="6">
        <v>0.3333</v>
      </c>
      <c r="O963" s="6">
        <v>0</v>
      </c>
      <c r="P963" s="6">
        <v>0.6667</v>
      </c>
      <c r="Q963" s="7"/>
      <c r="R963" s="7"/>
    </row>
    <row r="964" spans="1:18">
      <c r="A964" s="4" t="s">
        <v>1312</v>
      </c>
      <c r="B964" s="4">
        <f t="shared" si="14"/>
        <v>6</v>
      </c>
      <c r="C964" s="4" t="s">
        <v>1313</v>
      </c>
      <c r="D964" s="1" t="str">
        <f>IFERROR(VLOOKUP(A964,[1]biopep_DB!$F$2:$J$1654,5,0),)</f>
        <v>Isolation and antihypertensive effect of angiotensin I-converting enzyme (ACE) inhibitory peptides from spinach Rubisco.; A new QSAR model, for angiotensin I-converting enzyme inhibitory oligopeptides.; Vegetable foods: a cheap source of proteins and peptides with antihypertensive, antioxidant, and other less occurrence bioactivities.; Novel angiotensin I-converting enzyme inhibitory peptides derived from an edible mushroom, Pleurotus cystidiosus O.K. Miller identified by LC-MS/MS.; Isolation and characterization of peptides with antihypertensive activity in foodstuffs.</v>
      </c>
      <c r="E964" s="1" t="str">
        <f>IFERROR(VLOOKUP(A964,[1]biopep_DB!$F$2:$L$1654,6,0),0)</f>
        <v>10.1021/jf026186y; 10.1016/j.foodchem.2012.09.092; 10.1016/j.talanta.2012.12.041; 10.1186/1472-6882-13-313; 10.1080/10408398.2012.664829</v>
      </c>
      <c r="F964" s="1" t="str">
        <f>IFERROR(VLOOKUP(A964,[1]biopep_DB!$F$2:$L$1654,7,0),0)</f>
        <v>12903942 23194537 23598136 24215325 24915368</v>
      </c>
      <c r="G964" s="5">
        <v>667.84</v>
      </c>
      <c r="H964" s="5">
        <v>9.75</v>
      </c>
      <c r="I964" s="5">
        <v>0.76</v>
      </c>
      <c r="J964" s="6">
        <v>1.3667</v>
      </c>
      <c r="K964" s="5">
        <v>67.73</v>
      </c>
      <c r="L964" s="6">
        <v>0.8333</v>
      </c>
      <c r="M964" s="6">
        <v>-2.1617</v>
      </c>
      <c r="N964" s="6">
        <v>0.3333</v>
      </c>
      <c r="O964" s="6">
        <v>0.1667</v>
      </c>
      <c r="P964" s="6">
        <v>0.5</v>
      </c>
      <c r="Q964" s="7"/>
      <c r="R964" s="7"/>
    </row>
    <row r="965" spans="1:18">
      <c r="A965" s="4" t="s">
        <v>1314</v>
      </c>
      <c r="B965" s="4">
        <f t="shared" si="14"/>
        <v>5</v>
      </c>
      <c r="C965" s="4" t="s">
        <v>938</v>
      </c>
      <c r="D965" s="1" t="str">
        <f>IFERROR(VLOOKUP(A965,[1]biopep_DB!$F$2:$J$1654,5,0),)</f>
        <v/>
      </c>
      <c r="E965" s="1" t="str">
        <f>IFERROR(VLOOKUP(A965,[1]biopep_DB!$F$2:$L$1654,6,0),0)</f>
        <v/>
      </c>
      <c r="F965" s="1" t="str">
        <f>IFERROR(VLOOKUP(A965,[1]biopep_DB!$F$2:$L$1654,7,0),0)</f>
        <v/>
      </c>
      <c r="G965" s="5">
        <v>671.83</v>
      </c>
      <c r="H965" s="5">
        <v>11.17</v>
      </c>
      <c r="I965" s="5">
        <v>2.76</v>
      </c>
      <c r="J965" s="6">
        <v>-2.4</v>
      </c>
      <c r="K965" s="5">
        <v>93.8</v>
      </c>
      <c r="L965" s="6">
        <v>0.2</v>
      </c>
      <c r="M965" s="6">
        <v>0.464</v>
      </c>
      <c r="N965" s="6">
        <v>0.6</v>
      </c>
      <c r="O965" s="6">
        <v>0</v>
      </c>
      <c r="P965" s="6">
        <v>0.2</v>
      </c>
      <c r="Q965" s="7"/>
      <c r="R965" s="7"/>
    </row>
    <row r="966" spans="1:18">
      <c r="A966" s="4" t="s">
        <v>1315</v>
      </c>
      <c r="B966" s="4">
        <f t="shared" ref="B966:B1029" si="15">LEN(A966)</f>
        <v>3</v>
      </c>
      <c r="C966" s="4" t="s">
        <v>31</v>
      </c>
      <c r="D966" s="1" t="str">
        <f>IFERROR(VLOOKUP(A966,[1]biopep_DB!$F$2:$J$1654,5,0),)</f>
        <v/>
      </c>
      <c r="E966" s="1" t="str">
        <f>IFERROR(VLOOKUP(A966,[1]biopep_DB!$F$2:$L$1654,6,0),0)</f>
        <v/>
      </c>
      <c r="F966" s="1" t="str">
        <f>IFERROR(VLOOKUP(A966,[1]biopep_DB!$F$2:$L$1654,7,0),0)</f>
        <v/>
      </c>
      <c r="G966" s="5">
        <v>401.46</v>
      </c>
      <c r="H966" s="5">
        <v>9.75</v>
      </c>
      <c r="I966" s="5">
        <v>0.76</v>
      </c>
      <c r="J966" s="6">
        <v>-1.4</v>
      </c>
      <c r="K966" s="5">
        <v>112</v>
      </c>
      <c r="L966" s="6">
        <v>0.3333</v>
      </c>
      <c r="M966" s="6">
        <v>-0.1933</v>
      </c>
      <c r="N966" s="6">
        <v>0.3333</v>
      </c>
      <c r="O966" s="6">
        <v>0.3333</v>
      </c>
      <c r="P966" s="6">
        <v>0.3333</v>
      </c>
      <c r="Q966" s="7"/>
      <c r="R966" s="7"/>
    </row>
    <row r="967" spans="1:18">
      <c r="A967" s="4" t="s">
        <v>1316</v>
      </c>
      <c r="B967" s="4">
        <f t="shared" si="15"/>
        <v>3</v>
      </c>
      <c r="C967" s="4" t="s">
        <v>31</v>
      </c>
      <c r="D967" s="1" t="str">
        <f>IFERROR(VLOOKUP(A967,[1]biopep_DB!$F$2:$J$1654,5,0),)</f>
        <v>Structures and activity of angiotensin-converting enzyme inhibitors in an alpha-zein hydrolysate.; Angiotensin I-converting enzyme inhibitory peptides derived from bonito bowels autolysate.; Production of bioactive peptides from corn endosperm proteins by some proteases.; Structural requirements of Angiotensin I-converting enzyme inhibitory peptides: quantitative structure-activity relationship study of di- and tripeptides.; Angiotensin converting enzyme inhibitory peptides derived from food proteins: biochemistry, bioactivity and production.; Bioactive peptides in amaranth (Amaranthus hypochondriacus) seed.; Cellular membrane disruption by amyloid fibrils involved intermolecular disulfide cross-linking.; Angiotensin I converting enzyme inhibitory peptides produced by autolysis reactions from wheat bran.; Inhibition strength of short peptides derived from an ACE inhibitory peptide.;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967" s="1" t="str">
        <f>IFERROR(VLOOKUP(A967,[1]biopep_DB!$F$2:$L$1654,6,0),0)</f>
        <v>10.1271/bbb.57.695; 10.1111/j.1749-6632.1995.tb19990.x; 10.1021/jf051263l; 10.2174/138161207780363068; 10.1021/jf072911z; 10.1021/bi900219c; 10.1021/jf900857w; 10.1021/jf202902r; 10.1016/j.talanta.2012.12.041; 10.1016/j.foodchem.2013.05.140; 10.1080/10408398.2012.664829</v>
      </c>
      <c r="F967" s="1" t="str">
        <f>IFERROR(VLOOKUP(A967,[1]biopep_DB!$F$2:$L$1654,7,0),0)</f>
        <v>1368684 7763772 7785872 16448176 17430180 18211015 19449893 19572648 21923188 23598136 23871047 24915368</v>
      </c>
      <c r="G967" s="5">
        <v>384.47</v>
      </c>
      <c r="H967" s="5">
        <v>9.75</v>
      </c>
      <c r="I967" s="5">
        <v>0.76</v>
      </c>
      <c r="J967" s="6">
        <v>-0.7667</v>
      </c>
      <c r="K967" s="5">
        <v>135.07</v>
      </c>
      <c r="L967" s="6">
        <v>0.6667</v>
      </c>
      <c r="M967" s="6">
        <v>-0.7333</v>
      </c>
      <c r="N967" s="6">
        <v>0.3333</v>
      </c>
      <c r="O967" s="6">
        <v>0.3333</v>
      </c>
      <c r="P967" s="6">
        <v>0.3333</v>
      </c>
      <c r="Q967" s="7"/>
      <c r="R967" s="7"/>
    </row>
    <row r="968" spans="1:18">
      <c r="A968" s="4" t="s">
        <v>1317</v>
      </c>
      <c r="B968" s="4">
        <f t="shared" si="15"/>
        <v>6</v>
      </c>
      <c r="C968" s="4" t="s">
        <v>1318</v>
      </c>
      <c r="G968" s="5">
        <v>625.76</v>
      </c>
      <c r="H968" s="5">
        <v>9.75</v>
      </c>
      <c r="I968" s="5">
        <v>0.76</v>
      </c>
      <c r="J968" s="6">
        <v>0.9167</v>
      </c>
      <c r="K968" s="5">
        <v>104.63</v>
      </c>
      <c r="L968" s="6">
        <v>0.8333</v>
      </c>
      <c r="M968" s="6">
        <v>-1.6433</v>
      </c>
      <c r="N968" s="6">
        <v>0.5</v>
      </c>
      <c r="O968" s="6">
        <v>0.1667</v>
      </c>
      <c r="P968" s="6">
        <v>0.3333</v>
      </c>
      <c r="Q968" s="7"/>
      <c r="R968" s="7"/>
    </row>
    <row r="969" spans="1:18">
      <c r="A969" s="4" t="s">
        <v>1319</v>
      </c>
      <c r="B969" s="4">
        <f t="shared" si="15"/>
        <v>5</v>
      </c>
      <c r="C969" s="4" t="s">
        <v>31</v>
      </c>
      <c r="D969" s="1" t="str">
        <f>IFERROR(VLOOKUP(A969,[1]biopep_DB!$F$2:$J$1654,5,0),)</f>
        <v/>
      </c>
      <c r="E969" s="1" t="str">
        <f>IFERROR(VLOOKUP(A969,[1]biopep_DB!$F$2:$L$1654,6,0),0)</f>
        <v/>
      </c>
      <c r="F969" s="1" t="str">
        <f>IFERROR(VLOOKUP(A969,[1]biopep_DB!$F$2:$L$1654,7,0),0)</f>
        <v/>
      </c>
      <c r="G969" s="5">
        <v>699.8</v>
      </c>
      <c r="H969" s="5">
        <v>12</v>
      </c>
      <c r="I969" s="5">
        <v>1.76</v>
      </c>
      <c r="J969" s="6">
        <v>-2.44</v>
      </c>
      <c r="K969" s="5">
        <v>123.56</v>
      </c>
      <c r="L969" s="6">
        <v>0.2</v>
      </c>
      <c r="M969" s="6">
        <v>0.648</v>
      </c>
      <c r="N969" s="6">
        <v>0.2</v>
      </c>
      <c r="O969" s="6">
        <v>0</v>
      </c>
      <c r="P969" s="6">
        <v>0.2</v>
      </c>
      <c r="Q969" s="7"/>
      <c r="R969" s="7"/>
    </row>
    <row r="970" spans="1:18">
      <c r="A970" s="4" t="s">
        <v>1320</v>
      </c>
      <c r="B970" s="4">
        <f t="shared" si="15"/>
        <v>5</v>
      </c>
      <c r="C970" s="4" t="s">
        <v>31</v>
      </c>
      <c r="D970" s="1" t="str">
        <f>IFERROR(VLOOKUP(A970,[1]biopep_DB!$F$2:$J$1654,5,0),)</f>
        <v/>
      </c>
      <c r="E970" s="1" t="str">
        <f>IFERROR(VLOOKUP(A970,[1]biopep_DB!$F$2:$L$1654,6,0),0)</f>
        <v/>
      </c>
      <c r="F970" s="1" t="str">
        <f>IFERROR(VLOOKUP(A970,[1]biopep_DB!$F$2:$L$1654,7,0),0)</f>
        <v/>
      </c>
      <c r="G970" s="5">
        <v>630.69</v>
      </c>
      <c r="H970" s="5">
        <v>9.75</v>
      </c>
      <c r="I970" s="5">
        <v>0.76</v>
      </c>
      <c r="J970" s="6">
        <v>-1.7</v>
      </c>
      <c r="K970" s="5">
        <v>211.44</v>
      </c>
      <c r="L970" s="6">
        <v>0.2</v>
      </c>
      <c r="M970" s="6">
        <v>0.272</v>
      </c>
      <c r="N970" s="6">
        <v>0.2</v>
      </c>
      <c r="O970" s="6">
        <v>0.2</v>
      </c>
      <c r="P970" s="6">
        <v>0.2</v>
      </c>
      <c r="Q970" s="7"/>
      <c r="R970" s="7"/>
    </row>
    <row r="971" spans="1:18">
      <c r="A971" s="4" t="s">
        <v>1321</v>
      </c>
      <c r="B971" s="4">
        <f t="shared" si="15"/>
        <v>5</v>
      </c>
      <c r="C971" s="4" t="s">
        <v>31</v>
      </c>
      <c r="D971" s="1" t="str">
        <f>IFERROR(VLOOKUP(A971,[1]biopep_DB!$F$2:$J$1654,5,0),)</f>
        <v/>
      </c>
      <c r="E971" s="1" t="str">
        <f>IFERROR(VLOOKUP(A971,[1]biopep_DB!$F$2:$L$1654,6,0),0)</f>
        <v/>
      </c>
      <c r="F971" s="1" t="str">
        <f>IFERROR(VLOOKUP(A971,[1]biopep_DB!$F$2:$L$1654,7,0),0)</f>
        <v/>
      </c>
      <c r="G971" s="5">
        <v>628.72</v>
      </c>
      <c r="H971" s="5">
        <v>12</v>
      </c>
      <c r="I971" s="5">
        <v>1.76</v>
      </c>
      <c r="J971" s="6">
        <v>-1.82</v>
      </c>
      <c r="K971" s="5">
        <v>144.1</v>
      </c>
      <c r="L971" s="6">
        <v>0.2</v>
      </c>
      <c r="M971" s="6">
        <v>0.188</v>
      </c>
      <c r="N971" s="6">
        <v>0.2</v>
      </c>
      <c r="O971" s="6">
        <v>0.2</v>
      </c>
      <c r="P971" s="6">
        <v>0.2</v>
      </c>
      <c r="Q971" s="7"/>
      <c r="R971" s="7"/>
    </row>
    <row r="972" spans="1:18">
      <c r="A972" s="4" t="s">
        <v>1322</v>
      </c>
      <c r="B972" s="4">
        <f t="shared" si="15"/>
        <v>5</v>
      </c>
      <c r="C972" s="4" t="s">
        <v>31</v>
      </c>
      <c r="D972" s="1" t="str">
        <f>IFERROR(VLOOKUP(A972,[1]biopep_DB!$F$2:$J$1654,5,0),)</f>
        <v/>
      </c>
      <c r="E972" s="1" t="str">
        <f>IFERROR(VLOOKUP(A972,[1]biopep_DB!$F$2:$L$1654,6,0),0)</f>
        <v/>
      </c>
      <c r="F972" s="1" t="str">
        <f>IFERROR(VLOOKUP(A972,[1]biopep_DB!$F$2:$L$1654,7,0),0)</f>
        <v/>
      </c>
      <c r="G972" s="5">
        <v>699.8</v>
      </c>
      <c r="H972" s="5">
        <v>12</v>
      </c>
      <c r="I972" s="5">
        <v>1.76</v>
      </c>
      <c r="J972" s="6">
        <v>-2.44</v>
      </c>
      <c r="K972" s="5">
        <v>238.12</v>
      </c>
      <c r="L972" s="6">
        <v>0.2</v>
      </c>
      <c r="M972" s="6">
        <v>0.648</v>
      </c>
      <c r="N972" s="6">
        <v>0.2</v>
      </c>
      <c r="O972" s="6">
        <v>0</v>
      </c>
      <c r="P972" s="6">
        <v>0.2</v>
      </c>
      <c r="Q972" s="7"/>
      <c r="R972" s="7"/>
    </row>
    <row r="973" spans="1:18">
      <c r="A973" s="4" t="s">
        <v>1323</v>
      </c>
      <c r="B973" s="4">
        <f t="shared" si="15"/>
        <v>3</v>
      </c>
      <c r="C973" s="4" t="s">
        <v>25</v>
      </c>
      <c r="D973" s="1" t="str">
        <f>IFERROR(VLOOKUP(A973,[1]biopep_DB!$F$2:$J$1654,5,0),)</f>
        <v>Restriction of the in vitro formation of angiotensin II by leucinyl-arginyl-tryptophan, a novel peptide with potent angiotensin I-converting enzyme inhibitory activity.</v>
      </c>
      <c r="E973" s="1" t="str">
        <f>IFERROR(VLOOKUP(A973,[1]biopep_DB!$F$2:$L$1654,6,0),0)</f>
        <v>10.1271/bbb.70.1277</v>
      </c>
      <c r="F973" s="1" t="str">
        <f>IFERROR(VLOOKUP(A973,[1]biopep_DB!$F$2:$L$1654,7,0),0)</f>
        <v>16717437</v>
      </c>
      <c r="G973" s="5">
        <v>473.57</v>
      </c>
      <c r="H973" s="5">
        <v>9.75</v>
      </c>
      <c r="I973" s="5">
        <v>0.76</v>
      </c>
      <c r="J973" s="6">
        <v>-0.5333</v>
      </c>
      <c r="K973" s="5">
        <v>261.8</v>
      </c>
      <c r="L973" s="6">
        <v>0.6667</v>
      </c>
      <c r="M973" s="6">
        <v>-1.51</v>
      </c>
      <c r="N973" s="6">
        <v>0.3333</v>
      </c>
      <c r="O973" s="6">
        <v>0</v>
      </c>
      <c r="P973" s="6">
        <v>0.6667</v>
      </c>
      <c r="Q973" s="7"/>
      <c r="R973" s="7"/>
    </row>
    <row r="974" spans="1:18">
      <c r="A974" s="4" t="s">
        <v>1324</v>
      </c>
      <c r="B974" s="4">
        <f t="shared" si="15"/>
        <v>3</v>
      </c>
      <c r="C974" s="4" t="s">
        <v>31</v>
      </c>
      <c r="D974" s="1" t="str">
        <f>IFERROR(VLOOKUP(A974,[1]biopep_DB!$F$2:$J$1654,5,0),)</f>
        <v>Structural requirements of Angiotensin I-converting enzyme inhibitory peptides: quantitative structure-activity relationship study of di- and tripeptides.</v>
      </c>
      <c r="E974" s="1" t="str">
        <f>IFERROR(VLOOKUP(A974,[1]biopep_DB!$F$2:$L$1654,6,0),0)</f>
        <v>10.1021/jf051263l</v>
      </c>
      <c r="F974" s="1" t="str">
        <f>IFERROR(VLOOKUP(A974,[1]biopep_DB!$F$2:$L$1654,7,0),0)</f>
        <v>16448176</v>
      </c>
      <c r="G974" s="5">
        <v>450.53</v>
      </c>
      <c r="H974" s="5">
        <v>8.75</v>
      </c>
      <c r="I974" s="5">
        <v>0.76</v>
      </c>
      <c r="J974" s="6">
        <v>-0.6667</v>
      </c>
      <c r="K974" s="5">
        <v>45.73</v>
      </c>
      <c r="L974" s="6">
        <v>0.3333</v>
      </c>
      <c r="M974" s="6">
        <v>-0.6867</v>
      </c>
      <c r="N974" s="6">
        <v>0.3333</v>
      </c>
      <c r="O974" s="6">
        <v>0</v>
      </c>
      <c r="P974" s="6">
        <v>0.6667</v>
      </c>
      <c r="Q974" s="7"/>
      <c r="R974" s="7"/>
    </row>
    <row r="975" spans="1:18">
      <c r="A975" s="4" t="s">
        <v>1325</v>
      </c>
      <c r="B975" s="4">
        <f t="shared" si="15"/>
        <v>3</v>
      </c>
      <c r="C975" s="4" t="s">
        <v>1232</v>
      </c>
      <c r="D975" s="1" t="str">
        <f>IFERROR(VLOOKUP(A975,[1]biopep_DB!$F$2:$J$1654,5,0),)</f>
        <v>Antihypertensive effect of angiotensin I-converting enzyme inhibitory peptides from a sesame protein hydrolysate in spontaneously hypertensive rats.;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975" s="1" t="str">
        <f>IFERROR(VLOOKUP(A975,[1]biopep_DB!$F$2:$L$1654,6,0),0)</f>
        <v>10.1271/bbb.70.1118; 10.1016/j.talanta.2012.12.041; 10.1016/j.foodchem.2013.05.140; 10.1080/10408398.2012.664829</v>
      </c>
      <c r="F975" s="1" t="str">
        <f>IFERROR(VLOOKUP(A975,[1]biopep_DB!$F$2:$L$1654,7,0),0)</f>
        <v>16717411 23598136 23871047 24915368</v>
      </c>
      <c r="G975" s="5">
        <v>289.33</v>
      </c>
      <c r="H975" s="5">
        <v>5.53</v>
      </c>
      <c r="I975" s="5">
        <v>-0.24</v>
      </c>
      <c r="J975" s="6">
        <v>1.6</v>
      </c>
      <c r="K975" s="5">
        <v>6.67</v>
      </c>
      <c r="L975" s="6">
        <v>0.6667</v>
      </c>
      <c r="M975" s="6">
        <v>-1.9633</v>
      </c>
      <c r="N975" s="6">
        <v>0.6667</v>
      </c>
      <c r="O975" s="6">
        <v>0.3333</v>
      </c>
      <c r="P975" s="6">
        <v>0.3333</v>
      </c>
      <c r="Q975" s="7"/>
      <c r="R975" s="7"/>
    </row>
    <row r="976" spans="1:18">
      <c r="A976" s="4" t="s">
        <v>1326</v>
      </c>
      <c r="B976" s="4">
        <f t="shared" si="15"/>
        <v>15</v>
      </c>
      <c r="C976" s="4"/>
      <c r="G976" s="5">
        <v>1886.23</v>
      </c>
      <c r="H976" s="5">
        <v>10.9</v>
      </c>
      <c r="I976" s="5">
        <v>2.76</v>
      </c>
      <c r="J976" s="6">
        <v>-1.4</v>
      </c>
      <c r="K976" s="5">
        <v>88.96</v>
      </c>
      <c r="L976" s="6">
        <v>0.3333</v>
      </c>
      <c r="M976" s="6">
        <v>-0.0507</v>
      </c>
      <c r="N976" s="6">
        <v>0.6</v>
      </c>
      <c r="O976" s="6">
        <v>0.0667</v>
      </c>
      <c r="P976" s="6">
        <v>0.2</v>
      </c>
      <c r="Q976" s="7"/>
      <c r="R976" s="7"/>
    </row>
    <row r="977" spans="1:18">
      <c r="A977" s="4" t="s">
        <v>1327</v>
      </c>
      <c r="B977" s="4">
        <f t="shared" si="15"/>
        <v>17</v>
      </c>
      <c r="C977" s="4"/>
      <c r="D977" s="1" t="str">
        <f>IFERROR(VLOOKUP(A977,[1]biopep_DB!$F$2:$J$1654,5,0),)</f>
        <v>Casein fermentate of Lactobacillus animalis DPC6134 contains a range of novel propeptide angiotensin-converting enzyme inhibitors.</v>
      </c>
      <c r="E977" s="1" t="str">
        <f>IFERROR(VLOOKUP(A977,[1]biopep_DB!$F$2:$L$1654,6,0),0)</f>
        <v>10.1128/AEM.00096-07</v>
      </c>
      <c r="F977" s="1" t="str">
        <f>IFERROR(VLOOKUP(A977,[1]biopep_DB!$F$2:$L$1654,7,0),0)</f>
        <v>17483275</v>
      </c>
      <c r="G977" s="5">
        <v>1854.9</v>
      </c>
      <c r="H977" s="5">
        <v>4.05</v>
      </c>
      <c r="I977" s="5">
        <v>-5.23</v>
      </c>
      <c r="J977" s="6">
        <v>-1.1706</v>
      </c>
      <c r="K977" s="5">
        <v>66.06</v>
      </c>
      <c r="L977" s="6">
        <v>0.2353</v>
      </c>
      <c r="M977" s="6">
        <v>0.0435</v>
      </c>
      <c r="N977" s="6">
        <v>0.4118</v>
      </c>
      <c r="O977" s="6">
        <v>0.4118</v>
      </c>
      <c r="P977" s="6">
        <v>0.1765</v>
      </c>
      <c r="Q977" s="7"/>
      <c r="R977" s="7"/>
    </row>
    <row r="978" spans="1:18">
      <c r="A978" s="4" t="s">
        <v>1328</v>
      </c>
      <c r="B978" s="4">
        <f t="shared" si="15"/>
        <v>4</v>
      </c>
      <c r="C978" s="4"/>
      <c r="D978" s="1" t="str">
        <f>IFERROR(VLOOKUP(A978,[1]biopep_DB!$F$2:$J$1654,5,0),)</f>
        <v>Isolation from alpha-zein of thermolysin peptides with angiotensin I-converting enzyme inhibitory activity.</v>
      </c>
      <c r="E978" s="1" t="str">
        <f>IFERROR(VLOOKUP(A978,[1]biopep_DB!$F$2:$L$1654,6,0),0)</f>
        <v>10.1271/bbb.60.661</v>
      </c>
      <c r="F978" s="1" t="str">
        <f>IFERROR(VLOOKUP(A978,[1]biopep_DB!$F$2:$L$1654,7,0),0)</f>
        <v>8829536</v>
      </c>
      <c r="G978" s="5">
        <v>428.52</v>
      </c>
      <c r="H978" s="5">
        <v>5.53</v>
      </c>
      <c r="I978" s="5">
        <v>-0.24</v>
      </c>
      <c r="J978" s="6">
        <v>1.3</v>
      </c>
      <c r="K978" s="5">
        <v>55.65</v>
      </c>
      <c r="L978" s="6">
        <v>0.75</v>
      </c>
      <c r="M978" s="6">
        <v>-2.25</v>
      </c>
      <c r="N978" s="6">
        <v>0.5</v>
      </c>
      <c r="O978" s="6">
        <v>0.5</v>
      </c>
      <c r="P978" s="6">
        <v>0.5</v>
      </c>
      <c r="Q978" s="7"/>
      <c r="R978" s="7"/>
    </row>
    <row r="979" spans="1:18">
      <c r="A979" s="4" t="s">
        <v>1329</v>
      </c>
      <c r="B979" s="4">
        <f t="shared" si="15"/>
        <v>10</v>
      </c>
      <c r="C979" s="4" t="s">
        <v>1330</v>
      </c>
      <c r="D979" s="1" t="str">
        <f>IFERROR(VLOOKUP(A979,[1]biopep_DB!$F$2:$J$1654,5,0),)</f>
        <v>Characterization of an antihypertensive angiotensin I-converting enzyme inhibitory peptide from the edible mushroom Hypsizygus marmoreus.</v>
      </c>
      <c r="E979" s="1" t="str">
        <f>IFERROR(VLOOKUP(A979,[1]biopep_DB!$F$2:$L$1654,6,0),0)</f>
        <v>10.1155/2013/283964</v>
      </c>
      <c r="F979" s="1" t="str">
        <f>IFERROR(VLOOKUP(A979,[1]biopep_DB!$F$2:$L$1654,7,0),0)</f>
        <v>24380081</v>
      </c>
      <c r="G979" s="5">
        <v>949.08</v>
      </c>
      <c r="H979" s="5">
        <v>5.53</v>
      </c>
      <c r="I979" s="5">
        <v>-0.24</v>
      </c>
      <c r="J979" s="6">
        <v>0.61</v>
      </c>
      <c r="K979" s="5">
        <v>52.94</v>
      </c>
      <c r="L979" s="6">
        <v>0.5</v>
      </c>
      <c r="M979" s="6">
        <v>-1.158</v>
      </c>
      <c r="N979" s="6">
        <v>0.4</v>
      </c>
      <c r="O979" s="6">
        <v>0.6</v>
      </c>
      <c r="P979" s="6">
        <v>0.2</v>
      </c>
      <c r="Q979" s="7"/>
      <c r="R979" s="7"/>
    </row>
    <row r="980" spans="1:18">
      <c r="A980" s="4" t="s">
        <v>1331</v>
      </c>
      <c r="B980" s="4">
        <f t="shared" si="15"/>
        <v>3</v>
      </c>
      <c r="C980" s="4" t="s">
        <v>36</v>
      </c>
      <c r="D980" s="1" t="str">
        <f>IFERROR(VLOOKUP(A980,[1]biopep_DB!$F$2:$J$1654,5,0),)</f>
        <v>Structures and activity of angiotensin-converting enzyme inhibitors in an alpha-zein hydrolysate.; Production of bioactive peptides from corn endosperm proteins by some proteases.; Isolation from alpha-zein of thermolysin peptides with angiotensin I-converting enzyme inhibitory activity.; Structural requirements of Angiotensin I-converting enzyme inhibitory peptides: quantitative structure-activity relationship study of di- and tripeptides.; Bioactive peptides in amaranth (Amaranthus hypochondriacus) seed.; Cellular membrane disruption by amyloid fibrils involved intermolecular disulfide cross-linking.;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980" s="1" t="str">
        <f>IFERROR(VLOOKUP(A980,[1]biopep_DB!$F$2:$L$1654,6,0),0)</f>
        <v>10.1111/j.1749-6632.1995.tb19990.x; 10.1271/bbb.60.661; 10.1021/jf051263l; 10.1021/jf072911z; 10.1021/bi900219c; 10.1016/j.talanta.2012.12.041; 10.1016/j.foodchem.2013.05.140; 10.1080/10408398.2012.664829</v>
      </c>
      <c r="F980" s="1" t="str">
        <f>IFERROR(VLOOKUP(A980,[1]biopep_DB!$F$2:$L$1654,7,0),0)</f>
        <v>1368684 7785872 8829536 16448176 18211015 19449893 23598136 23871047 24915368</v>
      </c>
      <c r="G980" s="5">
        <v>315.37</v>
      </c>
      <c r="H980" s="5">
        <v>5.53</v>
      </c>
      <c r="I980" s="5">
        <v>-0.24</v>
      </c>
      <c r="J980" s="6">
        <v>0.4667</v>
      </c>
      <c r="K980" s="5">
        <v>153.13</v>
      </c>
      <c r="L980" s="6">
        <v>0.6667</v>
      </c>
      <c r="M980" s="6">
        <v>-1.36</v>
      </c>
      <c r="N980" s="6">
        <v>0.3333</v>
      </c>
      <c r="O980" s="6">
        <v>0.6667</v>
      </c>
      <c r="P980" s="6">
        <v>0.3333</v>
      </c>
      <c r="Q980" s="7"/>
      <c r="R980" s="7"/>
    </row>
    <row r="981" spans="1:18">
      <c r="A981" s="4" t="s">
        <v>1332</v>
      </c>
      <c r="B981" s="4">
        <f t="shared" si="15"/>
        <v>4</v>
      </c>
      <c r="C981" s="4" t="s">
        <v>1333</v>
      </c>
      <c r="D981" s="1" t="str">
        <f>IFERROR(VLOOKUP(A981,[1]biopep_DB!$F$2:$J$1654,5,0),)</f>
        <v>Isolation from alpha-zein of thermolysin peptides with angiotensin I-converting enzyme inhibitory activity.; What are the ideal properties for functional food peptides with antihypertensive effect? A computational peptidology approach.</v>
      </c>
      <c r="E981" s="1" t="str">
        <f>IFERROR(VLOOKUP(A981,[1]biopep_DB!$F$2:$L$1654,6,0),0)</f>
        <v>10.1271/bbb.60.661; 10.1016/j.foodchem.2013.05.140</v>
      </c>
      <c r="F981" s="1" t="str">
        <f>IFERROR(VLOOKUP(A981,[1]biopep_DB!$F$2:$L$1654,7,0),0)</f>
        <v>8829536 23871047</v>
      </c>
      <c r="G981" s="5">
        <v>386.44</v>
      </c>
      <c r="H981" s="5">
        <v>5.53</v>
      </c>
      <c r="I981" s="5">
        <v>-0.24</v>
      </c>
      <c r="J981" s="6">
        <v>0.8</v>
      </c>
      <c r="K981" s="5">
        <v>165.5</v>
      </c>
      <c r="L981" s="6">
        <v>0.75</v>
      </c>
      <c r="M981" s="6">
        <v>-1.4725</v>
      </c>
      <c r="N981" s="6">
        <v>0.5</v>
      </c>
      <c r="O981" s="6">
        <v>0.5</v>
      </c>
      <c r="P981" s="6">
        <v>0.25</v>
      </c>
      <c r="Q981" s="7"/>
      <c r="R981" s="7"/>
    </row>
    <row r="982" spans="1:18">
      <c r="A982" s="4" t="s">
        <v>1334</v>
      </c>
      <c r="B982" s="4">
        <f t="shared" si="15"/>
        <v>6</v>
      </c>
      <c r="C982" s="4"/>
      <c r="D982" s="1" t="str">
        <f>IFERROR(VLOOKUP(A982,[1]biopep_DB!$F$2:$J$1654,5,0),)</f>
        <v>Isolation from alpha-zein of thermolysin peptides with angiotensin I-converting enzyme inhibitory activity.</v>
      </c>
      <c r="E982" s="1" t="str">
        <f>IFERROR(VLOOKUP(A982,[1]biopep_DB!$F$2:$L$1654,6,0),0)</f>
        <v>10.1271/bbb.60.661</v>
      </c>
      <c r="F982" s="1" t="str">
        <f>IFERROR(VLOOKUP(A982,[1]biopep_DB!$F$2:$L$1654,7,0),0)</f>
        <v>8829536</v>
      </c>
      <c r="G982" s="5">
        <v>693.75</v>
      </c>
      <c r="H982" s="5">
        <v>5.52</v>
      </c>
      <c r="I982" s="5">
        <v>-0.24</v>
      </c>
      <c r="J982" s="6">
        <v>-0.7</v>
      </c>
      <c r="K982" s="5">
        <v>186.9</v>
      </c>
      <c r="L982" s="6">
        <v>0.3333</v>
      </c>
      <c r="M982" s="6">
        <v>-0.29</v>
      </c>
      <c r="N982" s="6">
        <v>0.1667</v>
      </c>
      <c r="O982" s="6">
        <v>0.5</v>
      </c>
      <c r="P982" s="6">
        <v>0.3333</v>
      </c>
      <c r="Q982" s="7"/>
      <c r="R982" s="7"/>
    </row>
    <row r="983" spans="1:18">
      <c r="A983" s="4" t="s">
        <v>1335</v>
      </c>
      <c r="B983" s="4">
        <f t="shared" si="15"/>
        <v>4</v>
      </c>
      <c r="C983" s="4"/>
      <c r="D983" s="1" t="str">
        <f>IFERROR(VLOOKUP(A983,[1]biopep_DB!$F$2:$J$1654,5,0),)</f>
        <v>Isolation from alpha-zein of thermolysin peptides with angiotensin I-converting enzyme inhibitory activity.; Rational design of angiotensin-I-converting enzyme inhibitory peptides by integrating in silico modeling and an in vitro assay.</v>
      </c>
      <c r="E983" s="1" t="str">
        <f>IFERROR(VLOOKUP(A983,[1]biopep_DB!$F$2:$L$1654,6,0),0)</f>
        <v>10.1271/bbb.60.661; 10.1002/cmdc.201300132</v>
      </c>
      <c r="F983" s="1" t="str">
        <f>IFERROR(VLOOKUP(A983,[1]biopep_DB!$F$2:$L$1654,7,0),0)</f>
        <v>8829536 23740817</v>
      </c>
      <c r="G983" s="5">
        <v>478.54</v>
      </c>
      <c r="H983" s="5">
        <v>5.52</v>
      </c>
      <c r="I983" s="5">
        <v>-0.24</v>
      </c>
      <c r="J983" s="6">
        <v>0.025</v>
      </c>
      <c r="K983" s="5">
        <v>117.35</v>
      </c>
      <c r="L983" s="6">
        <v>0.5</v>
      </c>
      <c r="M983" s="6">
        <v>-0.985</v>
      </c>
      <c r="N983" s="6">
        <v>0.25</v>
      </c>
      <c r="O983" s="6">
        <v>0.5</v>
      </c>
      <c r="P983" s="6">
        <v>0.5</v>
      </c>
      <c r="Q983" s="7"/>
      <c r="R983" s="7"/>
    </row>
    <row r="984" spans="1:18">
      <c r="A984" s="4" t="s">
        <v>1336</v>
      </c>
      <c r="B984" s="4">
        <f t="shared" si="15"/>
        <v>12</v>
      </c>
      <c r="C984" s="4"/>
      <c r="D984" s="1" t="str">
        <f>IFERROR(VLOOKUP(A984,[1]biopep_DB!$F$2:$J$1654,5,0),)</f>
        <v>Enterococcus faecalis strains from food, environmental, and clinical origin produce ACE-inhibitory peptides and other bioactive peptides during growth in bovine skim milk.</v>
      </c>
      <c r="E984" s="1" t="str">
        <f>IFERROR(VLOOKUP(A984,[1]biopep_DB!$F$2:$L$1654,6,0),0)</f>
        <v>10.1016/j.ijfoodmicro.2013.06.019</v>
      </c>
      <c r="F984" s="1" t="str">
        <f>IFERROR(VLOOKUP(A984,[1]biopep_DB!$F$2:$L$1654,7,0),0)</f>
        <v>23845432</v>
      </c>
      <c r="G984" s="5">
        <v>1323.58</v>
      </c>
      <c r="H984" s="5">
        <v>10</v>
      </c>
      <c r="I984" s="5">
        <v>1.76</v>
      </c>
      <c r="J984" s="6">
        <v>-0.3</v>
      </c>
      <c r="K984" s="5">
        <v>118.96</v>
      </c>
      <c r="L984" s="6">
        <v>0.5</v>
      </c>
      <c r="M984" s="6">
        <v>-0.8633</v>
      </c>
      <c r="N984" s="6">
        <v>0.3333</v>
      </c>
      <c r="O984" s="6">
        <v>0.3333</v>
      </c>
      <c r="P984" s="6">
        <v>0.3333</v>
      </c>
      <c r="Q984" s="7"/>
      <c r="R984" s="7"/>
    </row>
    <row r="985" spans="1:18">
      <c r="A985" s="4" t="s">
        <v>1337</v>
      </c>
      <c r="B985" s="4">
        <f t="shared" si="15"/>
        <v>5</v>
      </c>
      <c r="C985" s="4" t="s">
        <v>31</v>
      </c>
      <c r="D985" s="1" t="str">
        <f>IFERROR(VLOOKUP(A985,[1]biopep_DB!$F$2:$J$1654,5,0),)</f>
        <v/>
      </c>
      <c r="E985" s="1" t="str">
        <f>IFERROR(VLOOKUP(A985,[1]biopep_DB!$F$2:$L$1654,6,0),0)</f>
        <v/>
      </c>
      <c r="F985" s="1" t="str">
        <f>IFERROR(VLOOKUP(A985,[1]biopep_DB!$F$2:$L$1654,7,0),0)</f>
        <v/>
      </c>
      <c r="G985" s="5">
        <v>559.62</v>
      </c>
      <c r="H985" s="5">
        <v>9.75</v>
      </c>
      <c r="I985" s="5">
        <v>0.76</v>
      </c>
      <c r="J985" s="6">
        <v>-1.08</v>
      </c>
      <c r="K985" s="5">
        <v>29.54</v>
      </c>
      <c r="L985" s="6">
        <v>0.2</v>
      </c>
      <c r="M985" s="6">
        <v>-0.188</v>
      </c>
      <c r="N985" s="6">
        <v>0.2</v>
      </c>
      <c r="O985" s="6">
        <v>0.4</v>
      </c>
      <c r="P985" s="6">
        <v>0.2</v>
      </c>
      <c r="Q985" s="7"/>
      <c r="R985" s="7"/>
    </row>
    <row r="986" spans="1:18">
      <c r="A986" s="4" t="s">
        <v>1338</v>
      </c>
      <c r="B986" s="4">
        <f t="shared" si="15"/>
        <v>50</v>
      </c>
      <c r="C986" s="4" t="s">
        <v>919</v>
      </c>
      <c r="D986" s="1" t="str">
        <f>IFERROR(VLOOKUP(A986,[1]biopep_DB!$F$2:$J$1654,5,0),)</f>
        <v>A new QSAR model, for angiotensin I-converting enzyme inhibitory oligopeptides.</v>
      </c>
      <c r="E986" s="1" t="str">
        <f>IFERROR(VLOOKUP(A986,[1]biopep_DB!$F$2:$L$1654,6,0),0)</f>
        <v>10.1016/j.foodchem.2012.09.092</v>
      </c>
      <c r="F986" s="1" t="str">
        <f>IFERROR(VLOOKUP(A986,[1]biopep_DB!$F$2:$L$1654,7,0),0)</f>
        <v>23194537</v>
      </c>
      <c r="G986" s="5">
        <v>5869.37</v>
      </c>
      <c r="H986" s="5">
        <v>4.68</v>
      </c>
      <c r="I986" s="5">
        <v>-4.14</v>
      </c>
      <c r="J986" s="6">
        <v>-1.092</v>
      </c>
      <c r="K986" s="5">
        <v>103.77</v>
      </c>
      <c r="L986" s="6">
        <v>0.32</v>
      </c>
      <c r="M986" s="6">
        <v>-0.1664</v>
      </c>
      <c r="N986" s="6">
        <v>0.3</v>
      </c>
      <c r="O986" s="6">
        <v>0.28</v>
      </c>
      <c r="P986" s="6">
        <v>0.3</v>
      </c>
      <c r="Q986" s="7"/>
      <c r="R986" s="7"/>
    </row>
    <row r="987" spans="1:18">
      <c r="A987" s="4" t="s">
        <v>1339</v>
      </c>
      <c r="B987" s="4">
        <f t="shared" si="15"/>
        <v>3</v>
      </c>
      <c r="C987" s="4" t="s">
        <v>31</v>
      </c>
      <c r="D987" s="1" t="str">
        <f>IFERROR(VLOOKUP(A987,[1]biopep_DB!$F$2:$J$1654,5,0),)</f>
        <v>LC-MS/MS coupled with QSAR modeling in characterising of angiotensin I-converting enzyme inhibitory peptides from soybean proteins.</v>
      </c>
      <c r="E987" s="1" t="str">
        <f>IFERROR(VLOOKUP(A987,[1]biopep_DB!$F$2:$L$1654,6,0),0)</f>
        <v>10.1016/j.foodchem.2013.04.064</v>
      </c>
      <c r="F987" s="1" t="str">
        <f>IFERROR(VLOOKUP(A987,[1]biopep_DB!$F$2:$L$1654,7,0),0)</f>
        <v>23871011</v>
      </c>
      <c r="G987" s="5">
        <v>404.46</v>
      </c>
      <c r="H987" s="5">
        <v>5.53</v>
      </c>
      <c r="I987" s="5">
        <v>-0.24</v>
      </c>
      <c r="J987" s="6">
        <v>0.7</v>
      </c>
      <c r="K987" s="5">
        <v>6.67</v>
      </c>
      <c r="L987" s="6">
        <v>0.6667</v>
      </c>
      <c r="M987" s="6">
        <v>-2.1367</v>
      </c>
      <c r="N987" s="6">
        <v>0.3333</v>
      </c>
      <c r="O987" s="6">
        <v>0.3333</v>
      </c>
      <c r="P987" s="6">
        <v>0.6667</v>
      </c>
      <c r="Q987" s="7"/>
      <c r="R987" s="7"/>
    </row>
    <row r="988" spans="1:18">
      <c r="A988" s="4" t="s">
        <v>1340</v>
      </c>
      <c r="B988" s="4">
        <f t="shared" si="15"/>
        <v>5</v>
      </c>
      <c r="C988" s="4" t="s">
        <v>31</v>
      </c>
      <c r="D988" s="1" t="str">
        <f>IFERROR(VLOOKUP(A988,[1]biopep_DB!$F$2:$J$1654,5,0),)</f>
        <v/>
      </c>
      <c r="E988" s="1" t="str">
        <f>IFERROR(VLOOKUP(A988,[1]biopep_DB!$F$2:$L$1654,6,0),0)</f>
        <v/>
      </c>
      <c r="F988" s="1" t="str">
        <f>IFERROR(VLOOKUP(A988,[1]biopep_DB!$F$2:$L$1654,7,0),0)</f>
        <v/>
      </c>
      <c r="G988" s="5">
        <v>541.62</v>
      </c>
      <c r="H988" s="5">
        <v>5.52</v>
      </c>
      <c r="I988" s="5">
        <v>-0.25</v>
      </c>
      <c r="J988" s="6">
        <v>0.76</v>
      </c>
      <c r="K988" s="5">
        <v>8</v>
      </c>
      <c r="L988" s="6">
        <v>0.2</v>
      </c>
      <c r="M988" s="6">
        <v>-1.232</v>
      </c>
      <c r="N988" s="6">
        <v>0.2</v>
      </c>
      <c r="O988" s="6">
        <v>0.4</v>
      </c>
      <c r="P988" s="6">
        <v>0.4</v>
      </c>
      <c r="Q988" s="7"/>
      <c r="R988" s="7"/>
    </row>
    <row r="989" spans="1:18">
      <c r="A989" s="4" t="s">
        <v>1341</v>
      </c>
      <c r="B989" s="4">
        <f t="shared" si="15"/>
        <v>10</v>
      </c>
      <c r="C989" s="4" t="s">
        <v>311</v>
      </c>
      <c r="D989" s="1" t="str">
        <f>IFERROR(VLOOKUP(A989,[1]biopep_DB!$F$2:$J$1654,5,0),)</f>
        <v/>
      </c>
      <c r="E989" s="1" t="str">
        <f>IFERROR(VLOOKUP(A989,[1]biopep_DB!$F$2:$L$1654,6,0),0)</f>
        <v/>
      </c>
      <c r="F989" s="1" t="str">
        <f>IFERROR(VLOOKUP(A989,[1]biopep_DB!$F$2:$L$1654,7,0),0)</f>
        <v/>
      </c>
      <c r="G989" s="5">
        <v>1164.31</v>
      </c>
      <c r="H989" s="5">
        <v>4.35</v>
      </c>
      <c r="I989" s="5">
        <v>-2.15</v>
      </c>
      <c r="J989" s="6">
        <v>-0.08</v>
      </c>
      <c r="K989" s="5">
        <v>28.26</v>
      </c>
      <c r="L989" s="6">
        <v>0.5</v>
      </c>
      <c r="M989" s="6">
        <v>-1.349</v>
      </c>
      <c r="N989" s="6">
        <v>0.5</v>
      </c>
      <c r="O989" s="6">
        <v>0.3</v>
      </c>
      <c r="P989" s="6">
        <v>0.5</v>
      </c>
      <c r="Q989" s="7"/>
      <c r="R989" s="7"/>
    </row>
    <row r="990" spans="1:18">
      <c r="A990" s="4" t="s">
        <v>1342</v>
      </c>
      <c r="B990" s="4">
        <f t="shared" si="15"/>
        <v>6</v>
      </c>
      <c r="C990" s="4"/>
      <c r="D990" s="1" t="str">
        <f>IFERROR(VLOOKUP(A990,[1]biopep_DB!$F$2:$J$1654,5,0),)</f>
        <v>Enterococcus faecalis strains from food, environmental, and clinical origin produce ACE-inhibitory peptides and other bioactive peptides during growth in bovine skim milk.</v>
      </c>
      <c r="E990" s="1" t="str">
        <f>IFERROR(VLOOKUP(A990,[1]biopep_DB!$F$2:$L$1654,6,0),0)</f>
        <v>10.1016/j.ijfoodmicro.2013.06.019</v>
      </c>
      <c r="F990" s="1" t="str">
        <f>IFERROR(VLOOKUP(A990,[1]biopep_DB!$F$2:$L$1654,7,0),0)</f>
        <v>23845432</v>
      </c>
      <c r="G990" s="5">
        <v>689.71</v>
      </c>
      <c r="H990" s="5">
        <v>4.05</v>
      </c>
      <c r="I990" s="5">
        <v>-2.24</v>
      </c>
      <c r="J990" s="6">
        <v>-0.5333</v>
      </c>
      <c r="K990" s="5">
        <v>8.33</v>
      </c>
      <c r="L990" s="6">
        <v>0.3333</v>
      </c>
      <c r="M990" s="6">
        <v>-0.6267</v>
      </c>
      <c r="N990" s="6">
        <v>0.3333</v>
      </c>
      <c r="O990" s="6">
        <v>0.3333</v>
      </c>
      <c r="P990" s="6">
        <v>0.5</v>
      </c>
      <c r="Q990" s="7"/>
      <c r="R990" s="7"/>
    </row>
    <row r="991" spans="1:18">
      <c r="A991" s="4" t="s">
        <v>1343</v>
      </c>
      <c r="B991" s="4">
        <f t="shared" si="15"/>
        <v>3</v>
      </c>
      <c r="C991" s="4" t="s">
        <v>36</v>
      </c>
      <c r="D991" s="1" t="str">
        <f>IFERROR(VLOOKUP(A991,[1]biopep_DB!$F$2:$J$1654,5,0),)</f>
        <v>Structural requirements of Angiotensin I-converting enzyme inhibitory peptides: quantitative structure-activity relationship study of di- and tripeptides.; Isolation and characterization of peptides with antihypertensive activity in foodstuffs.</v>
      </c>
      <c r="E991" s="1" t="str">
        <f>IFERROR(VLOOKUP(A991,[1]biopep_DB!$F$2:$L$1654,6,0),0)</f>
        <v>10.1021/jf051263l; 10.1080/10408398.2012.664829</v>
      </c>
      <c r="F991" s="1" t="str">
        <f>IFERROR(VLOOKUP(A991,[1]biopep_DB!$F$2:$L$1654,7,0),0)</f>
        <v>16448176 24915368</v>
      </c>
      <c r="G991" s="5">
        <v>379.45</v>
      </c>
      <c r="H991" s="5">
        <v>5.53</v>
      </c>
      <c r="I991" s="5">
        <v>-0.24</v>
      </c>
      <c r="J991" s="6">
        <v>1.9667</v>
      </c>
      <c r="K991" s="5">
        <v>47.8</v>
      </c>
      <c r="L991" s="6">
        <v>0.6667</v>
      </c>
      <c r="M991" s="6">
        <v>-2.5467</v>
      </c>
      <c r="N991" s="6">
        <v>0.3333</v>
      </c>
      <c r="O991" s="6">
        <v>0</v>
      </c>
      <c r="P991" s="6">
        <v>1</v>
      </c>
      <c r="Q991" s="7"/>
      <c r="R991" s="7"/>
    </row>
    <row r="992" spans="1:18">
      <c r="A992" s="4" t="s">
        <v>1344</v>
      </c>
      <c r="B992" s="4">
        <f t="shared" si="15"/>
        <v>7</v>
      </c>
      <c r="C992" s="4" t="s">
        <v>62</v>
      </c>
      <c r="D992" s="1" t="str">
        <f>IFERROR(VLOOKUP(A992,[1]biopep_DB!$F$2:$J$1654,5,0),)</f>
        <v>Putting microbes to work: dairy fermentation, cell factories and bioactive peptides. Part I: overview.; The potential role of milk-derived peptides in cardiovascular disease.</v>
      </c>
      <c r="E992" s="1" t="str">
        <f>IFERROR(VLOOKUP(A992,[1]biopep_DB!$F$2:$L$1654,6,0),0)</f>
        <v>10.1002/biot.200600246; 10.1039/c1fo10017c</v>
      </c>
      <c r="F992" s="1" t="str">
        <f>IFERROR(VLOOKUP(A992,[1]biopep_DB!$F$2:$L$1654,7,0),0)</f>
        <v>17407210 21779574</v>
      </c>
      <c r="G992" s="5">
        <v>789.87</v>
      </c>
      <c r="H992" s="5">
        <v>4.09</v>
      </c>
      <c r="I992" s="5">
        <v>-2.23</v>
      </c>
      <c r="J992" s="6">
        <v>0.4857</v>
      </c>
      <c r="K992" s="5">
        <v>8.57</v>
      </c>
      <c r="L992" s="6">
        <v>0.4286</v>
      </c>
      <c r="M992" s="6">
        <v>-1.4343</v>
      </c>
      <c r="N992" s="6">
        <v>0.4286</v>
      </c>
      <c r="O992" s="6">
        <v>0.1429</v>
      </c>
      <c r="P992" s="6">
        <v>0.7143</v>
      </c>
      <c r="Q992" s="7"/>
      <c r="R992" s="7"/>
    </row>
    <row r="993" spans="1:18">
      <c r="A993" s="4" t="s">
        <v>1345</v>
      </c>
      <c r="B993" s="4">
        <f t="shared" si="15"/>
        <v>8</v>
      </c>
      <c r="C993" s="4"/>
      <c r="D993" s="1" t="str">
        <f>IFERROR(VLOOKUP(A993,[1]biopep_DB!$F$2:$J$1654,5,0),)</f>
        <v>Enterococcus faecalis strains from food, environmental, and clinical origin produce ACE-inhibitory peptides and other bioactive peptides during growth in bovine skim milk.</v>
      </c>
      <c r="E993" s="1" t="str">
        <f>IFERROR(VLOOKUP(A993,[1]biopep_DB!$F$2:$L$1654,6,0),0)</f>
        <v>10.1016/j.ijfoodmicro.2013.06.019</v>
      </c>
      <c r="F993" s="1" t="str">
        <f>IFERROR(VLOOKUP(A993,[1]biopep_DB!$F$2:$L$1654,7,0),0)</f>
        <v>23845432</v>
      </c>
      <c r="G993" s="5">
        <v>903.97</v>
      </c>
      <c r="H993" s="5">
        <v>4.05</v>
      </c>
      <c r="I993" s="5">
        <v>-2.24</v>
      </c>
      <c r="J993" s="6">
        <v>-0.0125</v>
      </c>
      <c r="K993" s="5">
        <v>8.75</v>
      </c>
      <c r="L993" s="6">
        <v>0.375</v>
      </c>
      <c r="M993" s="6">
        <v>-1.0525</v>
      </c>
      <c r="N993" s="6">
        <v>0.375</v>
      </c>
      <c r="O993" s="6">
        <v>0.25</v>
      </c>
      <c r="P993" s="6">
        <v>0.625</v>
      </c>
      <c r="Q993" s="7"/>
      <c r="R993" s="7"/>
    </row>
    <row r="994" spans="1:18">
      <c r="A994" s="4" t="s">
        <v>1346</v>
      </c>
      <c r="B994" s="4">
        <f t="shared" si="15"/>
        <v>9</v>
      </c>
      <c r="C994" s="4"/>
      <c r="D994" s="1" t="str">
        <f>IFERROR(VLOOKUP(A994,[1]biopep_DB!$F$2:$J$1654,5,0),)</f>
        <v>QSAR study on angiotensin-converting enzyme inhibitor oligopeptides based on a novel set of sequence information descriptors.</v>
      </c>
      <c r="E994" s="1" t="str">
        <f>IFERROR(VLOOKUP(A994,[1]biopep_DB!$F$2:$L$1654,6,0),0)</f>
        <v>10.1007/s00894-010-0862-x</v>
      </c>
      <c r="F994" s="1" t="str">
        <f>IFERROR(VLOOKUP(A994,[1]biopep_DB!$F$2:$L$1654,7,0),0)</f>
        <v>20941517</v>
      </c>
      <c r="G994" s="5">
        <v>951.12</v>
      </c>
      <c r="H994" s="5">
        <v>5.53</v>
      </c>
      <c r="I994" s="5">
        <v>-0.24</v>
      </c>
      <c r="J994" s="6">
        <v>0.2778</v>
      </c>
      <c r="K994" s="5">
        <v>64.71</v>
      </c>
      <c r="L994" s="6">
        <v>0.6667</v>
      </c>
      <c r="M994" s="6">
        <v>-1.2356</v>
      </c>
      <c r="N994" s="6">
        <v>0.1111</v>
      </c>
      <c r="O994" s="6">
        <v>0.3333</v>
      </c>
      <c r="P994" s="6">
        <v>0.5556</v>
      </c>
      <c r="Q994" s="7"/>
      <c r="R994" s="7"/>
    </row>
    <row r="995" spans="1:18">
      <c r="A995" s="4" t="s">
        <v>1347</v>
      </c>
      <c r="B995" s="4">
        <f t="shared" si="15"/>
        <v>11</v>
      </c>
      <c r="C995" s="4" t="s">
        <v>1348</v>
      </c>
      <c r="D995" s="1" t="str">
        <f>IFERROR(VLOOKUP(A995,[1]biopep_DB!$F$2:$J$1654,5,0),)</f>
        <v>Enterococcus faecalis strains from food, environmental, and clinical origin produce ACE-inhibitory peptides and other bioactive peptides during growth in bovine skim milk.</v>
      </c>
      <c r="E995" s="1" t="str">
        <f>IFERROR(VLOOKUP(A995,[1]biopep_DB!$F$2:$L$1654,6,0),0)</f>
        <v>10.1016/j.ijfoodmicro.2013.06.019</v>
      </c>
      <c r="F995" s="1" t="str">
        <f>IFERROR(VLOOKUP(A995,[1]biopep_DB!$F$2:$L$1654,7,0),0)</f>
        <v>23845432</v>
      </c>
      <c r="G995" s="5">
        <v>1197.42</v>
      </c>
      <c r="H995" s="5">
        <v>5.53</v>
      </c>
      <c r="I995" s="5">
        <v>-0.24</v>
      </c>
      <c r="J995" s="6">
        <v>0.8636</v>
      </c>
      <c r="K995" s="5">
        <v>72.27</v>
      </c>
      <c r="L995" s="6">
        <v>0.7273</v>
      </c>
      <c r="M995" s="6">
        <v>-1.6491</v>
      </c>
      <c r="N995" s="6">
        <v>0.0909</v>
      </c>
      <c r="O995" s="6">
        <v>0.2727</v>
      </c>
      <c r="P995" s="6">
        <v>0.6364</v>
      </c>
      <c r="Q995" s="7"/>
      <c r="R995" s="7"/>
    </row>
    <row r="996" spans="1:18">
      <c r="A996" s="4" t="s">
        <v>1349</v>
      </c>
      <c r="B996" s="4">
        <f t="shared" si="15"/>
        <v>5</v>
      </c>
      <c r="C996" s="4" t="s">
        <v>31</v>
      </c>
      <c r="D996" s="1" t="str">
        <f>IFERROR(VLOOKUP(A996,[1]biopep_DB!$F$2:$J$1654,5,0),)</f>
        <v/>
      </c>
      <c r="E996" s="1" t="str">
        <f>IFERROR(VLOOKUP(A996,[1]biopep_DB!$F$2:$L$1654,6,0),0)</f>
        <v/>
      </c>
      <c r="F996" s="1" t="str">
        <f>IFERROR(VLOOKUP(A996,[1]biopep_DB!$F$2:$L$1654,7,0),0)</f>
        <v/>
      </c>
      <c r="G996" s="5">
        <v>619.67</v>
      </c>
      <c r="H996" s="5">
        <v>5.53</v>
      </c>
      <c r="I996" s="5">
        <v>-0.24</v>
      </c>
      <c r="J996" s="6">
        <v>-0.42</v>
      </c>
      <c r="K996" s="5">
        <v>2.62</v>
      </c>
      <c r="L996" s="6">
        <v>0.4</v>
      </c>
      <c r="M996" s="6">
        <v>-0.906</v>
      </c>
      <c r="N996" s="6">
        <v>0.2</v>
      </c>
      <c r="O996" s="6">
        <v>0.4</v>
      </c>
      <c r="P996" s="6">
        <v>0.6</v>
      </c>
      <c r="Q996" s="7"/>
      <c r="R996" s="7"/>
    </row>
    <row r="997" spans="1:18">
      <c r="A997" s="4" t="s">
        <v>1350</v>
      </c>
      <c r="B997" s="4">
        <f t="shared" si="15"/>
        <v>2</v>
      </c>
      <c r="C997" s="4"/>
      <c r="D997" s="1" t="str">
        <f>IFERROR(VLOOKUP(A997,[1]biopep_DB!$F$2:$J$1654,5,0),)</f>
        <v>Quantitative structure-activity relationship study of bitter di- and tri-peptides including relationship with angiotensin I-converting enzyme inhibitory activity.</v>
      </c>
      <c r="E997" s="1" t="str">
        <f>IFERROR(VLOOKUP(A997,[1]biopep_DB!$F$2:$L$1654,6,0),0)</f>
        <v>10.1002/psc.800</v>
      </c>
      <c r="F997" s="1" t="str">
        <f>IFERROR(VLOOKUP(A997,[1]biopep_DB!$F$2:$L$1654,7,0),0)</f>
        <v>17117396</v>
      </c>
      <c r="G997" s="5">
        <v>230.3</v>
      </c>
      <c r="H997" s="5">
        <v>5.53</v>
      </c>
      <c r="I997" s="5">
        <v>-0.24</v>
      </c>
      <c r="J997" s="6">
        <v>4</v>
      </c>
      <c r="K997" s="5">
        <v>5</v>
      </c>
      <c r="L997" s="6">
        <v>1</v>
      </c>
      <c r="M997" s="6">
        <v>-4.48</v>
      </c>
      <c r="N997" s="6">
        <v>0.5</v>
      </c>
      <c r="O997" s="6">
        <v>0</v>
      </c>
      <c r="P997" s="6">
        <v>1</v>
      </c>
      <c r="Q997" s="7"/>
      <c r="R997" s="7"/>
    </row>
    <row r="998" spans="1:18">
      <c r="A998" s="4" t="s">
        <v>1351</v>
      </c>
      <c r="B998" s="4">
        <f t="shared" si="15"/>
        <v>3</v>
      </c>
      <c r="C998" s="4" t="s">
        <v>1352</v>
      </c>
      <c r="D998" s="1" t="str">
        <f>IFERROR(VLOOKUP(A998,[1]biopep_DB!$F$2:$J$1654,5,0),)</f>
        <v/>
      </c>
      <c r="E998" s="1" t="str">
        <f>IFERROR(VLOOKUP(A998,[1]biopep_DB!$F$2:$L$1654,6,0),0)</f>
        <v/>
      </c>
      <c r="F998" s="1" t="str">
        <f>IFERROR(VLOOKUP(A998,[1]biopep_DB!$F$2:$L$1654,7,0),0)</f>
        <v/>
      </c>
      <c r="G998" s="5">
        <v>359.42</v>
      </c>
      <c r="H998" s="5">
        <v>4.6</v>
      </c>
      <c r="I998" s="5">
        <v>-1.23</v>
      </c>
      <c r="J998" s="6">
        <v>1.5</v>
      </c>
      <c r="K998" s="5">
        <v>6.67</v>
      </c>
      <c r="L998" s="6">
        <v>0.6667</v>
      </c>
      <c r="M998" s="6">
        <v>-2.44</v>
      </c>
      <c r="N998" s="6">
        <v>0.6667</v>
      </c>
      <c r="O998" s="6">
        <v>0</v>
      </c>
      <c r="P998" s="6">
        <v>0.6667</v>
      </c>
      <c r="Q998" s="7"/>
      <c r="R998" s="7"/>
    </row>
    <row r="999" spans="1:18">
      <c r="A999" s="4" t="s">
        <v>1353</v>
      </c>
      <c r="B999" s="4">
        <f t="shared" si="15"/>
        <v>3</v>
      </c>
      <c r="C999" s="4" t="s">
        <v>36</v>
      </c>
      <c r="D999" s="1" t="str">
        <f>IFERROR(VLOOKUP(A999,[1]biopep_DB!$F$2:$J$1654,5,0),)</f>
        <v>Isolation of angiotensin-converting enzyme inhibitor from porcine plasma.; Structural requirements of Angiotensin I-converting enzyme inhibitory peptides: quantitative structure-activity relationship study of di- and tripeptides.; Bioactive peptides in amaranth (Amaranthus hypochondriacus) seed.</v>
      </c>
      <c r="E999" s="1" t="str">
        <f>IFERROR(VLOOKUP(A999,[1]biopep_DB!$F$2:$L$1654,6,0),0)</f>
        <v>10.1016/s0006-291x(86)80078-x; 10.1021/jf051263l; 10.1021/jf072911z</v>
      </c>
      <c r="F999" s="1" t="str">
        <f>IFERROR(VLOOKUP(A999,[1]biopep_DB!$F$2:$L$1654,7,0),0)</f>
        <v>3021131 16448176 18211015</v>
      </c>
      <c r="G999" s="5">
        <v>343.46</v>
      </c>
      <c r="H999" s="5">
        <v>5.53</v>
      </c>
      <c r="I999" s="5">
        <v>-0.24</v>
      </c>
      <c r="J999" s="6">
        <v>3.9333</v>
      </c>
      <c r="K999" s="5">
        <v>6.67</v>
      </c>
      <c r="L999" s="6">
        <v>1</v>
      </c>
      <c r="M999" s="6">
        <v>-4.6267</v>
      </c>
      <c r="N999" s="6">
        <v>0.6667</v>
      </c>
      <c r="O999" s="6">
        <v>0</v>
      </c>
      <c r="P999" s="6">
        <v>1</v>
      </c>
      <c r="Q999" s="7"/>
      <c r="R999" s="7"/>
    </row>
    <row r="1000" spans="1:18">
      <c r="A1000" s="4" t="s">
        <v>1354</v>
      </c>
      <c r="B1000" s="4">
        <f t="shared" si="15"/>
        <v>13</v>
      </c>
      <c r="C1000" s="4" t="s">
        <v>1355</v>
      </c>
      <c r="D1000" s="1" t="str">
        <f>IFERROR(VLOOKUP(A1000,[1]biopep_DB!$F$2:$J$1654,5,0),)</f>
        <v>Characterization of an antihypertensive angiotensin I-converting enzyme inhibitory peptide from the edible mushroom Hypsizygus marmoreus.</v>
      </c>
      <c r="E1000" s="1" t="str">
        <f>IFERROR(VLOOKUP(A1000,[1]biopep_DB!$F$2:$L$1654,6,0),0)</f>
        <v>10.1155/2013/283964</v>
      </c>
      <c r="F1000" s="1" t="str">
        <f>IFERROR(VLOOKUP(A1000,[1]biopep_DB!$F$2:$L$1654,7,0),0)</f>
        <v>24380081</v>
      </c>
      <c r="G1000" s="5">
        <v>1458.65</v>
      </c>
      <c r="H1000" s="5">
        <v>4.05</v>
      </c>
      <c r="I1000" s="5">
        <v>-2.24</v>
      </c>
      <c r="J1000" s="6">
        <v>0.8077</v>
      </c>
      <c r="K1000" s="5">
        <v>27.01</v>
      </c>
      <c r="L1000" s="6">
        <v>0.6154</v>
      </c>
      <c r="M1000" s="6">
        <v>-1.7692</v>
      </c>
      <c r="N1000" s="6">
        <v>0.2308</v>
      </c>
      <c r="O1000" s="6">
        <v>0.3846</v>
      </c>
      <c r="P1000" s="6">
        <v>0.6154</v>
      </c>
      <c r="Q1000" s="7"/>
      <c r="R1000" s="7"/>
    </row>
    <row r="1001" spans="1:18">
      <c r="A1001" s="4" t="s">
        <v>1356</v>
      </c>
      <c r="B1001" s="4">
        <f t="shared" si="15"/>
        <v>3</v>
      </c>
      <c r="C1001" s="4" t="s">
        <v>31</v>
      </c>
      <c r="D1001" s="1" t="str">
        <f>IFERROR(VLOOKUP(A1001,[1]biopep_DB!$F$2:$J$1654,5,0),)</f>
        <v>Isolation from alpha-zein of thermolysin peptides with angiotensin I-converting enzyme inhibitory activity.</v>
      </c>
      <c r="E1001" s="1" t="str">
        <f>IFERROR(VLOOKUP(A1001,[1]biopep_DB!$F$2:$L$1654,6,0),0)</f>
        <v>10.1271/bbb.60.661</v>
      </c>
      <c r="F1001" s="1" t="str">
        <f>IFERROR(VLOOKUP(A1001,[1]biopep_DB!$F$2:$L$1654,7,0),0)</f>
        <v>8829536</v>
      </c>
      <c r="G1001" s="5">
        <v>327.42</v>
      </c>
      <c r="H1001" s="5">
        <v>5.53</v>
      </c>
      <c r="I1001" s="5">
        <v>-0.24</v>
      </c>
      <c r="J1001" s="6">
        <v>2.1333</v>
      </c>
      <c r="K1001" s="5">
        <v>70.87</v>
      </c>
      <c r="L1001" s="6">
        <v>1</v>
      </c>
      <c r="M1001" s="6">
        <v>-2.9867</v>
      </c>
      <c r="N1001" s="6">
        <v>0.3333</v>
      </c>
      <c r="O1001" s="6">
        <v>0.3333</v>
      </c>
      <c r="P1001" s="6">
        <v>0.6667</v>
      </c>
      <c r="Q1001" s="7"/>
      <c r="R1001" s="7"/>
    </row>
    <row r="1002" spans="1:18">
      <c r="A1002" s="4" t="s">
        <v>1357</v>
      </c>
      <c r="B1002" s="4">
        <f t="shared" si="15"/>
        <v>3</v>
      </c>
      <c r="C1002" s="4" t="s">
        <v>36</v>
      </c>
      <c r="D1002" s="1" t="str">
        <f>IFERROR(VLOOKUP(A1002,[1]biopep_DB!$F$2:$J$1654,5,0),)</f>
        <v>Structural requirements of Angiotensin I-converting enzyme inhibitory peptides: quantitative structure-activity relationship study of di- and tripeptides.</v>
      </c>
      <c r="E1002" s="1" t="str">
        <f>IFERROR(VLOOKUP(A1002,[1]biopep_DB!$F$2:$L$1654,6,0),0)</f>
        <v>10.1021/jf051263l</v>
      </c>
      <c r="F1002" s="1" t="str">
        <f>IFERROR(VLOOKUP(A1002,[1]biopep_DB!$F$2:$L$1654,7,0),0)</f>
        <v>16448176</v>
      </c>
      <c r="G1002" s="5">
        <v>358.43</v>
      </c>
      <c r="H1002" s="5">
        <v>5.53</v>
      </c>
      <c r="I1002" s="5">
        <v>-0.24</v>
      </c>
      <c r="J1002" s="6">
        <v>1.5</v>
      </c>
      <c r="K1002" s="5">
        <v>6.67</v>
      </c>
      <c r="L1002" s="6">
        <v>0.6667</v>
      </c>
      <c r="M1002" s="6">
        <v>-2.5333</v>
      </c>
      <c r="N1002" s="6">
        <v>0.3333</v>
      </c>
      <c r="O1002" s="6">
        <v>0</v>
      </c>
      <c r="P1002" s="6">
        <v>0.6667</v>
      </c>
      <c r="Q1002" s="7"/>
      <c r="R1002" s="7"/>
    </row>
    <row r="1003" spans="1:18">
      <c r="A1003" s="4" t="s">
        <v>1358</v>
      </c>
      <c r="B1003" s="4">
        <f t="shared" si="15"/>
        <v>5</v>
      </c>
      <c r="C1003" s="4" t="s">
        <v>1359</v>
      </c>
      <c r="D1003" s="1" t="str">
        <f>IFERROR(VLOOKUP(A1003,[1]biopep_DB!$F$2:$J$1654,5,0),)</f>
        <v>Vegetable foods: a cheap source of proteins and peptides with antihypertensive, antioxidant, and other less occurrence bioactivities.; Isolation and characterization of peptides with antihypertensive activity in foodstuffs.</v>
      </c>
      <c r="E1003" s="1" t="str">
        <f>IFERROR(VLOOKUP(A1003,[1]biopep_DB!$F$2:$L$1654,6,0),0)</f>
        <v>10.1016/j.talanta.2012.12.041; 10.1080/10408398.2012.664829</v>
      </c>
      <c r="F1003" s="1" t="str">
        <f>IFERROR(VLOOKUP(A1003,[1]biopep_DB!$F$2:$L$1654,7,0),0)</f>
        <v>23598136 24915368</v>
      </c>
      <c r="G1003" s="5">
        <v>502.56</v>
      </c>
      <c r="H1003" s="5">
        <v>5.53</v>
      </c>
      <c r="I1003" s="5">
        <v>-0.24</v>
      </c>
      <c r="J1003" s="6">
        <v>0.66</v>
      </c>
      <c r="K1003" s="5">
        <v>8</v>
      </c>
      <c r="L1003" s="6">
        <v>0.4</v>
      </c>
      <c r="M1003" s="6">
        <v>-1.54</v>
      </c>
      <c r="N1003" s="6">
        <v>0.2</v>
      </c>
      <c r="O1003" s="6">
        <v>0.4</v>
      </c>
      <c r="P1003" s="6">
        <v>0.4</v>
      </c>
      <c r="Q1003" s="7"/>
      <c r="R1003" s="7"/>
    </row>
    <row r="1004" spans="1:18">
      <c r="A1004" s="4" t="s">
        <v>1360</v>
      </c>
      <c r="B1004" s="4">
        <f t="shared" si="15"/>
        <v>3</v>
      </c>
      <c r="C1004" s="4" t="s">
        <v>36</v>
      </c>
      <c r="D1004" s="1" t="str">
        <f>IFERROR(VLOOKUP(A1004,[1]biopep_DB!$F$2:$J$1654,5,0),)</f>
        <v>Structural requirements of Angiotensin I-converting enzyme inhibitory peptides: quantitative structure-activity relationship study of di- and tripeptides.</v>
      </c>
      <c r="E1004" s="1" t="str">
        <f>IFERROR(VLOOKUP(A1004,[1]biopep_DB!$F$2:$L$1654,6,0),0)</f>
        <v>10.1021/jf051263l</v>
      </c>
      <c r="F1004" s="1" t="str">
        <f>IFERROR(VLOOKUP(A1004,[1]biopep_DB!$F$2:$L$1654,7,0),0)</f>
        <v>16448176</v>
      </c>
      <c r="G1004" s="5">
        <v>386.49</v>
      </c>
      <c r="H1004" s="5">
        <v>9.75</v>
      </c>
      <c r="I1004" s="5">
        <v>0.76</v>
      </c>
      <c r="J1004" s="6">
        <v>1.1667</v>
      </c>
      <c r="K1004" s="5">
        <v>6.67</v>
      </c>
      <c r="L1004" s="6">
        <v>0.6667</v>
      </c>
      <c r="M1004" s="6">
        <v>-2.08</v>
      </c>
      <c r="N1004" s="6">
        <v>0.3333</v>
      </c>
      <c r="O1004" s="6">
        <v>0</v>
      </c>
      <c r="P1004" s="6">
        <v>0.6667</v>
      </c>
      <c r="Q1004" s="7"/>
      <c r="R1004" s="7"/>
    </row>
    <row r="1005" spans="1:18">
      <c r="A1005" s="4" t="s">
        <v>1361</v>
      </c>
      <c r="B1005" s="4">
        <f t="shared" si="15"/>
        <v>4</v>
      </c>
      <c r="C1005" s="4" t="s">
        <v>1362</v>
      </c>
      <c r="D1005" s="1" t="str">
        <f>IFERROR(VLOOKUP(A1005,[1]biopep_DB!$F$2:$J$1654,5,0),)</f>
        <v>Angiotensin converting enzyme inhibitory peptides derived from food proteins: biochemistry, bioactivity and production.; What are the ideal properties for functional food peptides with antihypertensive effect? A computational peptidology approach.</v>
      </c>
      <c r="E1005" s="1" t="str">
        <f>IFERROR(VLOOKUP(A1005,[1]biopep_DB!$F$2:$L$1654,6,0),0)</f>
        <v>10.2174/138161207780363068; 10.1016/j.foodchem.2013.05.140</v>
      </c>
      <c r="F1005" s="1" t="str">
        <f>IFERROR(VLOOKUP(A1005,[1]biopep_DB!$F$2:$L$1654,7,0),0)</f>
        <v>17430180 23871047</v>
      </c>
      <c r="G1005" s="5">
        <v>487.59</v>
      </c>
      <c r="H1005" s="5">
        <v>9.75</v>
      </c>
      <c r="I1005" s="5">
        <v>0.76</v>
      </c>
      <c r="J1005" s="6">
        <v>0.7</v>
      </c>
      <c r="K1005" s="5">
        <v>7.5</v>
      </c>
      <c r="L1005" s="6">
        <v>0.5</v>
      </c>
      <c r="M1005" s="6">
        <v>-1.495</v>
      </c>
      <c r="N1005" s="6">
        <v>0.25</v>
      </c>
      <c r="O1005" s="6">
        <v>0</v>
      </c>
      <c r="P1005" s="6">
        <v>0.75</v>
      </c>
      <c r="Q1005" s="7"/>
      <c r="R1005" s="7"/>
    </row>
    <row r="1006" spans="1:18">
      <c r="A1006" s="4" t="s">
        <v>1363</v>
      </c>
      <c r="B1006" s="4">
        <f t="shared" si="15"/>
        <v>4</v>
      </c>
      <c r="C1006" s="4" t="s">
        <v>1364</v>
      </c>
      <c r="D1006" s="1" t="str">
        <f>IFERROR(VLOOKUP(A1006,[1]biopep_DB!$F$2:$J$1654,5,0),)</f>
        <v/>
      </c>
      <c r="E1006" s="1" t="str">
        <f>IFERROR(VLOOKUP(A1006,[1]biopep_DB!$F$2:$L$1654,6,0),0)</f>
        <v/>
      </c>
      <c r="F1006" s="1" t="str">
        <f>IFERROR(VLOOKUP(A1006,[1]biopep_DB!$F$2:$L$1654,7,0),0)</f>
        <v/>
      </c>
      <c r="G1006" s="5">
        <v>549.66</v>
      </c>
      <c r="H1006" s="5">
        <v>8.75</v>
      </c>
      <c r="I1006" s="5">
        <v>0.76</v>
      </c>
      <c r="J1006" s="6">
        <v>0.55</v>
      </c>
      <c r="K1006" s="5">
        <v>-11.35</v>
      </c>
      <c r="L1006" s="6">
        <v>0.5</v>
      </c>
      <c r="M1006" s="6">
        <v>-1.525</v>
      </c>
      <c r="N1006" s="6">
        <v>0.25</v>
      </c>
      <c r="O1006" s="6">
        <v>0</v>
      </c>
      <c r="P1006" s="6">
        <v>0.75</v>
      </c>
      <c r="Q1006" s="7"/>
      <c r="R1006" s="7"/>
    </row>
    <row r="1007" spans="1:18">
      <c r="A1007" s="4" t="s">
        <v>1365</v>
      </c>
      <c r="B1007" s="4">
        <f t="shared" si="15"/>
        <v>8</v>
      </c>
      <c r="C1007" s="4"/>
      <c r="G1007" s="5">
        <v>850.91</v>
      </c>
      <c r="H1007" s="5">
        <v>4.05</v>
      </c>
      <c r="I1007" s="5">
        <v>-2.24</v>
      </c>
      <c r="J1007" s="6">
        <v>0.3875</v>
      </c>
      <c r="K1007" s="5">
        <v>-30.08</v>
      </c>
      <c r="L1007" s="6">
        <v>0.375</v>
      </c>
      <c r="M1007" s="6">
        <v>-1.4275</v>
      </c>
      <c r="N1007" s="6">
        <v>0.25</v>
      </c>
      <c r="O1007" s="6">
        <v>0.375</v>
      </c>
      <c r="P1007" s="6">
        <v>0.5</v>
      </c>
      <c r="Q1007" s="7"/>
      <c r="R1007" s="7"/>
    </row>
    <row r="1008" spans="1:18">
      <c r="A1008" s="4" t="s">
        <v>1366</v>
      </c>
      <c r="B1008" s="4">
        <f t="shared" si="15"/>
        <v>8</v>
      </c>
      <c r="C1008" s="4"/>
      <c r="G1008" s="5">
        <v>1005.17</v>
      </c>
      <c r="H1008" s="5">
        <v>5.52</v>
      </c>
      <c r="I1008" s="5">
        <v>-0.24</v>
      </c>
      <c r="J1008" s="6">
        <v>0.525</v>
      </c>
      <c r="K1008" s="5">
        <v>-17.06</v>
      </c>
      <c r="L1008" s="6">
        <v>0.625</v>
      </c>
      <c r="M1008" s="6">
        <v>-1.6963</v>
      </c>
      <c r="N1008" s="6">
        <v>0.125</v>
      </c>
      <c r="O1008" s="6">
        <v>0.125</v>
      </c>
      <c r="P1008" s="6">
        <v>0.75</v>
      </c>
      <c r="Q1008" s="7"/>
      <c r="R1008" s="7"/>
    </row>
    <row r="1009" spans="1:18">
      <c r="A1009" s="4" t="s">
        <v>1367</v>
      </c>
      <c r="B1009" s="4">
        <f t="shared" si="15"/>
        <v>9</v>
      </c>
      <c r="C1009" s="4" t="s">
        <v>25</v>
      </c>
      <c r="D1009" s="1" t="str">
        <f>IFERROR(VLOOKUP(A1009,[1]biopep_DB!$F$2:$J$1654,5,0),)</f>
        <v/>
      </c>
      <c r="E1009" s="1" t="str">
        <f>IFERROR(VLOOKUP(A1009,[1]biopep_DB!$F$2:$L$1654,6,0),0)</f>
        <v/>
      </c>
      <c r="F1009" s="1" t="str">
        <f>IFERROR(VLOOKUP(A1009,[1]biopep_DB!$F$2:$L$1654,7,0),0)</f>
        <v/>
      </c>
      <c r="G1009" s="5">
        <v>1161.35</v>
      </c>
      <c r="H1009" s="5">
        <v>8.75</v>
      </c>
      <c r="I1009" s="5">
        <v>0.76</v>
      </c>
      <c r="J1009" s="6">
        <v>-0.0333</v>
      </c>
      <c r="K1009" s="5">
        <v>-14.06</v>
      </c>
      <c r="L1009" s="6">
        <v>0.5556</v>
      </c>
      <c r="M1009" s="6">
        <v>-1.2056</v>
      </c>
      <c r="N1009" s="6">
        <v>0.1111</v>
      </c>
      <c r="O1009" s="6">
        <v>0.1111</v>
      </c>
      <c r="P1009" s="6">
        <v>0.6667</v>
      </c>
      <c r="Q1009" s="7"/>
      <c r="R1009" s="7"/>
    </row>
    <row r="1010" spans="1:18">
      <c r="A1010" s="4" t="s">
        <v>1368</v>
      </c>
      <c r="B1010" s="4">
        <f t="shared" si="15"/>
        <v>3</v>
      </c>
      <c r="C1010" s="4" t="s">
        <v>1232</v>
      </c>
      <c r="D1010" s="1" t="str">
        <f>IFERROR(VLOOKUP(A1010,[1]biopep_DB!$F$2:$J$1654,5,0),)</f>
        <v>Antihypertensive effect of angiotensin I-converting enzyme inhibitory peptides from a sesame protein hydrolysate in spontaneously hypertensive rats.; Vegetable foods: a cheap source of proteins and peptides with antihypertensive, antioxidant, and other less occurrence bioactivities.; What are the ideal properties for functional food peptides with antihypertensive effect? A computational peptidology approach.; Novel probiotic-fermented milk with angiotensin I-converting enzyme inhibitory peptides produced by Bifidobacterium bifidum MF 20/5.; Isolation and characterization of peptides with antihypertensive activity in foodstuffs.</v>
      </c>
      <c r="E1010" s="1" t="str">
        <f>IFERROR(VLOOKUP(A1010,[1]biopep_DB!$F$2:$L$1654,6,0),0)</f>
        <v>10.1271/bbb.70.1118; 10.1016/j.talanta.2012.12.041; 10.1016/j.foodchem.2013.05.140; 10.1016/j.ijfoodmicro.2013.09.002; 10.1080/10408398.2012.664829</v>
      </c>
      <c r="F1010" s="1" t="str">
        <f>IFERROR(VLOOKUP(A1010,[1]biopep_DB!$F$2:$L$1654,7,0),0)</f>
        <v>16717411 23598136 23871047 24135669 24915368</v>
      </c>
      <c r="G1010" s="5">
        <v>393.48</v>
      </c>
      <c r="H1010" s="5">
        <v>5.52</v>
      </c>
      <c r="I1010" s="5">
        <v>-0.24</v>
      </c>
      <c r="J1010" s="6">
        <v>2.2333</v>
      </c>
      <c r="K1010" s="5">
        <v>-18.47</v>
      </c>
      <c r="L1010" s="6">
        <v>0.6667</v>
      </c>
      <c r="M1010" s="6">
        <v>-2.94</v>
      </c>
      <c r="N1010" s="6">
        <v>0.3333</v>
      </c>
      <c r="O1010" s="6">
        <v>0</v>
      </c>
      <c r="P1010" s="6">
        <v>1</v>
      </c>
      <c r="Q1010" s="7"/>
      <c r="R1010" s="7"/>
    </row>
    <row r="1011" spans="1:18">
      <c r="A1011" s="4" t="s">
        <v>1369</v>
      </c>
      <c r="B1011" s="4">
        <f t="shared" si="15"/>
        <v>4</v>
      </c>
      <c r="C1011" s="4" t="s">
        <v>1370</v>
      </c>
      <c r="D1011" s="1" t="str">
        <f>IFERROR(VLOOKUP(A1011,[1]biopep_DB!$F$2:$J$1654,5,0),)</f>
        <v>Inhibition of angiotensin-converting enzyme by synthetic peptide fragments of various beta-caseins.; Evaluation of the allergenicity of goat milk, cow milk, and their lactosera in a guinea pig model.; Rational design of angiotensin-I-converting enzyme inhibitory peptides by integrating in silico modeling and an in vitro assay.; What are the ideal properties for functional food peptides with antihypertensive effect? A computational peptidology approach.</v>
      </c>
      <c r="E1011" s="1" t="str">
        <f>IFERROR(VLOOKUP(A1011,[1]biopep_DB!$F$2:$L$1654,6,0),0)</f>
        <v>10.3168/jds.2008-1125; 10.1002/cmdc.201300132; 10.1016/j.foodchem.2013.05.140</v>
      </c>
      <c r="F1011" s="1" t="str">
        <f>IFERROR(VLOOKUP(A1011,[1]biopep_DB!$F$2:$L$1654,7,0),0)</f>
        <v>1368548 19233776 23740817 23871047</v>
      </c>
      <c r="G1011" s="5">
        <v>490.59</v>
      </c>
      <c r="H1011" s="5">
        <v>5.52</v>
      </c>
      <c r="I1011" s="5">
        <v>-0.24</v>
      </c>
      <c r="J1011" s="6">
        <v>1.275</v>
      </c>
      <c r="K1011" s="5">
        <v>19.5</v>
      </c>
      <c r="L1011" s="6">
        <v>0.75</v>
      </c>
      <c r="M1011" s="6">
        <v>-2.205</v>
      </c>
      <c r="N1011" s="6">
        <v>0.25</v>
      </c>
      <c r="O1011" s="6">
        <v>0.25</v>
      </c>
      <c r="P1011" s="6">
        <v>0.75</v>
      </c>
      <c r="Q1011" s="7"/>
      <c r="R1011" s="7"/>
    </row>
    <row r="1012" spans="1:18">
      <c r="A1012" s="4" t="s">
        <v>1371</v>
      </c>
      <c r="B1012" s="4">
        <f t="shared" si="15"/>
        <v>6</v>
      </c>
      <c r="C1012" s="4" t="s">
        <v>1372</v>
      </c>
      <c r="D1012" s="1" t="str">
        <f>IFERROR(VLOOKUP(A1012,[1]biopep_DB!$F$2:$J$1654,5,0),)</f>
        <v>Novel probiotic-fermented milk with angiotensin I-converting enzyme inhibitory peptides produced by Bifidobacterium bifidum MF 20/5.</v>
      </c>
      <c r="E1012" s="1" t="str">
        <f>IFERROR(VLOOKUP(A1012,[1]biopep_DB!$F$2:$L$1654,6,0),0)</f>
        <v>10.1016/j.ijfoodmicro.2013.09.002</v>
      </c>
      <c r="F1012" s="1" t="str">
        <f>IFERROR(VLOOKUP(A1012,[1]biopep_DB!$F$2:$L$1654,7,0),0)</f>
        <v>24135669</v>
      </c>
      <c r="G1012" s="5">
        <v>734.88</v>
      </c>
      <c r="H1012" s="5">
        <v>5.52</v>
      </c>
      <c r="I1012" s="5">
        <v>-0.24</v>
      </c>
      <c r="J1012" s="6">
        <v>1.05</v>
      </c>
      <c r="K1012" s="5">
        <v>80.53</v>
      </c>
      <c r="L1012" s="6">
        <v>0.8333</v>
      </c>
      <c r="M1012" s="6">
        <v>-1.9667</v>
      </c>
      <c r="N1012" s="6">
        <v>0.1667</v>
      </c>
      <c r="O1012" s="6">
        <v>0.3333</v>
      </c>
      <c r="P1012" s="6">
        <v>0.6667</v>
      </c>
      <c r="Q1012" s="7"/>
      <c r="R1012" s="7"/>
    </row>
    <row r="1013" spans="1:18">
      <c r="A1013" s="4" t="s">
        <v>1373</v>
      </c>
      <c r="B1013" s="4">
        <f t="shared" si="15"/>
        <v>8</v>
      </c>
      <c r="C1013" s="4" t="s">
        <v>1374</v>
      </c>
      <c r="D1013" s="1" t="str">
        <f>IFERROR(VLOOKUP(A1013,[1]biopep_DB!$F$2:$J$1654,5,0),)</f>
        <v>Angiotensin I-converting-enzyme-inhibitory and antibacterial peptides from Lactobacillus helveticus PR4 proteinase-hydrolyzed caseins of milk from six species.; Angiotensin I converting enzyme-inhibitory activity of bovine, ovine, and caprine kappa-casein macropeptides and their tryptic hydrolysates.; A new QSAR model, for angiotensin I-converting enzyme inhibitory oligopeptides.</v>
      </c>
      <c r="E1013" s="1" t="str">
        <f>IFERROR(VLOOKUP(A1013,[1]biopep_DB!$F$2:$L$1654,6,0),0)</f>
        <v>10.1128/AEM.69.9.5297-5305.2003; 10.4315/0362-028x-66.9.1686; 10.1016/j.foodchem.2012.09.092</v>
      </c>
      <c r="F1013" s="1" t="str">
        <f>IFERROR(VLOOKUP(A1013,[1]biopep_DB!$F$2:$L$1654,7,0),0)</f>
        <v>12957917 14503726 23194537</v>
      </c>
      <c r="G1013" s="5">
        <v>889.05</v>
      </c>
      <c r="H1013" s="5">
        <v>5.52</v>
      </c>
      <c r="I1013" s="5">
        <v>-0.24</v>
      </c>
      <c r="J1013" s="6">
        <v>0.5375</v>
      </c>
      <c r="K1013" s="5">
        <v>62.9</v>
      </c>
      <c r="L1013" s="6">
        <v>0.75</v>
      </c>
      <c r="M1013" s="6">
        <v>-1.5925</v>
      </c>
      <c r="N1013" s="6">
        <v>0.125</v>
      </c>
      <c r="O1013" s="6">
        <v>0.5</v>
      </c>
      <c r="P1013" s="6">
        <v>0.5</v>
      </c>
      <c r="Q1013" s="7"/>
      <c r="R1013" s="7"/>
    </row>
    <row r="1014" spans="1:18">
      <c r="A1014" s="4" t="s">
        <v>1375</v>
      </c>
      <c r="B1014" s="4">
        <f t="shared" si="15"/>
        <v>9</v>
      </c>
      <c r="C1014" s="4"/>
      <c r="D1014" s="1" t="str">
        <f>IFERROR(VLOOKUP(A1014,[1]biopep_DB!$F$2:$J$1654,5,0),)</f>
        <v>Angiotensin I-converting-enzyme-inhibitory and antibacterial peptides from Lactobacillus helveticus PR4 proteinase-hydrolyzed caseins of milk from six species.; QSAR study on angiotensin-converting enzyme inhibitor oligopeptides based on a novel set of sequence information descriptors.</v>
      </c>
      <c r="E1014" s="1" t="str">
        <f>IFERROR(VLOOKUP(A1014,[1]biopep_DB!$F$2:$L$1654,6,0),0)</f>
        <v>10.1128/AEM.69.9.5297-5305.2003; 10.1007/s00894-010-0862-x</v>
      </c>
      <c r="F1014" s="1" t="str">
        <f>IFERROR(VLOOKUP(A1014,[1]biopep_DB!$F$2:$L$1654,7,0),0)</f>
        <v>12957917 20941517</v>
      </c>
      <c r="G1014" s="5">
        <v>1002.21</v>
      </c>
      <c r="H1014" s="5">
        <v>5.52</v>
      </c>
      <c r="I1014" s="5">
        <v>-0.24</v>
      </c>
      <c r="J1014" s="6">
        <v>0.9778</v>
      </c>
      <c r="K1014" s="5">
        <v>57.02</v>
      </c>
      <c r="L1014" s="6">
        <v>0.7778</v>
      </c>
      <c r="M1014" s="6">
        <v>-1.9622</v>
      </c>
      <c r="N1014" s="6">
        <v>0.1111</v>
      </c>
      <c r="O1014" s="6">
        <v>0.4444</v>
      </c>
      <c r="P1014" s="6">
        <v>0.5556</v>
      </c>
      <c r="Q1014" s="7"/>
      <c r="R1014" s="7"/>
    </row>
    <row r="1015" spans="1:18">
      <c r="A1015" s="4" t="s">
        <v>1376</v>
      </c>
      <c r="B1015" s="4">
        <f t="shared" si="15"/>
        <v>10</v>
      </c>
      <c r="C1015" s="4"/>
      <c r="D1015" s="1" t="str">
        <f>IFERROR(VLOOKUP(A1015,[1]biopep_DB!$F$2:$J$1654,5,0),)</f>
        <v/>
      </c>
      <c r="E1015" s="1" t="str">
        <f>IFERROR(VLOOKUP(A1015,[1]biopep_DB!$F$2:$L$1654,6,0),0)</f>
        <v/>
      </c>
      <c r="F1015" s="1" t="str">
        <f>IFERROR(VLOOKUP(A1015,[1]biopep_DB!$F$2:$L$1654,7,0),0)</f>
        <v/>
      </c>
      <c r="G1015" s="5">
        <v>1139.34</v>
      </c>
      <c r="H1015" s="5">
        <v>6.74</v>
      </c>
      <c r="I1015" s="5">
        <v>-0.15</v>
      </c>
      <c r="J1015" s="6">
        <v>0.56</v>
      </c>
      <c r="K1015" s="5">
        <v>64.66</v>
      </c>
      <c r="L1015" s="6">
        <v>0.7</v>
      </c>
      <c r="M1015" s="6">
        <v>-1.667</v>
      </c>
      <c r="N1015" s="6">
        <v>0.1</v>
      </c>
      <c r="O1015" s="6">
        <v>0.4</v>
      </c>
      <c r="P1015" s="6">
        <v>0.5</v>
      </c>
      <c r="Q1015" s="7"/>
      <c r="R1015" s="7"/>
    </row>
    <row r="1016" spans="1:18">
      <c r="A1016" s="4" t="s">
        <v>1377</v>
      </c>
      <c r="B1016" s="4">
        <f t="shared" si="15"/>
        <v>14</v>
      </c>
      <c r="C1016" s="4" t="s">
        <v>1378</v>
      </c>
      <c r="D1016" s="1" t="str">
        <f>IFERROR(VLOOKUP(A1016,[1]biopep_DB!$F$2:$J$1654,5,0),)</f>
        <v/>
      </c>
      <c r="E1016" s="1" t="str">
        <f>IFERROR(VLOOKUP(A1016,[1]biopep_DB!$F$2:$L$1654,6,0),0)</f>
        <v/>
      </c>
      <c r="F1016" s="1" t="str">
        <f>IFERROR(VLOOKUP(A1016,[1]biopep_DB!$F$2:$L$1654,7,0),0)</f>
        <v/>
      </c>
      <c r="G1016" s="5">
        <v>1550.8</v>
      </c>
      <c r="H1016" s="5">
        <v>6.74</v>
      </c>
      <c r="I1016" s="5">
        <v>-0.15</v>
      </c>
      <c r="J1016" s="6">
        <v>0.25</v>
      </c>
      <c r="K1016" s="5">
        <v>79.71</v>
      </c>
      <c r="L1016" s="6">
        <v>0.6429</v>
      </c>
      <c r="M1016" s="6">
        <v>-1.3664</v>
      </c>
      <c r="N1016" s="6">
        <v>0.1429</v>
      </c>
      <c r="O1016" s="6">
        <v>0.5</v>
      </c>
      <c r="P1016" s="6">
        <v>0.4286</v>
      </c>
      <c r="Q1016" s="7"/>
      <c r="R1016" s="7"/>
    </row>
    <row r="1017" spans="1:18">
      <c r="A1017" s="4" t="s">
        <v>1379</v>
      </c>
      <c r="B1017" s="4">
        <f t="shared" si="15"/>
        <v>11</v>
      </c>
      <c r="C1017" s="4" t="s">
        <v>1380</v>
      </c>
      <c r="D1017" s="1" t="str">
        <f>IFERROR(VLOOKUP(A1017,[1]biopep_DB!$F$2:$J$1654,5,0),)</f>
        <v>Antihypertensive peptides: production, bioavailability and incorporation into foods.</v>
      </c>
      <c r="E1017" s="1" t="str">
        <f>IFERROR(VLOOKUP(A1017,[1]biopep_DB!$F$2:$L$1654,6,0),0)</f>
        <v>10.1016/j.cis.2010.11.001</v>
      </c>
      <c r="F1017" s="1" t="str">
        <f>IFERROR(VLOOKUP(A1017,[1]biopep_DB!$F$2:$L$1654,7,0),0)</f>
        <v>21185549</v>
      </c>
      <c r="G1017" s="5">
        <v>1213.42</v>
      </c>
      <c r="H1017" s="5">
        <v>5.52</v>
      </c>
      <c r="I1017" s="5">
        <v>-0.24</v>
      </c>
      <c r="J1017" s="6">
        <v>0.3364</v>
      </c>
      <c r="K1017" s="5">
        <v>45.85</v>
      </c>
      <c r="L1017" s="6">
        <v>0.7273</v>
      </c>
      <c r="M1017" s="6">
        <v>-1.4582</v>
      </c>
      <c r="N1017" s="6">
        <v>0.0909</v>
      </c>
      <c r="O1017" s="6">
        <v>0.5455</v>
      </c>
      <c r="P1017" s="6">
        <v>0.4545</v>
      </c>
      <c r="Q1017" s="7"/>
      <c r="R1017" s="7"/>
    </row>
    <row r="1018" spans="1:18">
      <c r="A1018" s="4" t="s">
        <v>1381</v>
      </c>
      <c r="B1018" s="4">
        <f t="shared" si="15"/>
        <v>14</v>
      </c>
      <c r="C1018" s="4" t="s">
        <v>1382</v>
      </c>
      <c r="D1018" s="1" t="str">
        <f>IFERROR(VLOOKUP(A1018,[1]biopep_DB!$F$2:$J$1654,5,0),)</f>
        <v/>
      </c>
      <c r="E1018" s="1" t="str">
        <f>IFERROR(VLOOKUP(A1018,[1]biopep_DB!$F$2:$L$1654,6,0),0)</f>
        <v/>
      </c>
      <c r="F1018" s="1" t="str">
        <f>IFERROR(VLOOKUP(A1018,[1]biopep_DB!$F$2:$L$1654,7,0),0)</f>
        <v/>
      </c>
      <c r="G1018" s="5">
        <v>1510.77</v>
      </c>
      <c r="H1018" s="5">
        <v>5.52</v>
      </c>
      <c r="I1018" s="5">
        <v>-0.24</v>
      </c>
      <c r="J1018" s="6">
        <v>0.3643</v>
      </c>
      <c r="K1018" s="5">
        <v>51.93</v>
      </c>
      <c r="L1018" s="6">
        <v>0.7143</v>
      </c>
      <c r="M1018" s="6">
        <v>-1.4371</v>
      </c>
      <c r="N1018" s="6">
        <v>0.1429</v>
      </c>
      <c r="O1018" s="6">
        <v>0.5714</v>
      </c>
      <c r="P1018" s="6">
        <v>0.4286</v>
      </c>
      <c r="Q1018" s="7"/>
      <c r="R1018" s="7"/>
    </row>
    <row r="1019" spans="1:18">
      <c r="A1019" s="4" t="s">
        <v>1383</v>
      </c>
      <c r="B1019" s="4">
        <f t="shared" si="15"/>
        <v>16</v>
      </c>
      <c r="C1019" s="4"/>
      <c r="G1019" s="5">
        <v>1753.01</v>
      </c>
      <c r="H1019" s="5">
        <v>5.52</v>
      </c>
      <c r="I1019" s="5">
        <v>-0.24</v>
      </c>
      <c r="J1019" s="6">
        <v>-0.1188</v>
      </c>
      <c r="K1019" s="5">
        <v>58.73</v>
      </c>
      <c r="L1019" s="6">
        <v>0.625</v>
      </c>
      <c r="M1019" s="6">
        <v>-1.0712</v>
      </c>
      <c r="N1019" s="6">
        <v>0.125</v>
      </c>
      <c r="O1019" s="6">
        <v>0.5625</v>
      </c>
      <c r="P1019" s="6">
        <v>0.375</v>
      </c>
      <c r="Q1019" s="7"/>
      <c r="R1019" s="7"/>
    </row>
    <row r="1020" spans="1:18">
      <c r="A1020" s="4" t="s">
        <v>1384</v>
      </c>
      <c r="B1020" s="4">
        <f t="shared" si="15"/>
        <v>19</v>
      </c>
      <c r="C1020" s="4" t="s">
        <v>1096</v>
      </c>
      <c r="D1020" s="1" t="str">
        <f>IFERROR(VLOOKUP(A1020,[1]biopep_DB!$F$2:$J$1654,5,0),)</f>
        <v>Angiotensin I-converting-enzyme-inhibitory and antibacterial peptides from Lactobacillus helveticus PR4 proteinase-hydrolyzed caseins of milk from six species.; Antihypertensive effect of peptides obtained from Enterococcus faecalis-fermented milk in rats.; Antihypertensive peptides: production, bioavailability and incorporation into foods.; Antihypertensive peptides from food proteins: a review.; A new QSAR model, for angiotensin I-converting enzyme inhibitory oligopeptides.</v>
      </c>
      <c r="E1020" s="1" t="str">
        <f>IFERROR(VLOOKUP(A1020,[1]biopep_DB!$F$2:$L$1654,6,0),0)</f>
        <v>10.1128/AEM.69.9.5297-5305.2003; 10.3168/jds.S0022-0302(06)72372-4; 10.1016/j.cis.2010.11.001; 10.1039/c2fo10192k; 10.1016/j.foodchem.2012.09.092</v>
      </c>
      <c r="F1020" s="1" t="str">
        <f>IFERROR(VLOOKUP(A1020,[1]biopep_DB!$F$2:$L$1654,7,0),0)</f>
        <v>12957917 16899668 21185549 22249830 23194537</v>
      </c>
      <c r="G1020" s="5">
        <v>2060.39</v>
      </c>
      <c r="H1020" s="5">
        <v>5.52</v>
      </c>
      <c r="I1020" s="5">
        <v>-0.24</v>
      </c>
      <c r="J1020" s="6">
        <v>-0.0316</v>
      </c>
      <c r="K1020" s="5">
        <v>82.78</v>
      </c>
      <c r="L1020" s="6">
        <v>0.6842</v>
      </c>
      <c r="M1020" s="6">
        <v>-1.1611</v>
      </c>
      <c r="N1020" s="6">
        <v>0.1053</v>
      </c>
      <c r="O1020" s="6">
        <v>0.5789</v>
      </c>
      <c r="P1020" s="6">
        <v>0.3684</v>
      </c>
      <c r="Q1020" s="7"/>
      <c r="R1020" s="7"/>
    </row>
    <row r="1021" spans="1:18">
      <c r="A1021" s="4" t="s">
        <v>1385</v>
      </c>
      <c r="B1021" s="4">
        <f t="shared" si="15"/>
        <v>11</v>
      </c>
      <c r="C1021" s="4" t="s">
        <v>1380</v>
      </c>
      <c r="D1021" s="1" t="str">
        <f>IFERROR(VLOOKUP(A1021,[1]biopep_DB!$F$2:$J$1654,5,0),)</f>
        <v>Angiotensin-converting enzyme inhibitory activity of peptides derived from caprine kefir.; Antihypertensive peptides from food proteins: a review.; Isolation and characterization of peptides with antihypertensive activity in foodstuffs.</v>
      </c>
      <c r="E1021" s="1" t="str">
        <f>IFERROR(VLOOKUP(A1021,[1]biopep_DB!$F$2:$L$1654,6,0),0)</f>
        <v>10.3168/jds.S0022-0302(05)73032-0; 10.1039/c2fo10192k; 10.1080/10408398.2012.664829</v>
      </c>
      <c r="F1021" s="1" t="str">
        <f>IFERROR(VLOOKUP(A1021,[1]biopep_DB!$F$2:$L$1654,7,0),0)</f>
        <v>16162521 22249830 24915368</v>
      </c>
      <c r="G1021" s="5">
        <v>1217.41</v>
      </c>
      <c r="H1021" s="5">
        <v>5.52</v>
      </c>
      <c r="I1021" s="5">
        <v>-0.24</v>
      </c>
      <c r="J1021" s="6">
        <v>0.4182</v>
      </c>
      <c r="K1021" s="5">
        <v>20.63</v>
      </c>
      <c r="L1021" s="6">
        <v>0.6364</v>
      </c>
      <c r="M1021" s="6">
        <v>-1.4345</v>
      </c>
      <c r="N1021" s="6">
        <v>0.0909</v>
      </c>
      <c r="O1021" s="6">
        <v>0.4545</v>
      </c>
      <c r="P1021" s="6">
        <v>0.5455</v>
      </c>
      <c r="Q1021" s="7"/>
      <c r="R1021" s="7"/>
    </row>
    <row r="1022" spans="1:18">
      <c r="A1022" s="4" t="s">
        <v>1386</v>
      </c>
      <c r="B1022" s="4">
        <f t="shared" si="15"/>
        <v>2</v>
      </c>
      <c r="C1022" s="4" t="s">
        <v>31</v>
      </c>
      <c r="D1022" s="1" t="str">
        <f>IFERROR(VLOOKUP(A1022,[1]biopep_DB!$F$2:$J$1654,5,0),)</f>
        <v>Angiotensin I-converting enzyme inhibitory peptides derived from wakame (Undaria pinnatifida) and their antihypertensive effect in spontaneously hypertensive rats.;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Bioactive peptides in amaranth (Amaranthus hypochondriacus) seed.; Angiotensin I converting enzyme inhibitory peptides from simulated in vitro gastrointestinal digestion of cooked eggs.; Antihypertensive peptides from food proteins: a review.;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1022" s="1" t="str">
        <f>IFERROR(VLOOKUP(A1022,[1]biopep_DB!$F$2:$L$1654,6,0),0)</f>
        <v>10.1021/jf020482t; 10.1021/jf051263l; 10.1002/psc.892; 10.1021/jf072911z; 10.1021/jf8028557; 10.1039/c2fo10192k; 10.1007/s12010-012-0024-y; 10.1016/j.talanta.2012.12.041; 10.1016/j.foodchem.2013.05.140; 10.1080/10408398.2012.664829</v>
      </c>
      <c r="F1022" s="1" t="str">
        <f>IFERROR(VLOOKUP(A1022,[1]biopep_DB!$F$2:$L$1654,7,0),0)</f>
        <v>12358510 16448176 17654623 18211015 19154160 22249830 23271625 23598136 23871047 24915368</v>
      </c>
      <c r="G1022" s="5">
        <v>317.38</v>
      </c>
      <c r="H1022" s="5">
        <v>5.53</v>
      </c>
      <c r="I1022" s="5">
        <v>-0.24</v>
      </c>
      <c r="J1022" s="6">
        <v>1.45</v>
      </c>
      <c r="K1022" s="5">
        <v>123.4</v>
      </c>
      <c r="L1022" s="6">
        <v>1</v>
      </c>
      <c r="M1022" s="6">
        <v>-3.625</v>
      </c>
      <c r="N1022" s="6">
        <v>0.5</v>
      </c>
      <c r="O1022" s="6">
        <v>0</v>
      </c>
      <c r="P1022" s="6">
        <v>1</v>
      </c>
      <c r="Q1022" s="7"/>
      <c r="R1022" s="7"/>
    </row>
    <row r="1023" spans="1:18">
      <c r="A1023" s="4" t="s">
        <v>1387</v>
      </c>
      <c r="B1023" s="4">
        <f t="shared" si="15"/>
        <v>3</v>
      </c>
      <c r="C1023" s="4" t="s">
        <v>36</v>
      </c>
      <c r="D1023" s="1" t="str">
        <f>IFERROR(VLOOKUP(A1023,[1]biopep_DB!$F$2:$J$1654,5,0),)</f>
        <v>Structural requirements of Angiotensin I-converting enzyme inhibitory peptides: quantitative structure-activity relationship study of di- and tripeptides.</v>
      </c>
      <c r="E1023" s="1" t="str">
        <f>IFERROR(VLOOKUP(A1023,[1]biopep_DB!$F$2:$L$1654,6,0),0)</f>
        <v>10.1021/jf051263l</v>
      </c>
      <c r="F1023" s="1" t="str">
        <f>IFERROR(VLOOKUP(A1023,[1]biopep_DB!$F$2:$L$1654,7,0),0)</f>
        <v>16448176</v>
      </c>
      <c r="G1023" s="5">
        <v>388.46</v>
      </c>
      <c r="H1023" s="5">
        <v>5.53</v>
      </c>
      <c r="I1023" s="5">
        <v>-0.24</v>
      </c>
      <c r="J1023" s="6">
        <v>1.5667</v>
      </c>
      <c r="K1023" s="5">
        <v>35.5</v>
      </c>
      <c r="L1023" s="6">
        <v>1</v>
      </c>
      <c r="M1023" s="6">
        <v>-3.02</v>
      </c>
      <c r="N1023" s="6">
        <v>0.6667</v>
      </c>
      <c r="O1023" s="6">
        <v>0</v>
      </c>
      <c r="P1023" s="6">
        <v>0.6667</v>
      </c>
      <c r="Q1023" s="7"/>
      <c r="R1023" s="7"/>
    </row>
    <row r="1024" spans="1:18">
      <c r="A1024" s="4" t="s">
        <v>1388</v>
      </c>
      <c r="B1024" s="4">
        <f t="shared" si="15"/>
        <v>2</v>
      </c>
      <c r="C1024" s="4" t="s">
        <v>36</v>
      </c>
      <c r="D1024" s="1" t="str">
        <f>IFERROR(VLOOKUP(A1024,[1]biopep_DB!$F$2:$J$1654,5,0),)</f>
        <v>Angiotensin I-converting enzyme inhibitory peptides in an alkaline protease hydrolyzate derived from sardine muscle.; Isolation from alpha-zein of thermolysin peptides with angiotensin I-converting enzyme inhibitory activity.;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Bioactive peptides in amaranth (Amaranthus hypochondriacus) seed.; Assessing the dependence of (51)V A(z) value on the aromatic ring orientation of V(IV)O(2+) pyridine complexes.; Review on the angiotensin-I-converting enzyme (ACE) inhibitor peptides from marine proteins.;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1024" s="1" t="str">
        <f>IFERROR(VLOOKUP(A1024,[1]biopep_DB!$F$2:$L$1654,6,0),0)</f>
        <v>10.1271/bbb.58.2244; 10.1271/bbb.60.661; 10.1021/jf051263l; 10.1002/psc.892; 10.1021/jf072911z; 10.1021/ic9001779; 10.1007/s12010-012-0024-y; 10.1016/j.jprot.2013.06.023; 10.1016/j.foodchem.2013.05.140</v>
      </c>
      <c r="F1024" s="1" t="str">
        <f>IFERROR(VLOOKUP(A1024,[1]biopep_DB!$F$2:$L$1654,7,0),0)</f>
        <v>7765718 8829536 16448176 17654623 18211015 19449891 23271625 23806758 23871047</v>
      </c>
      <c r="G1024" s="5">
        <v>294.35</v>
      </c>
      <c r="H1024" s="5">
        <v>5.52</v>
      </c>
      <c r="I1024" s="5">
        <v>-0.24</v>
      </c>
      <c r="J1024" s="6">
        <v>1.25</v>
      </c>
      <c r="K1024" s="5">
        <v>5</v>
      </c>
      <c r="L1024" s="6">
        <v>0.5</v>
      </c>
      <c r="M1024" s="6">
        <v>-2.39</v>
      </c>
      <c r="N1024" s="6">
        <v>0.5</v>
      </c>
      <c r="O1024" s="6">
        <v>0</v>
      </c>
      <c r="P1024" s="6">
        <v>1</v>
      </c>
      <c r="Q1024" s="7"/>
      <c r="R1024" s="7"/>
    </row>
    <row r="1025" spans="1:18">
      <c r="A1025" s="4" t="s">
        <v>1389</v>
      </c>
      <c r="B1025" s="4">
        <f t="shared" si="15"/>
        <v>5</v>
      </c>
      <c r="C1025" s="4" t="s">
        <v>31</v>
      </c>
      <c r="D1025" s="1" t="str">
        <f>IFERROR(VLOOKUP(A1025,[1]biopep_DB!$F$2:$J$1654,5,0),)</f>
        <v/>
      </c>
      <c r="E1025" s="1" t="str">
        <f>IFERROR(VLOOKUP(A1025,[1]biopep_DB!$F$2:$L$1654,6,0),0)</f>
        <v/>
      </c>
      <c r="F1025" s="1" t="str">
        <f>IFERROR(VLOOKUP(A1025,[1]biopep_DB!$F$2:$L$1654,7,0),0)</f>
        <v/>
      </c>
      <c r="G1025" s="5">
        <v>593.67</v>
      </c>
      <c r="H1025" s="5">
        <v>8.59</v>
      </c>
      <c r="I1025" s="5">
        <v>0.76</v>
      </c>
      <c r="J1025" s="6">
        <v>-1.06</v>
      </c>
      <c r="K1025" s="5">
        <v>-22.06</v>
      </c>
      <c r="L1025" s="6">
        <v>0.2</v>
      </c>
      <c r="M1025" s="6">
        <v>-0.504</v>
      </c>
      <c r="N1025" s="6">
        <v>0.4</v>
      </c>
      <c r="O1025" s="6">
        <v>0.4</v>
      </c>
      <c r="P1025" s="6">
        <v>0.4</v>
      </c>
      <c r="Q1025" s="7"/>
      <c r="R1025" s="7"/>
    </row>
    <row r="1026" spans="1:18">
      <c r="A1026" s="4" t="s">
        <v>1390</v>
      </c>
      <c r="B1026" s="4">
        <f t="shared" si="15"/>
        <v>3</v>
      </c>
      <c r="C1026" s="4" t="s">
        <v>31</v>
      </c>
      <c r="D1026" s="1" t="str">
        <f>IFERROR(VLOOKUP(A1026,[1]biopep_DB!$F$2:$J$1654,5,0),)</f>
        <v>Structural requirements of Angiotensin I-converting enzyme inhibitory peptides: quantitative structure-activity relationship study of di- and tripeptides.</v>
      </c>
      <c r="E1026" s="1" t="str">
        <f>IFERROR(VLOOKUP(A1026,[1]biopep_DB!$F$2:$L$1654,6,0),0)</f>
        <v>10.1021/jf051263l</v>
      </c>
      <c r="F1026" s="1" t="str">
        <f>IFERROR(VLOOKUP(A1026,[1]biopep_DB!$F$2:$L$1654,7,0),0)</f>
        <v>16448176</v>
      </c>
      <c r="G1026" s="5">
        <v>391.46</v>
      </c>
      <c r="H1026" s="5">
        <v>5.52</v>
      </c>
      <c r="I1026" s="5">
        <v>-0.24</v>
      </c>
      <c r="J1026" s="6">
        <v>0.3</v>
      </c>
      <c r="K1026" s="5">
        <v>47.8</v>
      </c>
      <c r="L1026" s="6">
        <v>0.6667</v>
      </c>
      <c r="M1026" s="6">
        <v>-1.5933</v>
      </c>
      <c r="N1026" s="6">
        <v>0.3333</v>
      </c>
      <c r="O1026" s="6">
        <v>0.3333</v>
      </c>
      <c r="P1026" s="6">
        <v>0.6667</v>
      </c>
      <c r="Q1026" s="7"/>
      <c r="R1026" s="7"/>
    </row>
    <row r="1027" spans="1:18">
      <c r="A1027" s="4" t="s">
        <v>1391</v>
      </c>
      <c r="B1027" s="4">
        <f t="shared" si="15"/>
        <v>5</v>
      </c>
      <c r="C1027" s="4" t="s">
        <v>1392</v>
      </c>
      <c r="D1027" s="1" t="str">
        <f>IFERROR(VLOOKUP(A1027,[1]biopep_DB!$F$2:$J$1654,5,0),)</f>
        <v>A new QSAR model, for angiotensin I-converting enzyme inhibitory oligopeptides.</v>
      </c>
      <c r="E1027" s="1" t="str">
        <f>IFERROR(VLOOKUP(A1027,[1]biopep_DB!$F$2:$L$1654,6,0),0)</f>
        <v>10.1016/j.foodchem.2012.09.092</v>
      </c>
      <c r="F1027" s="1" t="str">
        <f>IFERROR(VLOOKUP(A1027,[1]biopep_DB!$F$2:$L$1654,7,0),0)</f>
        <v>23194537</v>
      </c>
      <c r="G1027" s="5">
        <v>618.76</v>
      </c>
      <c r="H1027" s="5">
        <v>8.59</v>
      </c>
      <c r="I1027" s="5">
        <v>0.76</v>
      </c>
      <c r="J1027" s="6">
        <v>0.24</v>
      </c>
      <c r="K1027" s="5">
        <v>65.44</v>
      </c>
      <c r="L1027" s="6">
        <v>0.6</v>
      </c>
      <c r="M1027" s="6">
        <v>-1.448</v>
      </c>
      <c r="N1027" s="6">
        <v>0.4</v>
      </c>
      <c r="O1027" s="6">
        <v>0.2</v>
      </c>
      <c r="P1027" s="6">
        <v>0.6</v>
      </c>
      <c r="Q1027" s="7"/>
      <c r="R1027" s="7"/>
    </row>
    <row r="1028" spans="1:18">
      <c r="A1028" s="4" t="s">
        <v>1393</v>
      </c>
      <c r="B1028" s="4">
        <f t="shared" si="15"/>
        <v>4</v>
      </c>
      <c r="C1028" s="4"/>
      <c r="D1028" s="1" t="str">
        <f>IFERROR(VLOOKUP(A1028,[1]biopep_DB!$F$2:$J$1654,5,0),)</f>
        <v>Vegetable foods: a cheap source of proteins and peptides with antihypertensive, antioxidant, and other less occurrence bioactivities.</v>
      </c>
      <c r="E1028" s="1" t="str">
        <f>IFERROR(VLOOKUP(A1028,[1]biopep_DB!$F$2:$L$1654,6,0),0)</f>
        <v>10.1016/j.talanta.2012.12.041</v>
      </c>
      <c r="F1028" s="1" t="str">
        <f>IFERROR(VLOOKUP(A1028,[1]biopep_DB!$F$2:$L$1654,7,0),0)</f>
        <v>23598136</v>
      </c>
      <c r="G1028" s="5">
        <v>493.55</v>
      </c>
      <c r="H1028" s="5">
        <v>5.52</v>
      </c>
      <c r="I1028" s="5">
        <v>-0.24</v>
      </c>
      <c r="J1028" s="6">
        <v>0.2</v>
      </c>
      <c r="K1028" s="5">
        <v>7.5</v>
      </c>
      <c r="L1028" s="6">
        <v>0.5</v>
      </c>
      <c r="M1028" s="6">
        <v>-1.3075</v>
      </c>
      <c r="N1028" s="6">
        <v>0.5</v>
      </c>
      <c r="O1028" s="6">
        <v>0</v>
      </c>
      <c r="P1028" s="6">
        <v>0.5</v>
      </c>
      <c r="Q1028" s="7"/>
      <c r="R1028" s="7"/>
    </row>
    <row r="1029" spans="1:18">
      <c r="A1029" s="4" t="s">
        <v>1394</v>
      </c>
      <c r="B1029" s="4">
        <f t="shared" si="15"/>
        <v>5</v>
      </c>
      <c r="C1029" s="4" t="s">
        <v>31</v>
      </c>
      <c r="D1029" s="1" t="str">
        <f>IFERROR(VLOOKUP(A1029,[1]biopep_DB!$F$2:$J$1654,5,0),)</f>
        <v/>
      </c>
      <c r="E1029" s="1" t="str">
        <f>IFERROR(VLOOKUP(A1029,[1]biopep_DB!$F$2:$L$1654,6,0),0)</f>
        <v/>
      </c>
      <c r="F1029" s="1" t="str">
        <f>IFERROR(VLOOKUP(A1029,[1]biopep_DB!$F$2:$L$1654,7,0),0)</f>
        <v/>
      </c>
      <c r="G1029" s="5">
        <v>637.72</v>
      </c>
      <c r="H1029" s="5">
        <v>8.59</v>
      </c>
      <c r="I1029" s="5">
        <v>0.76</v>
      </c>
      <c r="J1029" s="6">
        <v>-1.14</v>
      </c>
      <c r="K1029" s="5">
        <v>8</v>
      </c>
      <c r="L1029" s="6">
        <v>0.2</v>
      </c>
      <c r="M1029" s="6">
        <v>-0.2</v>
      </c>
      <c r="N1029" s="6">
        <v>0.4</v>
      </c>
      <c r="O1029" s="6">
        <v>0.2</v>
      </c>
      <c r="P1029" s="6">
        <v>0.4</v>
      </c>
      <c r="Q1029" s="7"/>
      <c r="R1029" s="7"/>
    </row>
    <row r="1030" spans="1:18">
      <c r="A1030" s="4" t="s">
        <v>1395</v>
      </c>
      <c r="B1030" s="4">
        <f t="shared" ref="B1030:B1093" si="16">LEN(A1030)</f>
        <v>5</v>
      </c>
      <c r="C1030" s="4" t="s">
        <v>31</v>
      </c>
      <c r="D1030" s="1" t="str">
        <f>IFERROR(VLOOKUP(A1030,[1]biopep_DB!$F$2:$J$1654,5,0),)</f>
        <v/>
      </c>
      <c r="E1030" s="1" t="str">
        <f>IFERROR(VLOOKUP(A1030,[1]biopep_DB!$F$2:$L$1654,6,0),0)</f>
        <v/>
      </c>
      <c r="F1030" s="1" t="str">
        <f>IFERROR(VLOOKUP(A1030,[1]biopep_DB!$F$2:$L$1654,7,0),0)</f>
        <v/>
      </c>
      <c r="G1030" s="5">
        <v>621.69</v>
      </c>
      <c r="H1030" s="5">
        <v>8.75</v>
      </c>
      <c r="I1030" s="5">
        <v>0.76</v>
      </c>
      <c r="J1030" s="6">
        <v>-1.18</v>
      </c>
      <c r="K1030" s="5">
        <v>-31.2</v>
      </c>
      <c r="L1030" s="6">
        <v>0.2</v>
      </c>
      <c r="M1030" s="6">
        <v>-0.276</v>
      </c>
      <c r="N1030" s="6">
        <v>0.2</v>
      </c>
      <c r="O1030" s="6">
        <v>0.4</v>
      </c>
      <c r="P1030" s="6">
        <v>0.4</v>
      </c>
      <c r="Q1030" s="7"/>
      <c r="R1030" s="7"/>
    </row>
    <row r="1031" spans="1:18">
      <c r="A1031" s="4" t="s">
        <v>1396</v>
      </c>
      <c r="B1031" s="4">
        <f t="shared" si="16"/>
        <v>3</v>
      </c>
      <c r="C1031" s="4" t="s">
        <v>31</v>
      </c>
      <c r="D1031" s="1" t="str">
        <f>IFERROR(VLOOKUP(A1031,[1]biopep_DB!$F$2:$J$1654,5,0),)</f>
        <v/>
      </c>
      <c r="E1031" s="1" t="str">
        <f>IFERROR(VLOOKUP(A1031,[1]biopep_DB!$F$2:$L$1654,6,0),0)</f>
        <v/>
      </c>
      <c r="F1031" s="1" t="str">
        <f>IFERROR(VLOOKUP(A1031,[1]biopep_DB!$F$2:$L$1654,7,0),0)</f>
        <v/>
      </c>
      <c r="G1031" s="5">
        <v>480.56</v>
      </c>
      <c r="H1031" s="5">
        <v>5.52</v>
      </c>
      <c r="I1031" s="5">
        <v>-0.24</v>
      </c>
      <c r="J1031" s="6">
        <v>0.5333</v>
      </c>
      <c r="K1031" s="5">
        <v>-27.9</v>
      </c>
      <c r="L1031" s="6">
        <v>0.6667</v>
      </c>
      <c r="M1031" s="6">
        <v>-2.37</v>
      </c>
      <c r="N1031" s="6">
        <v>0.3333</v>
      </c>
      <c r="O1031" s="6">
        <v>0</v>
      </c>
      <c r="P1031" s="6">
        <v>1</v>
      </c>
      <c r="Q1031" s="7"/>
      <c r="R1031" s="7"/>
    </row>
    <row r="1032" spans="1:18">
      <c r="A1032" s="4" t="s">
        <v>1397</v>
      </c>
      <c r="B1032" s="4">
        <f t="shared" si="16"/>
        <v>2</v>
      </c>
      <c r="C1032" s="4" t="s">
        <v>1398</v>
      </c>
      <c r="D1032" s="1" t="str">
        <f>IFERROR(VLOOKUP(A1032,[1]biopep_DB!$F$2:$J$1654,5,0),)</f>
        <v>Bioactive peptides in amaranth (Amaranthus hypochondriacus) seed.</v>
      </c>
      <c r="E1032" s="1" t="str">
        <f>IFERROR(VLOOKUP(A1032,[1]biopep_DB!$F$2:$L$1654,6,0),0)</f>
        <v>10.1021/jf072911z</v>
      </c>
      <c r="F1032" s="1" t="str">
        <f>IFERROR(VLOOKUP(A1032,[1]biopep_DB!$F$2:$L$1654,7,0),0)</f>
        <v>18211015</v>
      </c>
      <c r="G1032" s="5">
        <v>220.29</v>
      </c>
      <c r="H1032" s="5">
        <v>5.28</v>
      </c>
      <c r="I1032" s="5">
        <v>-0.5</v>
      </c>
      <c r="J1032" s="6">
        <v>1.85</v>
      </c>
      <c r="K1032" s="5">
        <v>66.7</v>
      </c>
      <c r="L1032" s="6">
        <v>1</v>
      </c>
      <c r="M1032" s="6">
        <v>-2.08</v>
      </c>
      <c r="N1032" s="6">
        <v>1</v>
      </c>
      <c r="O1032" s="6">
        <v>0</v>
      </c>
      <c r="P1032" s="6">
        <v>0</v>
      </c>
      <c r="Q1032" s="7"/>
      <c r="R1032" s="7"/>
    </row>
    <row r="1033" spans="1:18">
      <c r="A1033" s="4" t="s">
        <v>1399</v>
      </c>
      <c r="B1033" s="4">
        <f t="shared" si="16"/>
        <v>6</v>
      </c>
      <c r="C1033" s="4"/>
      <c r="D1033" s="1" t="str">
        <f>IFERROR(VLOOKUP(A1033,[1]biopep_DB!$F$2:$J$1654,5,0),)</f>
        <v/>
      </c>
      <c r="E1033" s="1" t="str">
        <f>IFERROR(VLOOKUP(A1033,[1]biopep_DB!$F$2:$L$1654,6,0),0)</f>
        <v/>
      </c>
      <c r="F1033" s="1" t="str">
        <f>IFERROR(VLOOKUP(A1033,[1]biopep_DB!$F$2:$L$1654,7,0),0)</f>
        <v/>
      </c>
      <c r="G1033" s="5">
        <v>655.85</v>
      </c>
      <c r="H1033" s="5">
        <v>8.5</v>
      </c>
      <c r="I1033" s="5">
        <v>0.5</v>
      </c>
      <c r="J1033" s="6">
        <v>0.1833</v>
      </c>
      <c r="K1033" s="5">
        <v>56.2</v>
      </c>
      <c r="L1033" s="6">
        <v>0.8333</v>
      </c>
      <c r="M1033" s="6">
        <v>-1.25</v>
      </c>
      <c r="N1033" s="6">
        <v>0.5</v>
      </c>
      <c r="O1033" s="6">
        <v>0.3333</v>
      </c>
      <c r="P1033" s="6">
        <v>0.1667</v>
      </c>
      <c r="Q1033" s="7"/>
      <c r="R1033" s="7"/>
    </row>
    <row r="1034" spans="1:18">
      <c r="A1034" s="4" t="s">
        <v>1400</v>
      </c>
      <c r="B1034" s="4">
        <f t="shared" si="16"/>
        <v>7</v>
      </c>
      <c r="C1034" s="4" t="s">
        <v>1401</v>
      </c>
      <c r="D1034" s="1" t="str">
        <f>IFERROR(VLOOKUP(A1034,[1]biopep_DB!$F$2:$J$1654,5,0),)</f>
        <v>Antihypertensive peptides: production, bioavailability and incorporation into foods.</v>
      </c>
      <c r="E1034" s="1" t="str">
        <f>IFERROR(VLOOKUP(A1034,[1]biopep_DB!$F$2:$L$1654,6,0),0)</f>
        <v>10.1016/j.cis.2010.11.001</v>
      </c>
      <c r="F1034" s="1" t="str">
        <f>IFERROR(VLOOKUP(A1034,[1]biopep_DB!$F$2:$L$1654,7,0),0)</f>
        <v>21185549</v>
      </c>
      <c r="G1034" s="5">
        <v>784.02</v>
      </c>
      <c r="H1034" s="5">
        <v>10</v>
      </c>
      <c r="I1034" s="5">
        <v>1.5</v>
      </c>
      <c r="J1034" s="6">
        <v>-0.4</v>
      </c>
      <c r="K1034" s="5">
        <v>49.6</v>
      </c>
      <c r="L1034" s="6">
        <v>0.7143</v>
      </c>
      <c r="M1034" s="6">
        <v>-0.8457</v>
      </c>
      <c r="N1034" s="6">
        <v>0.5714</v>
      </c>
      <c r="O1034" s="6">
        <v>0.2857</v>
      </c>
      <c r="P1034" s="6">
        <v>0.1429</v>
      </c>
      <c r="Q1034" s="7"/>
      <c r="R1034" s="7"/>
    </row>
    <row r="1035" spans="1:18">
      <c r="A1035" s="4" t="s">
        <v>1402</v>
      </c>
      <c r="B1035" s="4">
        <f t="shared" si="16"/>
        <v>3</v>
      </c>
      <c r="C1035" s="4" t="s">
        <v>1403</v>
      </c>
      <c r="D1035" s="1" t="str">
        <f>IFERROR(VLOOKUP(A1035,[1]biopep_DB!$F$2:$J$1654,5,0),)</f>
        <v>Antihypertensive peptides from food proteins: a review.; Isolation and characterization of peptides with antihypertensive activity in foodstuffs.</v>
      </c>
      <c r="E1035" s="1" t="str">
        <f>IFERROR(VLOOKUP(A1035,[1]biopep_DB!$F$2:$L$1654,6,0),0)</f>
        <v>10.1039/c2fo10192k; 10.1080/10408398.2012.664829</v>
      </c>
      <c r="F1035" s="1" t="str">
        <f>IFERROR(VLOOKUP(A1035,[1]biopep_DB!$F$2:$L$1654,7,0),0)</f>
        <v>22249830 24915368</v>
      </c>
      <c r="G1035" s="5">
        <v>317.4</v>
      </c>
      <c r="H1035" s="5">
        <v>5.28</v>
      </c>
      <c r="I1035" s="5">
        <v>-0.5</v>
      </c>
      <c r="J1035" s="6">
        <v>0.7</v>
      </c>
      <c r="K1035" s="5">
        <v>112</v>
      </c>
      <c r="L1035" s="6">
        <v>1</v>
      </c>
      <c r="M1035" s="6">
        <v>-1.3867</v>
      </c>
      <c r="N1035" s="6">
        <v>0.6667</v>
      </c>
      <c r="O1035" s="6">
        <v>0.3333</v>
      </c>
      <c r="P1035" s="6">
        <v>0</v>
      </c>
      <c r="Q1035" s="7"/>
      <c r="R1035" s="7"/>
    </row>
    <row r="1036" spans="1:18">
      <c r="A1036" s="4" t="s">
        <v>1404</v>
      </c>
      <c r="B1036" s="4">
        <f t="shared" si="16"/>
        <v>3</v>
      </c>
      <c r="C1036" s="4" t="s">
        <v>1405</v>
      </c>
      <c r="D1036" s="1" t="str">
        <f>IFERROR(VLOOKUP(A1036,[1]biopep_DB!$F$2:$J$1654,5,0),)</f>
        <v>What are the ideal properties for functional food peptides with antihypertensive effect? A computational peptidology approach.</v>
      </c>
      <c r="E1036" s="1" t="str">
        <f>IFERROR(VLOOKUP(A1036,[1]biopep_DB!$F$2:$L$1654,6,0),0)</f>
        <v>10.1016/j.foodchem.2013.05.140</v>
      </c>
      <c r="F1036" s="1" t="str">
        <f>IFERROR(VLOOKUP(A1036,[1]biopep_DB!$F$2:$L$1654,7,0),0)</f>
        <v>23871047</v>
      </c>
      <c r="G1036" s="5">
        <v>406.5</v>
      </c>
      <c r="H1036" s="5">
        <v>5.28</v>
      </c>
      <c r="I1036" s="5">
        <v>-0.5</v>
      </c>
      <c r="J1036" s="6">
        <v>0.9333</v>
      </c>
      <c r="K1036" s="5">
        <v>47.8</v>
      </c>
      <c r="L1036" s="6">
        <v>1</v>
      </c>
      <c r="M1036" s="6">
        <v>-2.1633</v>
      </c>
      <c r="N1036" s="6">
        <v>0.6667</v>
      </c>
      <c r="O1036" s="6">
        <v>0</v>
      </c>
      <c r="P1036" s="6">
        <v>0.3333</v>
      </c>
      <c r="Q1036" s="7"/>
      <c r="R1036" s="7"/>
    </row>
    <row r="1037" spans="1:18">
      <c r="A1037" s="4" t="s">
        <v>1406</v>
      </c>
      <c r="B1037" s="4">
        <f t="shared" si="16"/>
        <v>8</v>
      </c>
      <c r="C1037" s="4" t="s">
        <v>1407</v>
      </c>
      <c r="D1037" s="1" t="str">
        <f>IFERROR(VLOOKUP(A1037,[1]biopep_DB!$F$2:$J$1654,5,0),)</f>
        <v/>
      </c>
      <c r="E1037" s="1" t="str">
        <f>IFERROR(VLOOKUP(A1037,[1]biopep_DB!$F$2:$L$1654,6,0),0)</f>
        <v/>
      </c>
      <c r="F1037" s="1" t="str">
        <f>IFERROR(VLOOKUP(A1037,[1]biopep_DB!$F$2:$L$1654,7,0),0)</f>
        <v/>
      </c>
      <c r="G1037" s="5">
        <v>841.95</v>
      </c>
      <c r="H1037" s="5">
        <v>5.75</v>
      </c>
      <c r="I1037" s="5">
        <v>-0.51</v>
      </c>
      <c r="J1037" s="6">
        <v>-0.45</v>
      </c>
      <c r="K1037" s="5">
        <v>56.9</v>
      </c>
      <c r="L1037" s="6">
        <v>0.25</v>
      </c>
      <c r="M1037" s="6">
        <v>0.0375</v>
      </c>
      <c r="N1037" s="6">
        <v>0.5</v>
      </c>
      <c r="O1037" s="6">
        <v>0.375</v>
      </c>
      <c r="P1037" s="6">
        <v>0</v>
      </c>
      <c r="Q1037" s="7"/>
      <c r="R1037" s="7"/>
    </row>
    <row r="1038" spans="1:18">
      <c r="A1038" s="4" t="s">
        <v>1408</v>
      </c>
      <c r="B1038" s="4">
        <f t="shared" si="16"/>
        <v>5</v>
      </c>
      <c r="C1038" s="4" t="s">
        <v>1409</v>
      </c>
      <c r="D1038" s="1" t="str">
        <f>IFERROR(VLOOKUP(A1038,[1]biopep_DB!$F$2:$J$1654,5,0),)</f>
        <v>Angiotensin converting enzyme inhibitory peptides derived from food proteins: biochemistry, bioactivity and production.; A new QSAR model, for angiotensin I-converting enzyme inhibitory oligopeptides.; Vegetable foods: a cheap source of proteins and peptides with antihypertensive, antioxidant, and other less occurrence bioactivities.</v>
      </c>
      <c r="E1038" s="1" t="str">
        <f>IFERROR(VLOOKUP(A1038,[1]biopep_DB!$F$2:$L$1654,6,0),0)</f>
        <v>10.2174/138161207780363068; 10.1016/j.foodchem.2012.09.092; 10.1016/j.talanta.2012.12.041</v>
      </c>
      <c r="F1038" s="1" t="str">
        <f>IFERROR(VLOOKUP(A1038,[1]biopep_DB!$F$2:$L$1654,7,0),0)</f>
        <v>17430180 23194537 23598136</v>
      </c>
      <c r="G1038" s="5">
        <v>637.79</v>
      </c>
      <c r="H1038" s="5">
        <v>4.05</v>
      </c>
      <c r="I1038" s="5">
        <v>-1.5</v>
      </c>
      <c r="J1038" s="6">
        <v>1.9</v>
      </c>
      <c r="K1038" s="5">
        <v>-7.08</v>
      </c>
      <c r="L1038" s="6">
        <v>0.8</v>
      </c>
      <c r="M1038" s="6">
        <v>-2.698</v>
      </c>
      <c r="N1038" s="6">
        <v>0.4</v>
      </c>
      <c r="O1038" s="6">
        <v>0.2</v>
      </c>
      <c r="P1038" s="6">
        <v>0.6</v>
      </c>
      <c r="Q1038" s="7"/>
      <c r="R1038" s="7"/>
    </row>
    <row r="1039" spans="1:18">
      <c r="A1039" s="4" t="s">
        <v>1410</v>
      </c>
      <c r="B1039" s="4">
        <f t="shared" si="16"/>
        <v>4</v>
      </c>
      <c r="C1039" s="4" t="s">
        <v>1409</v>
      </c>
      <c r="D1039" s="1" t="str">
        <f>IFERROR(VLOOKUP(A1039,[1]biopep_DB!$F$2:$J$1654,5,0),)</f>
        <v>Angiotensin converting enzyme inhibitory peptides derived from food proteins: biochemistry, bioactivity and production.</v>
      </c>
      <c r="E1039" s="1" t="str">
        <f>IFERROR(VLOOKUP(A1039,[1]biopep_DB!$F$2:$L$1654,6,0),0)</f>
        <v>10.2174/138161207780363068</v>
      </c>
      <c r="F1039" s="1" t="str">
        <f>IFERROR(VLOOKUP(A1039,[1]biopep_DB!$F$2:$L$1654,7,0),0)</f>
        <v>17430180</v>
      </c>
      <c r="G1039" s="5">
        <v>448.53</v>
      </c>
      <c r="H1039" s="5">
        <v>4.05</v>
      </c>
      <c r="I1039" s="5">
        <v>-1.5</v>
      </c>
      <c r="J1039" s="6">
        <v>1</v>
      </c>
      <c r="K1039" s="5">
        <v>7.5</v>
      </c>
      <c r="L1039" s="6">
        <v>0.75</v>
      </c>
      <c r="M1039" s="6">
        <v>-1.85</v>
      </c>
      <c r="N1039" s="6">
        <v>0.75</v>
      </c>
      <c r="O1039" s="6">
        <v>0.25</v>
      </c>
      <c r="P1039" s="6">
        <v>0.25</v>
      </c>
      <c r="Q1039" s="7"/>
      <c r="R1039" s="7"/>
    </row>
    <row r="1040" spans="1:18">
      <c r="A1040" s="4" t="s">
        <v>1411</v>
      </c>
      <c r="B1040" s="4">
        <f t="shared" si="16"/>
        <v>2</v>
      </c>
      <c r="C1040" s="4" t="s">
        <v>62</v>
      </c>
      <c r="D1040" s="1" t="str">
        <f>IFERROR(VLOOKUP(A1040,[1]biopep_DB!$F$2:$J$1654,5,0),)</f>
        <v>Application of at-line two-dimensional liquid chromatography-mass spectrometry for identification of small hydrophilic angiotensin I-inhibiting peptides in milk hydrolysates.</v>
      </c>
      <c r="E1040" s="1" t="str">
        <f>IFERROR(VLOOKUP(A1040,[1]biopep_DB!$F$2:$L$1654,6,0),0)</f>
        <v>10.1007/s00216-008-1990-3</v>
      </c>
      <c r="F1040" s="1" t="str">
        <f>IFERROR(VLOOKUP(A1040,[1]biopep_DB!$F$2:$L$1654,7,0),0)</f>
        <v>18392815</v>
      </c>
      <c r="G1040" s="5">
        <v>278.33</v>
      </c>
      <c r="H1040" s="5">
        <v>4.6</v>
      </c>
      <c r="I1040" s="5">
        <v>-1.49</v>
      </c>
      <c r="J1040" s="6">
        <v>-0.8</v>
      </c>
      <c r="K1040" s="5">
        <v>5</v>
      </c>
      <c r="L1040" s="6">
        <v>0.5</v>
      </c>
      <c r="M1040" s="6">
        <v>-0.355</v>
      </c>
      <c r="N1040" s="6">
        <v>1</v>
      </c>
      <c r="O1040" s="6">
        <v>0</v>
      </c>
      <c r="P1040" s="6">
        <v>0</v>
      </c>
      <c r="Q1040" s="7"/>
      <c r="R1040" s="7"/>
    </row>
    <row r="1041" spans="1:18">
      <c r="A1041" s="4" t="s">
        <v>1412</v>
      </c>
      <c r="B1041" s="4">
        <f t="shared" si="16"/>
        <v>3</v>
      </c>
      <c r="C1041" s="4" t="s">
        <v>31</v>
      </c>
      <c r="D1041" s="1" t="str">
        <f>IFERROR(VLOOKUP(A1041,[1]biopep_DB!$F$2:$J$1654,5,0),)</f>
        <v/>
      </c>
      <c r="E1041" s="1" t="str">
        <f>IFERROR(VLOOKUP(A1041,[1]biopep_DB!$F$2:$L$1654,6,0),0)</f>
        <v/>
      </c>
      <c r="F1041" s="1" t="str">
        <f>IFERROR(VLOOKUP(A1041,[1]biopep_DB!$F$2:$L$1654,7,0),0)</f>
        <v/>
      </c>
      <c r="G1041" s="5">
        <v>425.5</v>
      </c>
      <c r="H1041" s="5">
        <v>4.05</v>
      </c>
      <c r="I1041" s="5">
        <v>-1.5</v>
      </c>
      <c r="J1041" s="6">
        <v>0.4</v>
      </c>
      <c r="K1041" s="5">
        <v>6.67</v>
      </c>
      <c r="L1041" s="6">
        <v>0.6667</v>
      </c>
      <c r="M1041" s="6">
        <v>-1.23</v>
      </c>
      <c r="N1041" s="6">
        <v>0.6667</v>
      </c>
      <c r="O1041" s="6">
        <v>0</v>
      </c>
      <c r="P1041" s="6">
        <v>0.3333</v>
      </c>
      <c r="Q1041" s="7"/>
      <c r="R1041" s="7"/>
    </row>
    <row r="1042" spans="1:18">
      <c r="A1042" s="4" t="s">
        <v>1413</v>
      </c>
      <c r="B1042" s="4">
        <f t="shared" si="16"/>
        <v>10</v>
      </c>
      <c r="C1042" s="4" t="s">
        <v>1414</v>
      </c>
      <c r="D1042" s="1" t="str">
        <f>IFERROR(VLOOKUP(A1042,[1]biopep_DB!$F$2:$J$1654,5,0),)</f>
        <v>Antihypertensive peptides from food proteins: a review.; Isolation and characterization of peptides with antihypertensive activity in foodstuffs.</v>
      </c>
      <c r="E1042" s="1" t="str">
        <f>IFERROR(VLOOKUP(A1042,[1]biopep_DB!$F$2:$L$1654,6,0),0)</f>
        <v>10.1039/c2fo10192k; 10.1080/10408398.2012.664829</v>
      </c>
      <c r="F1042" s="1" t="str">
        <f>IFERROR(VLOOKUP(A1042,[1]biopep_DB!$F$2:$L$1654,7,0),0)</f>
        <v>22249830 24915368</v>
      </c>
      <c r="G1042" s="5">
        <v>1035.04</v>
      </c>
      <c r="H1042" s="5">
        <v>4.05</v>
      </c>
      <c r="I1042" s="5">
        <v>-3.49</v>
      </c>
      <c r="J1042" s="6">
        <v>-1.28</v>
      </c>
      <c r="K1042" s="5">
        <v>19.77</v>
      </c>
      <c r="L1042" s="6">
        <v>0.3</v>
      </c>
      <c r="M1042" s="6">
        <v>-0.017</v>
      </c>
      <c r="N1042" s="6">
        <v>0.5</v>
      </c>
      <c r="O1042" s="6">
        <v>0.3</v>
      </c>
      <c r="P1042" s="6">
        <v>0</v>
      </c>
      <c r="Q1042" s="7"/>
      <c r="R1042" s="7"/>
    </row>
    <row r="1043" spans="1:18">
      <c r="A1043" s="4" t="s">
        <v>1415</v>
      </c>
      <c r="B1043" s="4">
        <f t="shared" si="16"/>
        <v>2</v>
      </c>
      <c r="C1043" s="4" t="s">
        <v>36</v>
      </c>
      <c r="D1043" s="1" t="str">
        <f>IFERROR(VLOOKUP(A1043,[1]biopep_DB!$F$2:$J$1654,5,0),)</f>
        <v>Angiotensin I-converting enzyme inhibitory peptides in an alkaline protease hydrolyzate derived from sardine muscle.; Structural requirements of Angiotensin I-converting enzyme inhibitory peptides: quantitative structure-activity relationship study of di- and tripeptides.; Bioactive peptides in amaranth (Amaranthus hypochondriacus) seed.; Assessing the dependence of (51)V A(z) value on the aromatic ring orientation of V(IV)O(2+) pyridine complexes.; Review on the angiotensin-I-converting enzyme (ACE) inhibitor peptides from marine proteins.;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1043" s="1" t="str">
        <f>IFERROR(VLOOKUP(A1043,[1]biopep_DB!$F$2:$L$1654,6,0),0)</f>
        <v>10.1271/bbb.58.2244; 10.1021/jf051263l; 10.1021/jf072911z; 10.1021/ic9001779; 10.1007/s12010-012-0024-y; 10.1016/j.jprot.2013.06.023; 10.1016/j.foodchem.2013.05.140</v>
      </c>
      <c r="F1043" s="1" t="str">
        <f>IFERROR(VLOOKUP(A1043,[1]biopep_DB!$F$2:$L$1654,7,0),0)</f>
        <v>7765718 16448176 18211015 19449891 23271625 23806758 23871047</v>
      </c>
      <c r="G1043" s="5">
        <v>296.39</v>
      </c>
      <c r="H1043" s="5">
        <v>5.28</v>
      </c>
      <c r="I1043" s="5">
        <v>-0.5</v>
      </c>
      <c r="J1043" s="6">
        <v>2.35</v>
      </c>
      <c r="K1043" s="5">
        <v>5</v>
      </c>
      <c r="L1043" s="6">
        <v>1</v>
      </c>
      <c r="M1043" s="6">
        <v>-2.665</v>
      </c>
      <c r="N1043" s="6">
        <v>0.5</v>
      </c>
      <c r="O1043" s="6">
        <v>0</v>
      </c>
      <c r="P1043" s="6">
        <v>0.5</v>
      </c>
      <c r="Q1043" s="7"/>
      <c r="R1043" s="7"/>
    </row>
    <row r="1044" spans="1:18">
      <c r="A1044" s="4" t="s">
        <v>1416</v>
      </c>
      <c r="B1044" s="4">
        <f t="shared" si="16"/>
        <v>4</v>
      </c>
      <c r="C1044" s="4" t="s">
        <v>1409</v>
      </c>
      <c r="D1044" s="1" t="str">
        <f>IFERROR(VLOOKUP(A1044,[1]biopep_DB!$F$2:$J$1654,5,0),)</f>
        <v>Angiotensin converting enzyme inhibitory peptides derived from food proteins: biochemistry, bioactivity and production.</v>
      </c>
      <c r="E1044" s="1" t="str">
        <f>IFERROR(VLOOKUP(A1044,[1]biopep_DB!$F$2:$L$1654,6,0),0)</f>
        <v>10.2174/138161207780363068</v>
      </c>
      <c r="F1044" s="1" t="str">
        <f>IFERROR(VLOOKUP(A1044,[1]biopep_DB!$F$2:$L$1654,7,0),0)</f>
        <v>17430180</v>
      </c>
      <c r="G1044" s="5">
        <v>524.63</v>
      </c>
      <c r="H1044" s="5">
        <v>4.05</v>
      </c>
      <c r="I1044" s="5">
        <v>-1.5</v>
      </c>
      <c r="J1044" s="6">
        <v>1.25</v>
      </c>
      <c r="K1044" s="5">
        <v>38.35</v>
      </c>
      <c r="L1044" s="6">
        <v>0.75</v>
      </c>
      <c r="M1044" s="6">
        <v>-2.1425</v>
      </c>
      <c r="N1044" s="6">
        <v>0.5</v>
      </c>
      <c r="O1044" s="6">
        <v>0.25</v>
      </c>
      <c r="P1044" s="6">
        <v>0.5</v>
      </c>
      <c r="Q1044" s="7"/>
      <c r="R1044" s="7"/>
    </row>
    <row r="1045" spans="1:18">
      <c r="A1045" s="4" t="s">
        <v>1417</v>
      </c>
      <c r="B1045" s="4">
        <f t="shared" si="16"/>
        <v>2</v>
      </c>
      <c r="C1045" s="4" t="s">
        <v>36</v>
      </c>
      <c r="D1045" s="1" t="str">
        <f>IFERROR(VLOOKUP(A1045,[1]biopep_DB!$F$2:$J$1654,5,0),)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What are the ideal properties for functional food peptides with antihypertensive effect? A computational peptidology approach.</v>
      </c>
      <c r="E1045" s="1" t="str">
        <f>IFERROR(VLOOKUP(A1045,[1]biopep_DB!$F$2:$L$1654,6,0),0)</f>
        <v>10.1021/jf051263l; 10.1002/psc.892; 10.1007/s00894-010-0862-x; 10.1016/j.foodchem.2013.05.140</v>
      </c>
      <c r="F1045" s="1" t="str">
        <f>IFERROR(VLOOKUP(A1045,[1]biopep_DB!$F$2:$L$1654,7,0),0)</f>
        <v>6243277 16448176 17654623 20941517 23871047</v>
      </c>
      <c r="G1045" s="5">
        <v>206.26</v>
      </c>
      <c r="H1045" s="5">
        <v>5.28</v>
      </c>
      <c r="I1045" s="5">
        <v>-0.5</v>
      </c>
      <c r="J1045" s="6">
        <v>0.75</v>
      </c>
      <c r="K1045" s="5">
        <v>5</v>
      </c>
      <c r="L1045" s="6">
        <v>0.5</v>
      </c>
      <c r="M1045" s="6">
        <v>-1.645</v>
      </c>
      <c r="N1045" s="6">
        <v>0.5</v>
      </c>
      <c r="O1045" s="6">
        <v>0.5</v>
      </c>
      <c r="P1045" s="6">
        <v>0</v>
      </c>
      <c r="Q1045" s="7"/>
      <c r="R1045" s="7"/>
    </row>
    <row r="1046" spans="1:18">
      <c r="A1046" s="4" t="s">
        <v>1418</v>
      </c>
      <c r="B1046" s="4">
        <f t="shared" si="16"/>
        <v>5</v>
      </c>
      <c r="C1046" s="4" t="s">
        <v>31</v>
      </c>
      <c r="D1046" s="1" t="str">
        <f>IFERROR(VLOOKUP(A1046,[1]biopep_DB!$F$2:$J$1654,5,0),)</f>
        <v/>
      </c>
      <c r="E1046" s="1" t="str">
        <f>IFERROR(VLOOKUP(A1046,[1]biopep_DB!$F$2:$L$1654,6,0),0)</f>
        <v/>
      </c>
      <c r="F1046" s="1" t="str">
        <f>IFERROR(VLOOKUP(A1046,[1]biopep_DB!$F$2:$L$1654,7,0),0)</f>
        <v/>
      </c>
      <c r="G1046" s="5">
        <v>620.68</v>
      </c>
      <c r="H1046" s="5">
        <v>6.49</v>
      </c>
      <c r="I1046" s="5">
        <v>-0.41</v>
      </c>
      <c r="J1046" s="6">
        <v>-1.3</v>
      </c>
      <c r="K1046" s="5">
        <v>176.48</v>
      </c>
      <c r="L1046" s="6">
        <v>0.2</v>
      </c>
      <c r="M1046" s="6">
        <v>-0.108</v>
      </c>
      <c r="N1046" s="6">
        <v>0.2</v>
      </c>
      <c r="O1046" s="6">
        <v>0.4</v>
      </c>
      <c r="P1046" s="6">
        <v>0.2</v>
      </c>
      <c r="Q1046" s="7"/>
      <c r="R1046" s="7"/>
    </row>
    <row r="1047" spans="1:18">
      <c r="A1047" s="4" t="s">
        <v>1419</v>
      </c>
      <c r="B1047" s="4">
        <f t="shared" si="16"/>
        <v>11</v>
      </c>
      <c r="C1047" s="4" t="s">
        <v>1420</v>
      </c>
      <c r="D1047" s="1" t="str">
        <f>IFERROR(VLOOKUP(A1047,[1]biopep_DB!$F$2:$J$1654,5,0),)</f>
        <v>Angiotensin converting enzyme inhibitory peptides derived from food proteins: biochemistry, bioactivity and production.; Antihypertensive peptides from food proteins: a review.; A new QSAR model, for angiotensin I-converting enzyme inhibitory oligopeptides.; Review on the angiotensin-I-converting enzyme (ACE) inhibitor peptides from marine proteins.; Isolation and characterization of peptides with antihypertensive activity in foodstuffs.</v>
      </c>
      <c r="E1047" s="1" t="str">
        <f>IFERROR(VLOOKUP(A1047,[1]biopep_DB!$F$2:$L$1654,6,0),0)</f>
        <v>10.2174/138161207780363068; 10.1039/c2fo10192k; 10.1016/j.foodchem.2012.09.092; 10.1007/s12010-012-0024-y; 10.1080/10408398.2012.664829</v>
      </c>
      <c r="F1047" s="1" t="str">
        <f>IFERROR(VLOOKUP(A1047,[1]biopep_DB!$F$2:$L$1654,7,0),0)</f>
        <v>17430180 22249830 23194537 23271625 24915368</v>
      </c>
      <c r="G1047" s="5">
        <v>1088.28</v>
      </c>
      <c r="H1047" s="5">
        <v>4.05</v>
      </c>
      <c r="I1047" s="5">
        <v>-1.5</v>
      </c>
      <c r="J1047" s="6">
        <v>0.6273</v>
      </c>
      <c r="K1047" s="5">
        <v>45.9</v>
      </c>
      <c r="L1047" s="6">
        <v>0.6364</v>
      </c>
      <c r="M1047" s="6">
        <v>-1.6509</v>
      </c>
      <c r="N1047" s="6">
        <v>0.3636</v>
      </c>
      <c r="O1047" s="6">
        <v>0.4545</v>
      </c>
      <c r="P1047" s="6">
        <v>0.2727</v>
      </c>
      <c r="Q1047" s="7"/>
      <c r="R1047" s="7"/>
    </row>
    <row r="1048" spans="1:18">
      <c r="A1048" s="4" t="s">
        <v>1421</v>
      </c>
      <c r="B1048" s="4">
        <f t="shared" si="16"/>
        <v>9</v>
      </c>
      <c r="C1048" s="4" t="s">
        <v>1422</v>
      </c>
      <c r="D1048" s="1" t="str">
        <f>IFERROR(VLOOKUP(A1048,[1]biopep_DB!$F$2:$J$1654,5,0),)</f>
        <v>A new QSAR model, for angiotensin I-converting enzyme inhibitory oligopeptides.</v>
      </c>
      <c r="E1048" s="1" t="str">
        <f>IFERROR(VLOOKUP(A1048,[1]biopep_DB!$F$2:$L$1654,6,0),0)</f>
        <v>10.1016/j.foodchem.2012.09.092</v>
      </c>
      <c r="F1048" s="1" t="str">
        <f>IFERROR(VLOOKUP(A1048,[1]biopep_DB!$F$2:$L$1654,7,0),0)</f>
        <v>23194537</v>
      </c>
      <c r="G1048" s="5">
        <v>959.16</v>
      </c>
      <c r="H1048" s="5">
        <v>5.28</v>
      </c>
      <c r="I1048" s="5">
        <v>-0.5</v>
      </c>
      <c r="J1048" s="6">
        <v>0.6111</v>
      </c>
      <c r="K1048" s="5">
        <v>65.4</v>
      </c>
      <c r="L1048" s="6">
        <v>0.6667</v>
      </c>
      <c r="M1048" s="6">
        <v>-1.7433</v>
      </c>
      <c r="N1048" s="6">
        <v>0.2222</v>
      </c>
      <c r="O1048" s="6">
        <v>0.4444</v>
      </c>
      <c r="P1048" s="6">
        <v>0.3333</v>
      </c>
      <c r="Q1048" s="7"/>
      <c r="R1048" s="7"/>
    </row>
    <row r="1049" spans="1:18">
      <c r="A1049" s="4" t="s">
        <v>1423</v>
      </c>
      <c r="B1049" s="4">
        <f t="shared" si="16"/>
        <v>5</v>
      </c>
      <c r="C1049" s="4" t="s">
        <v>1424</v>
      </c>
      <c r="D1049" s="1" t="str">
        <f>IFERROR(VLOOKUP(A1049,[1]biopep_DB!$F$2:$J$1654,5,0),)</f>
        <v>Rational design of angiotensin-I-converting enzyme inhibitory peptides by integrating in silico modeling and an in vitro assay.</v>
      </c>
      <c r="E1049" s="1" t="str">
        <f>IFERROR(VLOOKUP(A1049,[1]biopep_DB!$F$2:$L$1654,6,0),0)</f>
        <v>10.1002/cmdc.201300132</v>
      </c>
      <c r="F1049" s="1" t="str">
        <f>IFERROR(VLOOKUP(A1049,[1]biopep_DB!$F$2:$L$1654,7,0),0)</f>
        <v>23740817</v>
      </c>
      <c r="G1049" s="5">
        <v>593.74</v>
      </c>
      <c r="H1049" s="5">
        <v>5.27</v>
      </c>
      <c r="I1049" s="5">
        <v>-0.5</v>
      </c>
      <c r="J1049" s="6">
        <v>1.06</v>
      </c>
      <c r="K1049" s="5">
        <v>40.76</v>
      </c>
      <c r="L1049" s="6">
        <v>0.8</v>
      </c>
      <c r="M1049" s="6">
        <v>-1.788</v>
      </c>
      <c r="N1049" s="6">
        <v>0.4</v>
      </c>
      <c r="O1049" s="6">
        <v>0.2</v>
      </c>
      <c r="P1049" s="6">
        <v>0.4</v>
      </c>
      <c r="Q1049" s="7"/>
      <c r="R1049" s="7"/>
    </row>
    <row r="1050" spans="1:18">
      <c r="A1050" s="4" t="s">
        <v>1425</v>
      </c>
      <c r="B1050" s="4">
        <f t="shared" si="16"/>
        <v>3</v>
      </c>
      <c r="C1050" s="4" t="s">
        <v>31</v>
      </c>
      <c r="D1050" s="1" t="str">
        <f>IFERROR(VLOOKUP(A1050,[1]biopep_DB!$F$2:$J$1654,5,0),)</f>
        <v/>
      </c>
      <c r="E1050" s="1" t="str">
        <f>IFERROR(VLOOKUP(A1050,[1]biopep_DB!$F$2:$L$1654,6,0),0)</f>
        <v/>
      </c>
      <c r="F1050" s="1" t="str">
        <f>IFERROR(VLOOKUP(A1050,[1]biopep_DB!$F$2:$L$1654,7,0),0)</f>
        <v/>
      </c>
      <c r="G1050" s="5">
        <v>380.53</v>
      </c>
      <c r="H1050" s="5">
        <v>7.98</v>
      </c>
      <c r="I1050" s="5">
        <v>0.49</v>
      </c>
      <c r="J1050" s="6">
        <v>0.1667</v>
      </c>
      <c r="K1050" s="5">
        <v>6.67</v>
      </c>
      <c r="L1050" s="6">
        <v>0.3333</v>
      </c>
      <c r="M1050" s="6">
        <v>-0.6833</v>
      </c>
      <c r="N1050" s="6">
        <v>0.6667</v>
      </c>
      <c r="O1050" s="6">
        <v>0</v>
      </c>
      <c r="P1050" s="6">
        <v>0</v>
      </c>
      <c r="Q1050" s="7"/>
      <c r="R1050" s="7"/>
    </row>
    <row r="1051" spans="1:18">
      <c r="A1051" s="4" t="s">
        <v>1426</v>
      </c>
      <c r="B1051" s="4">
        <f t="shared" si="16"/>
        <v>3</v>
      </c>
      <c r="C1051" s="4" t="s">
        <v>1427</v>
      </c>
      <c r="D1051" s="1" t="str">
        <f>IFERROR(VLOOKUP(A1051,[1]biopep_DB!$F$2:$J$1654,5,0),)</f>
        <v/>
      </c>
      <c r="E1051" s="1" t="str">
        <f>IFERROR(VLOOKUP(A1051,[1]biopep_DB!$F$2:$L$1654,6,0),0)</f>
        <v/>
      </c>
      <c r="F1051" s="1" t="str">
        <f>IFERROR(VLOOKUP(A1051,[1]biopep_DB!$F$2:$L$1654,7,0),0)</f>
        <v/>
      </c>
      <c r="G1051" s="5">
        <v>334.43</v>
      </c>
      <c r="H1051" s="5">
        <v>8.5</v>
      </c>
      <c r="I1051" s="5">
        <v>0.5</v>
      </c>
      <c r="J1051" s="6">
        <v>-0.8</v>
      </c>
      <c r="K1051" s="5">
        <v>-21.63</v>
      </c>
      <c r="L1051" s="6">
        <v>0.3333</v>
      </c>
      <c r="M1051" s="6">
        <v>-0.57</v>
      </c>
      <c r="N1051" s="6">
        <v>0.6667</v>
      </c>
      <c r="O1051" s="6">
        <v>0.3333</v>
      </c>
      <c r="P1051" s="6">
        <v>0</v>
      </c>
      <c r="Q1051" s="7"/>
      <c r="R1051" s="7"/>
    </row>
    <row r="1052" spans="1:18">
      <c r="A1052" s="4" t="s">
        <v>1428</v>
      </c>
      <c r="B1052" s="4">
        <f t="shared" si="16"/>
        <v>3</v>
      </c>
      <c r="C1052" s="4" t="s">
        <v>31</v>
      </c>
      <c r="D1052" s="1" t="str">
        <f>IFERROR(VLOOKUP(A1052,[1]biopep_DB!$F$2:$J$1654,5,0),)</f>
        <v/>
      </c>
      <c r="E1052" s="1" t="str">
        <f>IFERROR(VLOOKUP(A1052,[1]biopep_DB!$F$2:$L$1654,6,0),0)</f>
        <v/>
      </c>
      <c r="F1052" s="1" t="str">
        <f>IFERROR(VLOOKUP(A1052,[1]biopep_DB!$F$2:$L$1654,7,0),0)</f>
        <v/>
      </c>
      <c r="G1052" s="5">
        <v>374.5</v>
      </c>
      <c r="H1052" s="5">
        <v>8.5</v>
      </c>
      <c r="I1052" s="5">
        <v>0.5</v>
      </c>
      <c r="J1052" s="6">
        <v>-1.2</v>
      </c>
      <c r="K1052" s="5">
        <v>-18.47</v>
      </c>
      <c r="L1052" s="6">
        <v>0.6667</v>
      </c>
      <c r="M1052" s="6">
        <v>-0.2567</v>
      </c>
      <c r="N1052" s="6">
        <v>0.6667</v>
      </c>
      <c r="O1052" s="6">
        <v>0.3333</v>
      </c>
      <c r="P1052" s="6">
        <v>0</v>
      </c>
      <c r="Q1052" s="7"/>
      <c r="R1052" s="7"/>
    </row>
    <row r="1053" spans="1:18">
      <c r="A1053" s="4" t="s">
        <v>1429</v>
      </c>
      <c r="B1053" s="4">
        <f t="shared" si="16"/>
        <v>8</v>
      </c>
      <c r="C1053" s="4" t="s">
        <v>936</v>
      </c>
      <c r="D1053" s="1" t="str">
        <f>IFERROR(VLOOKUP(A1053,[1]biopep_DB!$F$2:$J$1654,5,0),)</f>
        <v>Identification of an antihypertensive peptide from casein hydrolysate produced by a proteinase from Lactobacillus helveticus CP790.; Identification of angiotensin-I-converting enzyme inhibitory peptides derived from sodium caseinate hydrolysates produced by Lactobacillus helveticus NCC 2765.; Antihypertensive peptides: production, bioavailability and incorporation into foods.; Antihypertensive peptides from food proteins: a review.; A new QSAR model, for angiotensin I-converting enzyme inhibitory oligopeptides.</v>
      </c>
      <c r="E1053" s="1" t="str">
        <f>IFERROR(VLOOKUP(A1053,[1]biopep_DB!$F$2:$L$1654,6,0),0)</f>
        <v>10.3168/jds.S0022-0302(96)76487-1; 10.1021/jf049510t; 10.1016/j.cis.2010.11.001; 10.1039/c2fo10192k; 10.1016/j.foodchem.2012.09.092</v>
      </c>
      <c r="F1053" s="1" t="str">
        <f>IFERROR(VLOOKUP(A1053,[1]biopep_DB!$F$2:$L$1654,7,0),0)</f>
        <v>8880454 15537298 21185549 22249830 23194537</v>
      </c>
      <c r="G1053" s="5">
        <v>1027.28</v>
      </c>
      <c r="H1053" s="5">
        <v>10</v>
      </c>
      <c r="I1053" s="5">
        <v>1.5</v>
      </c>
      <c r="J1053" s="6">
        <v>-1.125</v>
      </c>
      <c r="K1053" s="5">
        <v>19.8</v>
      </c>
      <c r="L1053" s="6">
        <v>0.625</v>
      </c>
      <c r="M1053" s="6">
        <v>-0.635</v>
      </c>
      <c r="N1053" s="6">
        <v>0.375</v>
      </c>
      <c r="O1053" s="6">
        <v>0.25</v>
      </c>
      <c r="P1053" s="6">
        <v>0.25</v>
      </c>
      <c r="Q1053" s="7"/>
      <c r="R1053" s="7"/>
    </row>
    <row r="1054" spans="1:18">
      <c r="A1054" s="4" t="s">
        <v>1430</v>
      </c>
      <c r="B1054" s="4">
        <f t="shared" si="16"/>
        <v>3</v>
      </c>
      <c r="C1054" s="4" t="s">
        <v>1431</v>
      </c>
      <c r="D1054" s="1" t="str">
        <f>IFERROR(VLOOKUP(A1054,[1]biopep_DB!$F$2:$J$1654,5,0),)</f>
        <v>ACE inhibitory peptides and antioxidant peptides derived from in vitro digestion hydrolysate of hen egg white lysozyme.</v>
      </c>
      <c r="E1054" s="1" t="str">
        <f>IFERROR(VLOOKUP(A1054,[1]biopep_DB!$F$2:$L$1654,6,0),0)</f>
        <v>10.1016/j.foodchem.2012.05.059</v>
      </c>
      <c r="F1054" s="1" t="str">
        <f>IFERROR(VLOOKUP(A1054,[1]biopep_DB!$F$2:$L$1654,7,0),0)</f>
        <v>22953850</v>
      </c>
      <c r="G1054" s="5">
        <v>433.57</v>
      </c>
      <c r="H1054" s="5">
        <v>11</v>
      </c>
      <c r="I1054" s="5">
        <v>1.5</v>
      </c>
      <c r="J1054" s="6">
        <v>-2.1667</v>
      </c>
      <c r="K1054" s="5">
        <v>115.33</v>
      </c>
      <c r="L1054" s="6">
        <v>0.3333</v>
      </c>
      <c r="M1054" s="6">
        <v>0.65</v>
      </c>
      <c r="N1054" s="6">
        <v>0.6667</v>
      </c>
      <c r="O1054" s="6">
        <v>0</v>
      </c>
      <c r="P1054" s="6">
        <v>0</v>
      </c>
      <c r="Q1054" s="7"/>
      <c r="R1054" s="7"/>
    </row>
    <row r="1055" spans="1:18">
      <c r="A1055" s="4" t="s">
        <v>1432</v>
      </c>
      <c r="B1055" s="4">
        <f t="shared" si="16"/>
        <v>3</v>
      </c>
      <c r="C1055" s="4" t="s">
        <v>36</v>
      </c>
      <c r="D1055" s="1" t="str">
        <f>IFERROR(VLOOKUP(A1055,[1]biopep_DB!$F$2:$J$1654,5,0),)</f>
        <v>Structural requirements of Angiotensin I-converting enzyme inhibitory peptides: quantitative structure-activity relationship study of di- and tripeptides.</v>
      </c>
      <c r="E1055" s="1" t="str">
        <f>IFERROR(VLOOKUP(A1055,[1]biopep_DB!$F$2:$L$1654,6,0),0)</f>
        <v>10.1021/jf051263l</v>
      </c>
      <c r="F1055" s="1" t="str">
        <f>IFERROR(VLOOKUP(A1055,[1]biopep_DB!$F$2:$L$1654,7,0),0)</f>
        <v>16448176</v>
      </c>
      <c r="G1055" s="5">
        <v>440.56</v>
      </c>
      <c r="H1055" s="5">
        <v>8.34</v>
      </c>
      <c r="I1055" s="5">
        <v>0.5</v>
      </c>
      <c r="J1055" s="6">
        <v>-1.1</v>
      </c>
      <c r="K1055" s="5">
        <v>6.67</v>
      </c>
      <c r="L1055" s="6">
        <v>0.3333</v>
      </c>
      <c r="M1055" s="6">
        <v>-0.21</v>
      </c>
      <c r="N1055" s="6">
        <v>0.6667</v>
      </c>
      <c r="O1055" s="6">
        <v>0</v>
      </c>
      <c r="P1055" s="6">
        <v>0.3333</v>
      </c>
      <c r="Q1055" s="7"/>
      <c r="R1055" s="7"/>
    </row>
    <row r="1056" spans="1:18">
      <c r="A1056" s="4" t="s">
        <v>1433</v>
      </c>
      <c r="B1056" s="4">
        <f t="shared" si="16"/>
        <v>7</v>
      </c>
      <c r="C1056" s="4"/>
      <c r="D1056" s="1" t="str">
        <f>IFERROR(VLOOKUP(A1056,[1]biopep_DB!$F$2:$J$1654,5,0),)</f>
        <v>Angiotensin I-converting enzyme inhibitory peptides generated from in vitro gastrointestinal digestion of pork meat.</v>
      </c>
      <c r="E1056" s="1" t="str">
        <f>IFERROR(VLOOKUP(A1056,[1]biopep_DB!$F$2:$L$1654,6,0),0)</f>
        <v>10.1021/jf904204n</v>
      </c>
      <c r="F1056" s="1" t="str">
        <f>IFERROR(VLOOKUP(A1056,[1]biopep_DB!$F$2:$L$1654,7,0),0)</f>
        <v>20151679</v>
      </c>
      <c r="G1056" s="5">
        <v>746.87</v>
      </c>
      <c r="H1056" s="5">
        <v>5.28</v>
      </c>
      <c r="I1056" s="5">
        <v>-0.5</v>
      </c>
      <c r="J1056" s="6">
        <v>-0.1714</v>
      </c>
      <c r="K1056" s="5">
        <v>8.57</v>
      </c>
      <c r="L1056" s="6">
        <v>0.4286</v>
      </c>
      <c r="M1056" s="6">
        <v>-0.9043</v>
      </c>
      <c r="N1056" s="6">
        <v>0.2857</v>
      </c>
      <c r="O1056" s="6">
        <v>0.2857</v>
      </c>
      <c r="P1056" s="6">
        <v>0.4286</v>
      </c>
      <c r="Q1056" s="7"/>
      <c r="R1056" s="7"/>
    </row>
    <row r="1057" spans="1:18">
      <c r="A1057" s="4" t="s">
        <v>1434</v>
      </c>
      <c r="B1057" s="4">
        <f t="shared" si="16"/>
        <v>8</v>
      </c>
      <c r="C1057" s="4"/>
      <c r="D1057" s="1" t="str">
        <f>IFERROR(VLOOKUP(A1057,[1]biopep_DB!$F$2:$J$1654,5,0),)</f>
        <v>Inhibitory profile of nonapeptide derived from porcine troponin C against angiotensin I-converting enzyme.</v>
      </c>
      <c r="E1057" s="1" t="str">
        <f>IFERROR(VLOOKUP(A1057,[1]biopep_DB!$F$2:$L$1654,6,0),0)</f>
        <v>10.1021/jf0350865</v>
      </c>
      <c r="F1057" s="1" t="str">
        <f>IFERROR(VLOOKUP(A1057,[1]biopep_DB!$F$2:$L$1654,7,0),0)</f>
        <v>14969529</v>
      </c>
      <c r="G1057" s="5">
        <v>875.04</v>
      </c>
      <c r="H1057" s="5">
        <v>8.5</v>
      </c>
      <c r="I1057" s="5">
        <v>0.5</v>
      </c>
      <c r="J1057" s="6">
        <v>-0.6375</v>
      </c>
      <c r="K1057" s="5">
        <v>8.75</v>
      </c>
      <c r="L1057" s="6">
        <v>0.375</v>
      </c>
      <c r="M1057" s="6">
        <v>-0.5937</v>
      </c>
      <c r="N1057" s="6">
        <v>0.375</v>
      </c>
      <c r="O1057" s="6">
        <v>0.25</v>
      </c>
      <c r="P1057" s="6">
        <v>0.375</v>
      </c>
      <c r="Q1057" s="7"/>
      <c r="R1057" s="7"/>
    </row>
    <row r="1058" spans="1:18">
      <c r="A1058" s="4" t="s">
        <v>1435</v>
      </c>
      <c r="B1058" s="4">
        <f t="shared" si="16"/>
        <v>5</v>
      </c>
      <c r="C1058" s="4" t="s">
        <v>1436</v>
      </c>
      <c r="D1058" s="1" t="str">
        <f>IFERROR(VLOOKUP(A1058,[1]biopep_DB!$F$2:$J$1654,5,0),)</f>
        <v/>
      </c>
      <c r="E1058" s="1" t="str">
        <f>IFERROR(VLOOKUP(A1058,[1]biopep_DB!$F$2:$L$1654,6,0),0)</f>
        <v/>
      </c>
      <c r="F1058" s="1" t="str">
        <f>IFERROR(VLOOKUP(A1058,[1]biopep_DB!$F$2:$L$1654,7,0),0)</f>
        <v/>
      </c>
      <c r="G1058" s="5">
        <v>565.75</v>
      </c>
      <c r="H1058" s="5">
        <v>5.27</v>
      </c>
      <c r="I1058" s="5">
        <v>-0.51</v>
      </c>
      <c r="J1058" s="6">
        <v>2.24</v>
      </c>
      <c r="K1058" s="5">
        <v>8</v>
      </c>
      <c r="L1058" s="6">
        <v>0.6</v>
      </c>
      <c r="M1058" s="6">
        <v>-2.526</v>
      </c>
      <c r="N1058" s="6">
        <v>0.6</v>
      </c>
      <c r="O1058" s="6">
        <v>0.2</v>
      </c>
      <c r="P1058" s="6">
        <v>0.4</v>
      </c>
      <c r="Q1058" s="7"/>
      <c r="R1058" s="7"/>
    </row>
    <row r="1059" spans="1:18">
      <c r="A1059" s="4" t="s">
        <v>1437</v>
      </c>
      <c r="B1059" s="4">
        <f t="shared" si="16"/>
        <v>5</v>
      </c>
      <c r="C1059" s="4" t="s">
        <v>1232</v>
      </c>
      <c r="D1059" s="1" t="str">
        <f>IFERROR(VLOOKUP(A1059,[1]biopep_DB!$F$2:$J$1654,5,0),)</f>
        <v>Antihypertensive effect of angiotensin I-converting enzyme inhibitory peptides from a sesame protein hydrolysate in spontaneously hypertensive rats.; Vegetable foods: a cheap source of proteins and peptides with antihypertensive, antioxidant, and other less occurrence bioactivities.; Isolation and characterization of peptides with antihypertensive activity in foodstuffs.</v>
      </c>
      <c r="E1059" s="1" t="str">
        <f>IFERROR(VLOOKUP(A1059,[1]biopep_DB!$F$2:$L$1654,6,0),0)</f>
        <v>10.1271/bbb.70.1118; 10.1016/j.talanta.2012.12.041; 10.1080/10408398.2012.664829</v>
      </c>
      <c r="F1059" s="1" t="str">
        <f>IFERROR(VLOOKUP(A1059,[1]biopep_DB!$F$2:$L$1654,7,0),0)</f>
        <v>16717411 23598136 24915368</v>
      </c>
      <c r="G1059" s="5">
        <v>593.74</v>
      </c>
      <c r="H1059" s="5">
        <v>5.27</v>
      </c>
      <c r="I1059" s="5">
        <v>-0.5</v>
      </c>
      <c r="J1059" s="6">
        <v>0.92</v>
      </c>
      <c r="K1059" s="5">
        <v>85.04</v>
      </c>
      <c r="L1059" s="6">
        <v>0.8</v>
      </c>
      <c r="M1059" s="6">
        <v>-1.788</v>
      </c>
      <c r="N1059" s="6">
        <v>0.6</v>
      </c>
      <c r="O1059" s="6">
        <v>0.2</v>
      </c>
      <c r="P1059" s="6">
        <v>0.4</v>
      </c>
      <c r="Q1059" s="7"/>
      <c r="R1059" s="7"/>
    </row>
    <row r="1060" spans="1:18">
      <c r="A1060" s="4" t="s">
        <v>1438</v>
      </c>
      <c r="B1060" s="4">
        <f t="shared" si="16"/>
        <v>7</v>
      </c>
      <c r="C1060" s="4" t="s">
        <v>1439</v>
      </c>
      <c r="D1060" s="1" t="str">
        <f>IFERROR(VLOOKUP(A1060,[1]biopep_DB!$F$2:$J$1654,5,0),)</f>
        <v/>
      </c>
      <c r="E1060" s="1" t="str">
        <f>IFERROR(VLOOKUP(A1060,[1]biopep_DB!$F$2:$L$1654,6,0),0)</f>
        <v/>
      </c>
      <c r="F1060" s="1" t="str">
        <f>IFERROR(VLOOKUP(A1060,[1]biopep_DB!$F$2:$L$1654,7,0),0)</f>
        <v/>
      </c>
      <c r="G1060" s="5">
        <v>865.14</v>
      </c>
      <c r="H1060" s="5">
        <v>5.75</v>
      </c>
      <c r="I1060" s="5">
        <v>-0.5</v>
      </c>
      <c r="J1060" s="6">
        <v>0.1286</v>
      </c>
      <c r="K1060" s="5">
        <v>17.09</v>
      </c>
      <c r="L1060" s="6">
        <v>0.7143</v>
      </c>
      <c r="M1060" s="6">
        <v>-1.1243</v>
      </c>
      <c r="N1060" s="6">
        <v>0.7143</v>
      </c>
      <c r="O1060" s="6">
        <v>0.1429</v>
      </c>
      <c r="P1060" s="6">
        <v>0.1429</v>
      </c>
      <c r="Q1060" s="7"/>
      <c r="R1060" s="7"/>
    </row>
    <row r="1061" spans="1:18">
      <c r="A1061" s="4" t="s">
        <v>1440</v>
      </c>
      <c r="B1061" s="4">
        <f t="shared" si="16"/>
        <v>5</v>
      </c>
      <c r="C1061" s="4" t="s">
        <v>803</v>
      </c>
      <c r="D1061" s="1" t="str">
        <f>IFERROR(VLOOKUP(A1061,[1]biopep_DB!$F$2:$J$1654,5,0),)</f>
        <v>Angiotensin I-converting enzyme inhibitory peptides generated from in vitro gastrointestinal digestion of pork meat.; Isolation and characterization of peptides with antihypertensive activity in foodstuffs.</v>
      </c>
      <c r="E1061" s="1" t="str">
        <f>IFERROR(VLOOKUP(A1061,[1]biopep_DB!$F$2:$L$1654,6,0),0)</f>
        <v>10.1021/jf904204n; 10.1080/10408398.2012.664829</v>
      </c>
      <c r="F1061" s="1" t="str">
        <f>IFERROR(VLOOKUP(A1061,[1]biopep_DB!$F$2:$L$1654,7,0),0)</f>
        <v>20151679 24915368</v>
      </c>
      <c r="G1061" s="5">
        <v>589.81</v>
      </c>
      <c r="H1061" s="5">
        <v>5.28</v>
      </c>
      <c r="I1061" s="5">
        <v>-0.5</v>
      </c>
      <c r="J1061" s="6">
        <v>2.18</v>
      </c>
      <c r="K1061" s="5">
        <v>40.76</v>
      </c>
      <c r="L1061" s="6">
        <v>1</v>
      </c>
      <c r="M1061" s="6">
        <v>-2.732</v>
      </c>
      <c r="N1061" s="6">
        <v>0.4</v>
      </c>
      <c r="O1061" s="6">
        <v>0.2</v>
      </c>
      <c r="P1061" s="6">
        <v>0.4</v>
      </c>
      <c r="Q1061" s="7"/>
      <c r="R1061" s="7"/>
    </row>
    <row r="1062" spans="1:18">
      <c r="A1062" s="4" t="s">
        <v>1441</v>
      </c>
      <c r="B1062" s="4">
        <f t="shared" si="16"/>
        <v>3</v>
      </c>
      <c r="C1062" s="4" t="s">
        <v>36</v>
      </c>
      <c r="D1062" s="1" t="str">
        <f>IFERROR(VLOOKUP(A1062,[1]biopep_DB!$F$2:$J$1654,5,0),)</f>
        <v>Structural requirements of Angiotensin I-converting enzyme inhibitory peptides: quantitative structure-activity relationship study of di- and tripeptides.; Angiotensin-I converting enzyme inhibitory peptide derived from porcine skeletal muscle myosin and its antihypertensive activity in spontaneously hypertensive rats.; Peptide inhibitors for angiotensin I-converting enzyme from enzymatic hydrolysates of porcine skeletal muscle proteins.</v>
      </c>
      <c r="E1062" s="1" t="str">
        <f>IFERROR(VLOOKUP(A1062,[1]biopep_DB!$F$2:$L$1654,6,0),0)</f>
        <v>10.1021/jf051263l; 10.1111/j.1750-3841.2007.00571.x; 10.1016/s0309-1740(00)00108-x</v>
      </c>
      <c r="F1062" s="1" t="str">
        <f>IFERROR(VLOOKUP(A1062,[1]biopep_DB!$F$2:$L$1654,7,0),0)</f>
        <v>16448176 18034756 22061507</v>
      </c>
      <c r="G1062" s="5">
        <v>360.43</v>
      </c>
      <c r="H1062" s="5">
        <v>5.28</v>
      </c>
      <c r="I1062" s="5">
        <v>-0.5</v>
      </c>
      <c r="J1062" s="6">
        <v>-1.0667</v>
      </c>
      <c r="K1062" s="5">
        <v>-2.93</v>
      </c>
      <c r="L1062" s="6">
        <v>0.6667</v>
      </c>
      <c r="M1062" s="6">
        <v>-0.2433</v>
      </c>
      <c r="N1062" s="6">
        <v>0.3333</v>
      </c>
      <c r="O1062" s="6">
        <v>0.6667</v>
      </c>
      <c r="P1062" s="6">
        <v>0</v>
      </c>
      <c r="Q1062" s="7"/>
      <c r="R1062" s="7"/>
    </row>
    <row r="1063" spans="1:18">
      <c r="A1063" s="4" t="s">
        <v>1442</v>
      </c>
      <c r="B1063" s="4">
        <f t="shared" si="16"/>
        <v>5</v>
      </c>
      <c r="C1063" s="4" t="s">
        <v>1443</v>
      </c>
      <c r="D1063" s="1" t="str">
        <f>IFERROR(VLOOKUP(A1063,[1]biopep_DB!$F$2:$J$1654,5,0),)</f>
        <v>Angiotensin-I converting enzyme inhibitory peptide derived from porcine skeletal muscle myosin and its antihypertensive activity in spontaneously hypertensive rats.; Angiotensin I-converting enzyme-inhibitory peptides obtained from chicken collagen hydrolysate.; Peptide inhibitors for angiotensin I-converting enzyme from enzymatic hydrolysates of porcine skeletal muscle proteins.; Antihypertensive peptides from food proteins: a review.; A new QSAR model, for angiotensin I-converting enzyme inhibitory oligopeptides.; Isolation and characterization of peptides with antihypertensive activity in foodstuffs.</v>
      </c>
      <c r="E1063" s="1" t="str">
        <f>IFERROR(VLOOKUP(A1063,[1]biopep_DB!$F$2:$L$1654,6,0),0)</f>
        <v>10.1111/j.1750-3841.2007.00571.x; 10.1021/jf072669w; 10.1016/s0309-1740(00)00108-x; 10.1039/c2fo10192k; 10.1016/j.foodchem.2012.09.092; 10.1080/10408398.2012.664829</v>
      </c>
      <c r="F1063" s="1" t="str">
        <f>IFERROR(VLOOKUP(A1063,[1]biopep_DB!$F$2:$L$1654,7,0),0)</f>
        <v>18034756 18808143 22061507 22249830 23194537 24915368</v>
      </c>
      <c r="G1063" s="5">
        <v>585.72</v>
      </c>
      <c r="H1063" s="5">
        <v>8.5</v>
      </c>
      <c r="I1063" s="5">
        <v>0.5</v>
      </c>
      <c r="J1063" s="6">
        <v>-1.74</v>
      </c>
      <c r="K1063" s="5">
        <v>40.76</v>
      </c>
      <c r="L1063" s="6">
        <v>0.6</v>
      </c>
      <c r="M1063" s="6">
        <v>0.17</v>
      </c>
      <c r="N1063" s="6">
        <v>0.4</v>
      </c>
      <c r="O1063" s="6">
        <v>0.6</v>
      </c>
      <c r="P1063" s="6">
        <v>0</v>
      </c>
      <c r="Q1063" s="7"/>
      <c r="R1063" s="7"/>
    </row>
    <row r="1064" spans="1:18">
      <c r="A1064" s="4" t="s">
        <v>1444</v>
      </c>
      <c r="B1064" s="4">
        <f t="shared" si="16"/>
        <v>10</v>
      </c>
      <c r="C1064" s="4" t="s">
        <v>1445</v>
      </c>
      <c r="D1064" s="1" t="str">
        <f>IFERROR(VLOOKUP(A1064,[1]biopep_DB!$F$2:$J$1654,5,0),)</f>
        <v>A new QSAR model, for angiotensin I-converting enzyme inhibitory oligopeptides.</v>
      </c>
      <c r="E1064" s="1" t="str">
        <f>IFERROR(VLOOKUP(A1064,[1]biopep_DB!$F$2:$L$1654,6,0),0)</f>
        <v>10.1016/j.foodchem.2012.09.092</v>
      </c>
      <c r="F1064" s="1" t="str">
        <f>IFERROR(VLOOKUP(A1064,[1]biopep_DB!$F$2:$L$1654,7,0),0)</f>
        <v>23194537</v>
      </c>
      <c r="G1064" s="5">
        <v>1356.66</v>
      </c>
      <c r="H1064" s="5">
        <v>10</v>
      </c>
      <c r="I1064" s="5">
        <v>1.59</v>
      </c>
      <c r="J1064" s="6">
        <v>-0.99</v>
      </c>
      <c r="K1064" s="5">
        <v>24.04</v>
      </c>
      <c r="L1064" s="6">
        <v>0.6</v>
      </c>
      <c r="M1064" s="6">
        <v>-0.763</v>
      </c>
      <c r="N1064" s="6">
        <v>0.4</v>
      </c>
      <c r="O1064" s="6">
        <v>0.2</v>
      </c>
      <c r="P1064" s="6">
        <v>0.3</v>
      </c>
      <c r="Q1064" s="7"/>
      <c r="R1064" s="7"/>
    </row>
    <row r="1065" spans="1:18">
      <c r="A1065" s="4" t="s">
        <v>1446</v>
      </c>
      <c r="B1065" s="4">
        <f t="shared" si="16"/>
        <v>2</v>
      </c>
      <c r="C1065" s="4" t="s">
        <v>1447</v>
      </c>
      <c r="G1065" s="5">
        <v>246.33</v>
      </c>
      <c r="H1065" s="5">
        <v>5.28</v>
      </c>
      <c r="I1065" s="5">
        <v>-0.5</v>
      </c>
      <c r="J1065" s="6">
        <v>0.15</v>
      </c>
      <c r="K1065" s="5">
        <v>224.7</v>
      </c>
      <c r="L1065" s="6">
        <v>1</v>
      </c>
      <c r="M1065" s="6">
        <v>-1.175</v>
      </c>
      <c r="N1065" s="6">
        <v>0.5</v>
      </c>
      <c r="O1065" s="6">
        <v>0.5</v>
      </c>
      <c r="P1065" s="6">
        <v>0</v>
      </c>
      <c r="Q1065" s="7"/>
      <c r="R1065" s="7"/>
    </row>
    <row r="1066" spans="1:18">
      <c r="A1066" s="4" t="s">
        <v>1448</v>
      </c>
      <c r="B1066" s="4">
        <f t="shared" si="16"/>
        <v>3</v>
      </c>
      <c r="C1066" s="4" t="s">
        <v>337</v>
      </c>
      <c r="D1066" s="1" t="str">
        <f>IFERROR(VLOOKUP(A1066,[1]biopep_DB!$F$2:$J$1654,5,0),)</f>
        <v>Isolation and characterization of peptides with antihypertensive activity in foodstuffs.</v>
      </c>
      <c r="E1066" s="1" t="str">
        <f>IFERROR(VLOOKUP(A1066,[1]biopep_DB!$F$2:$L$1654,6,0),0)</f>
        <v>10.1080/10408398.2012.664829</v>
      </c>
      <c r="F1066" s="1" t="str">
        <f>IFERROR(VLOOKUP(A1066,[1]biopep_DB!$F$2:$L$1654,7,0),0)</f>
        <v>24915368</v>
      </c>
      <c r="G1066" s="5">
        <v>393.5</v>
      </c>
      <c r="H1066" s="5">
        <v>5.28</v>
      </c>
      <c r="I1066" s="5">
        <v>-0.5</v>
      </c>
      <c r="J1066" s="6">
        <v>1.0333</v>
      </c>
      <c r="K1066" s="5">
        <v>217.33</v>
      </c>
      <c r="L1066" s="6">
        <v>1</v>
      </c>
      <c r="M1066" s="6">
        <v>-1.7767</v>
      </c>
      <c r="N1066" s="6">
        <v>0.3333</v>
      </c>
      <c r="O1066" s="6">
        <v>0.3333</v>
      </c>
      <c r="P1066" s="6">
        <v>0.3333</v>
      </c>
      <c r="Q1066" s="7"/>
      <c r="R1066" s="7"/>
    </row>
    <row r="1067" spans="1:18">
      <c r="A1067" s="4" t="s">
        <v>1449</v>
      </c>
      <c r="B1067" s="4">
        <f t="shared" si="16"/>
        <v>10</v>
      </c>
      <c r="C1067" s="4" t="s">
        <v>1212</v>
      </c>
      <c r="D1067" s="1" t="str">
        <f>IFERROR(VLOOKUP(A1067,[1]biopep_DB!$F$2:$J$1654,5,0),)</f>
        <v>Casein fermentate of Lactobacillus animalis DPC6134 contains a range of novel propeptide angiotensin-converting enzyme inhibitors.; A new QSAR model, for angiotensin I-converting enzyme inhibitory oligopeptides.</v>
      </c>
      <c r="E1067" s="1" t="str">
        <f>IFERROR(VLOOKUP(A1067,[1]biopep_DB!$F$2:$L$1654,6,0),0)</f>
        <v>10.1128/AEM.00096-07; 10.1016/j.foodchem.2012.09.092</v>
      </c>
      <c r="F1067" s="1" t="str">
        <f>IFERROR(VLOOKUP(A1067,[1]biopep_DB!$F$2:$L$1654,7,0),0)</f>
        <v>17483275 23194537</v>
      </c>
      <c r="G1067" s="5">
        <v>1204.44</v>
      </c>
      <c r="H1067" s="5">
        <v>5.75</v>
      </c>
      <c r="I1067" s="5">
        <v>-0.5</v>
      </c>
      <c r="J1067" s="6">
        <v>-0.62</v>
      </c>
      <c r="K1067" s="5">
        <v>142.32</v>
      </c>
      <c r="L1067" s="6">
        <v>0.7</v>
      </c>
      <c r="M1067" s="6">
        <v>-0.601</v>
      </c>
      <c r="N1067" s="6">
        <v>0.3</v>
      </c>
      <c r="O1067" s="6">
        <v>0.4</v>
      </c>
      <c r="P1067" s="6">
        <v>0.3</v>
      </c>
      <c r="Q1067" s="7"/>
      <c r="R1067" s="7"/>
    </row>
    <row r="1068" spans="1:18">
      <c r="A1068" s="4" t="s">
        <v>1450</v>
      </c>
      <c r="B1068" s="4">
        <f t="shared" si="16"/>
        <v>11</v>
      </c>
      <c r="C1068" s="4"/>
      <c r="D1068" s="1" t="str">
        <f>IFERROR(VLOOKUP(A1068,[1]biopep_DB!$F$2:$J$1654,5,0),)</f>
        <v>Isolation and structural analysis of antihypertensive peptides that exist naturally in Gouda cheese.; Isolation and characterization of peptides with antihypertensive activity in foodstuffs.</v>
      </c>
      <c r="E1068" s="1" t="str">
        <f>IFERROR(VLOOKUP(A1068,[1]biopep_DB!$F$2:$L$1654,6,0),0)</f>
        <v>10.3168/jds.S0022-0302(00)75013-2; 10.1080/10408398.2012.664829</v>
      </c>
      <c r="F1068" s="1" t="str">
        <f>IFERROR(VLOOKUP(A1068,[1]biopep_DB!$F$2:$L$1654,7,0),0)</f>
        <v>10908049 24915368</v>
      </c>
      <c r="G1068" s="5">
        <v>1350.63</v>
      </c>
      <c r="H1068" s="5">
        <v>8.34</v>
      </c>
      <c r="I1068" s="5">
        <v>0.5</v>
      </c>
      <c r="J1068" s="6">
        <v>-0.3091</v>
      </c>
      <c r="K1068" s="5">
        <v>147.8</v>
      </c>
      <c r="L1068" s="6">
        <v>0.7273</v>
      </c>
      <c r="M1068" s="6">
        <v>-0.8427</v>
      </c>
      <c r="N1068" s="6">
        <v>0.1818</v>
      </c>
      <c r="O1068" s="6">
        <v>0.3636</v>
      </c>
      <c r="P1068" s="6">
        <v>0.3636</v>
      </c>
      <c r="Q1068" s="7"/>
      <c r="R1068" s="7"/>
    </row>
    <row r="1069" spans="1:18">
      <c r="A1069" s="4" t="s">
        <v>1451</v>
      </c>
      <c r="B1069" s="4">
        <f t="shared" si="16"/>
        <v>3</v>
      </c>
      <c r="C1069" s="4" t="s">
        <v>36</v>
      </c>
      <c r="D1069" s="1" t="str">
        <f>IFERROR(VLOOKUP(A1069,[1]biopep_DB!$F$2:$J$1654,5,0),)</f>
        <v>Structural requirements of Angiotensin I-converting enzyme inhibitory peptides: quantitative structure-activity relationship study of di- and tripeptides.</v>
      </c>
      <c r="E1069" s="1" t="str">
        <f>IFERROR(VLOOKUP(A1069,[1]biopep_DB!$F$2:$L$1654,6,0),0)</f>
        <v>10.1021/jf051263l</v>
      </c>
      <c r="F1069" s="1" t="str">
        <f>IFERROR(VLOOKUP(A1069,[1]biopep_DB!$F$2:$L$1654,7,0),0)</f>
        <v>16448176</v>
      </c>
      <c r="G1069" s="5">
        <v>343.44</v>
      </c>
      <c r="H1069" s="5">
        <v>5.28</v>
      </c>
      <c r="I1069" s="5">
        <v>-0.5</v>
      </c>
      <c r="J1069" s="6">
        <v>-0.4333</v>
      </c>
      <c r="K1069" s="5">
        <v>217.33</v>
      </c>
      <c r="L1069" s="6">
        <v>1</v>
      </c>
      <c r="M1069" s="6">
        <v>-0.7833</v>
      </c>
      <c r="N1069" s="6">
        <v>0.3333</v>
      </c>
      <c r="O1069" s="6">
        <v>0.6667</v>
      </c>
      <c r="P1069" s="6">
        <v>0</v>
      </c>
      <c r="Q1069" s="7"/>
      <c r="R1069" s="7"/>
    </row>
    <row r="1070" spans="1:18">
      <c r="A1070" s="4" t="s">
        <v>1452</v>
      </c>
      <c r="B1070" s="4">
        <f t="shared" si="16"/>
        <v>8</v>
      </c>
      <c r="C1070" s="4"/>
      <c r="G1070" s="5">
        <v>884.95</v>
      </c>
      <c r="H1070" s="5">
        <v>4.51</v>
      </c>
      <c r="I1070" s="5">
        <v>-2.41</v>
      </c>
      <c r="J1070" s="6">
        <v>-0.575</v>
      </c>
      <c r="K1070" s="5">
        <v>67.71</v>
      </c>
      <c r="L1070" s="6">
        <v>0.5</v>
      </c>
      <c r="M1070" s="6">
        <v>-0.4488</v>
      </c>
      <c r="N1070" s="6">
        <v>0.25</v>
      </c>
      <c r="O1070" s="6">
        <v>0.375</v>
      </c>
      <c r="P1070" s="6">
        <v>0.25</v>
      </c>
      <c r="Q1070" s="7"/>
      <c r="R1070" s="7"/>
    </row>
    <row r="1071" spans="1:18">
      <c r="A1071" s="4" t="s">
        <v>1453</v>
      </c>
      <c r="B1071" s="4">
        <f t="shared" si="16"/>
        <v>5</v>
      </c>
      <c r="C1071" s="4" t="s">
        <v>31</v>
      </c>
      <c r="G1071" s="5">
        <v>676.79</v>
      </c>
      <c r="H1071" s="5">
        <v>8.5</v>
      </c>
      <c r="I1071" s="5">
        <v>0.5</v>
      </c>
      <c r="J1071" s="6">
        <v>-2.7</v>
      </c>
      <c r="K1071" s="5">
        <v>-7.08</v>
      </c>
      <c r="L1071" s="6">
        <v>0.2</v>
      </c>
      <c r="M1071" s="6">
        <v>0.998</v>
      </c>
      <c r="N1071" s="6">
        <v>0.4</v>
      </c>
      <c r="O1071" s="6">
        <v>0.2</v>
      </c>
      <c r="P1071" s="6">
        <v>0</v>
      </c>
      <c r="Q1071" s="7"/>
      <c r="R1071" s="7"/>
    </row>
    <row r="1072" spans="1:18">
      <c r="A1072" s="4" t="s">
        <v>1454</v>
      </c>
      <c r="B1072" s="4">
        <f t="shared" si="16"/>
        <v>3</v>
      </c>
      <c r="C1072" s="4" t="s">
        <v>36</v>
      </c>
      <c r="D1072" s="1" t="str">
        <f>IFERROR(VLOOKUP(A1072,[1]biopep_DB!$F$2:$J$1654,5,0),)</f>
        <v>Isolation and antihypertensive effect of angiotensin I-converting enzyme (ACE) inhibitory peptides from spinach Rubisco.; Met-Arg-Trp derived from Rubisco lowers blood pressure via prostaglandin D(2)-dependent vasorelaxation in spontaneously hypertensive rats.; Isolation and characterization of peptides with antihypertensive activity in foodstuffs.</v>
      </c>
      <c r="E1072" s="1" t="str">
        <f>IFERROR(VLOOKUP(A1072,[1]biopep_DB!$F$2:$L$1654,6,0),0)</f>
        <v>10.1021/jf026186y; 10.1016/j.peptides.2007.11.011; 10.1080/10408398.2012.664829</v>
      </c>
      <c r="F1072" s="1" t="str">
        <f>IFERROR(VLOOKUP(A1072,[1]biopep_DB!$F$2:$L$1654,7,0),0)</f>
        <v>12903942 18180074 24915368</v>
      </c>
      <c r="G1072" s="5">
        <v>491.61</v>
      </c>
      <c r="H1072" s="5">
        <v>9.5</v>
      </c>
      <c r="I1072" s="5">
        <v>0.5</v>
      </c>
      <c r="J1072" s="6">
        <v>-1.1667</v>
      </c>
      <c r="K1072" s="5">
        <v>172.47</v>
      </c>
      <c r="L1072" s="6">
        <v>0.6667</v>
      </c>
      <c r="M1072" s="6">
        <v>-0.6533</v>
      </c>
      <c r="N1072" s="6">
        <v>0.3333</v>
      </c>
      <c r="O1072" s="6">
        <v>0</v>
      </c>
      <c r="P1072" s="6">
        <v>0.3333</v>
      </c>
      <c r="Q1072" s="7"/>
      <c r="R1072" s="7"/>
    </row>
    <row r="1073" spans="1:18">
      <c r="A1073" s="4" t="s">
        <v>1455</v>
      </c>
      <c r="B1073" s="4">
        <f t="shared" si="16"/>
        <v>5</v>
      </c>
      <c r="C1073" s="4" t="s">
        <v>1456</v>
      </c>
      <c r="D1073" s="1" t="str">
        <f>IFERROR(VLOOKUP(A1073,[1]biopep_DB!$F$2:$J$1654,5,0),)</f>
        <v>Isolation and antihypertensive effect of angiotensin I-converting enzyme (ACE) inhibitory peptides from spinach Rubisco.; A new QSAR model, for angiotensin I-converting enzyme inhibitory oligopeptides.; Vegetable foods: a cheap source of proteins and peptides with antihypertensive, antioxidant, and other less occurrence bioactivities.; Isolation and characterization of peptides with antihypertensive activity in foodstuffs.</v>
      </c>
      <c r="E1073" s="1" t="str">
        <f>IFERROR(VLOOKUP(A1073,[1]biopep_DB!$F$2:$L$1654,6,0),0)</f>
        <v>10.1021/jf026186y; 10.1016/j.foodchem.2012.09.092; 10.1016/j.talanta.2012.12.041; 10.1080/10408398.2012.664829</v>
      </c>
      <c r="F1073" s="1" t="str">
        <f>IFERROR(VLOOKUP(A1073,[1]biopep_DB!$F$2:$L$1654,7,0),0)</f>
        <v>12903942 23194537 23598136 24915368</v>
      </c>
      <c r="G1073" s="5">
        <v>762.88</v>
      </c>
      <c r="H1073" s="5">
        <v>9.35</v>
      </c>
      <c r="I1073" s="5">
        <v>0.5</v>
      </c>
      <c r="J1073" s="6">
        <v>-2.3</v>
      </c>
      <c r="K1073" s="5">
        <v>107.48</v>
      </c>
      <c r="L1073" s="6">
        <v>0.4</v>
      </c>
      <c r="M1073" s="6">
        <v>0.488</v>
      </c>
      <c r="N1073" s="6">
        <v>0.2</v>
      </c>
      <c r="O1073" s="6">
        <v>0.2</v>
      </c>
      <c r="P1073" s="6">
        <v>0.2</v>
      </c>
      <c r="Q1073" s="7"/>
      <c r="R1073" s="7"/>
    </row>
    <row r="1074" spans="1:18">
      <c r="A1074" s="4" t="s">
        <v>1457</v>
      </c>
      <c r="B1074" s="4">
        <f t="shared" si="16"/>
        <v>9</v>
      </c>
      <c r="C1074" s="4" t="s">
        <v>1458</v>
      </c>
      <c r="D1074" s="1" t="str">
        <f>IFERROR(VLOOKUP(A1074,[1]biopep_DB!$F$2:$J$1654,5,0),)</f>
        <v>Active peptides from skate (Okamejei kenojei) skin gelatin diminish angiotensin-I converting enzyme activity and intracellular free radical-mediated oxidation.</v>
      </c>
      <c r="E1074" s="1" t="str">
        <f>IFERROR(VLOOKUP(A1074,[1]biopep_DB!$F$2:$L$1654,6,0),0)</f>
        <v>10.1016/j.foodchem.2013.07.067</v>
      </c>
      <c r="F1074" s="1" t="str">
        <f>IFERROR(VLOOKUP(A1074,[1]biopep_DB!$F$2:$L$1654,7,0),0)</f>
        <v>24054237</v>
      </c>
      <c r="G1074" s="5">
        <v>830</v>
      </c>
      <c r="H1074" s="5">
        <v>5.28</v>
      </c>
      <c r="I1074" s="5">
        <v>-0.5</v>
      </c>
      <c r="J1074" s="6">
        <v>1.4111</v>
      </c>
      <c r="K1074" s="5">
        <v>20.86</v>
      </c>
      <c r="L1074" s="6">
        <v>0.6667</v>
      </c>
      <c r="M1074" s="6">
        <v>-2.0222</v>
      </c>
      <c r="N1074" s="6">
        <v>0.3333</v>
      </c>
      <c r="O1074" s="6">
        <v>0.4444</v>
      </c>
      <c r="P1074" s="6">
        <v>0.3333</v>
      </c>
      <c r="Q1074" s="7"/>
      <c r="R1074" s="7"/>
    </row>
    <row r="1075" spans="1:18">
      <c r="A1075" s="4" t="s">
        <v>1459</v>
      </c>
      <c r="B1075" s="4">
        <f t="shared" si="16"/>
        <v>2</v>
      </c>
      <c r="C1075" s="4" t="s">
        <v>31</v>
      </c>
      <c r="D1075" s="1" t="str">
        <f>IFERROR(VLOOKUP(A1075,[1]biopep_DB!$F$2:$J$1654,5,0),)</f>
        <v>Structural requirements of Angiotensin I-converting enzyme inhibitory peptides: quantitative structure-activity relationship study of di- and tripeptides.; Antihypertensive peptides from food proteins: a review.; Review on the angiotensin-I-converting enzyme (ACE) inhibitor peptides from marine proteins.; What are the ideal properties for functional food peptides with antihypertensive effect? A computational peptidology approach.; Isolation and characterization of peptides with antihypertensive activity in foodstuffs.</v>
      </c>
      <c r="E1075" s="1" t="str">
        <f>IFERROR(VLOOKUP(A1075,[1]biopep_DB!$F$2:$L$1654,6,0),0)</f>
        <v>10.1021/jf051263l; 10.1039/c2fo10192k; 10.1007/s12010-012-0024-y; 10.1016/j.foodchem.2013.05.140; 10.1080/10408398.2012.664829</v>
      </c>
      <c r="F1075" s="1" t="str">
        <f>IFERROR(VLOOKUP(A1075,[1]biopep_DB!$F$2:$L$1654,7,0),0)</f>
        <v>16448176 22249830 23271625 23871047 24915368</v>
      </c>
      <c r="G1075" s="5">
        <v>335.42</v>
      </c>
      <c r="H1075" s="5">
        <v>5.28</v>
      </c>
      <c r="I1075" s="5">
        <v>-0.5</v>
      </c>
      <c r="J1075" s="6">
        <v>0.5</v>
      </c>
      <c r="K1075" s="5">
        <v>5</v>
      </c>
      <c r="L1075" s="6">
        <v>1</v>
      </c>
      <c r="M1075" s="6">
        <v>-2.34</v>
      </c>
      <c r="N1075" s="6">
        <v>0.5</v>
      </c>
      <c r="O1075" s="6">
        <v>0</v>
      </c>
      <c r="P1075" s="6">
        <v>0.5</v>
      </c>
      <c r="Q1075" s="7"/>
      <c r="R1075" s="7"/>
    </row>
    <row r="1076" spans="1:18">
      <c r="A1076" s="4" t="s">
        <v>1460</v>
      </c>
      <c r="B1076" s="4">
        <f t="shared" si="16"/>
        <v>2</v>
      </c>
      <c r="C1076" s="4" t="s">
        <v>36</v>
      </c>
      <c r="D1076" s="1" t="str">
        <f>IFERROR(VLOOKUP(A1076,[1]biopep_DB!$F$2:$J$1654,5,0),)</f>
        <v>Angiotensin I-converting enzyme inhibitory peptides in an alkaline protease hydrolyzate derived from sardine muscle.; Structural requirements of Angiotensin I-converting enzyme inhibitory peptides: quantitative structure-activity relationship study of di- and tripeptides.; Bioactive peptides in amaranth (Amaranthus hypochondriacus) seed.; Review on the angiotensin-I-converting enzyme (ACE) inhibitor peptides from marine proteins.; What are the ideal properties for functional food peptides with antihypertensive effect? A computational peptidology approach.</v>
      </c>
      <c r="E1076" s="1" t="str">
        <f>IFERROR(VLOOKUP(A1076,[1]biopep_DB!$F$2:$L$1654,6,0),0)</f>
        <v>10.1271/bbb.58.2244; 10.1021/jf051263l; 10.1021/jf072911z; 10.1007/s12010-012-0024-y; 10.1016/j.foodchem.2013.05.140</v>
      </c>
      <c r="F1076" s="1" t="str">
        <f>IFERROR(VLOOKUP(A1076,[1]biopep_DB!$F$2:$L$1654,7,0),0)</f>
        <v>7765718 16448176 18211015 23271625 23871047</v>
      </c>
      <c r="G1076" s="5">
        <v>312.38</v>
      </c>
      <c r="H1076" s="5">
        <v>5.27</v>
      </c>
      <c r="I1076" s="5">
        <v>-0.5</v>
      </c>
      <c r="J1076" s="6">
        <v>0.3</v>
      </c>
      <c r="K1076" s="5">
        <v>123.4</v>
      </c>
      <c r="L1076" s="6">
        <v>0.5</v>
      </c>
      <c r="M1076" s="6">
        <v>-1.105</v>
      </c>
      <c r="N1076" s="6">
        <v>0.5</v>
      </c>
      <c r="O1076" s="6">
        <v>0</v>
      </c>
      <c r="P1076" s="6">
        <v>0.5</v>
      </c>
      <c r="Q1076" s="7"/>
      <c r="R1076" s="7"/>
    </row>
    <row r="1077" spans="1:18">
      <c r="A1077" s="4" t="s">
        <v>1461</v>
      </c>
      <c r="B1077" s="4">
        <f t="shared" si="16"/>
        <v>6</v>
      </c>
      <c r="C1077" s="4" t="s">
        <v>1462</v>
      </c>
      <c r="D1077" s="1" t="str">
        <f>IFERROR(VLOOKUP(A1077,[1]biopep_DB!$F$2:$J$1654,5,0),)</f>
        <v>Angiotensin I-converting enzyme inhibitory peptides generated from in vitro gastrointestinal digestion of pork meat.; A new QSAR model, for angiotensin I-converting enzyme inhibitory oligopeptides.; Isolation and characterization of peptides with antihypertensive activity in foodstuffs.</v>
      </c>
      <c r="E1077" s="1" t="str">
        <f>IFERROR(VLOOKUP(A1077,[1]biopep_DB!$F$2:$L$1654,6,0),0)</f>
        <v>10.1021/jf904204n; 10.1016/j.foodchem.2012.09.092; 10.1080/10408398.2012.664829</v>
      </c>
      <c r="F1077" s="1" t="str">
        <f>IFERROR(VLOOKUP(A1077,[1]biopep_DB!$F$2:$L$1654,7,0),0)</f>
        <v>20151679 23194537 24915368</v>
      </c>
      <c r="G1077" s="5">
        <v>650.79</v>
      </c>
      <c r="H1077" s="5">
        <v>5.27</v>
      </c>
      <c r="I1077" s="5">
        <v>-0.5</v>
      </c>
      <c r="J1077" s="6">
        <v>0.8167</v>
      </c>
      <c r="K1077" s="5">
        <v>54.22</v>
      </c>
      <c r="L1077" s="6">
        <v>0.6667</v>
      </c>
      <c r="M1077" s="6">
        <v>-1.6467</v>
      </c>
      <c r="N1077" s="6">
        <v>0.3333</v>
      </c>
      <c r="O1077" s="6">
        <v>0.3333</v>
      </c>
      <c r="P1077" s="6">
        <v>0.3333</v>
      </c>
      <c r="Q1077" s="7"/>
      <c r="R1077" s="7"/>
    </row>
    <row r="1078" spans="1:18">
      <c r="A1078" s="4" t="s">
        <v>1463</v>
      </c>
      <c r="B1078" s="4">
        <f t="shared" si="16"/>
        <v>3</v>
      </c>
      <c r="C1078" s="4" t="s">
        <v>158</v>
      </c>
      <c r="D1078" s="1" t="str">
        <f>IFERROR(VLOOKUP(A1078,[1]biopep_DB!$F$2:$J$1654,5,0),)</f>
        <v>Inhibition of angiotensin-converting enzyme by synthetic peptide fragments of human kappa-casein.; What are the ideal properties for functional food peptides with antihypertensive effect? A computational peptidology approach.</v>
      </c>
      <c r="E1078" s="1" t="str">
        <f>IFERROR(VLOOKUP(A1078,[1]biopep_DB!$F$2:$L$1654,6,0),0)</f>
        <v>10.1016/j.foodchem.2013.05.140</v>
      </c>
      <c r="F1078" s="1" t="str">
        <f>IFERROR(VLOOKUP(A1078,[1]biopep_DB!$F$2:$L$1654,7,0),0)</f>
        <v>1368540 23871047</v>
      </c>
      <c r="G1078" s="5">
        <v>475.56</v>
      </c>
      <c r="H1078" s="5">
        <v>5.27</v>
      </c>
      <c r="I1078" s="5">
        <v>-0.5</v>
      </c>
      <c r="J1078" s="6">
        <v>-0.2333</v>
      </c>
      <c r="K1078" s="5">
        <v>126.73</v>
      </c>
      <c r="L1078" s="6">
        <v>0.3333</v>
      </c>
      <c r="M1078" s="6">
        <v>-0.69</v>
      </c>
      <c r="N1078" s="6">
        <v>0.3333</v>
      </c>
      <c r="O1078" s="6">
        <v>0</v>
      </c>
      <c r="P1078" s="6">
        <v>0.6667</v>
      </c>
      <c r="Q1078" s="7"/>
      <c r="R1078" s="7"/>
    </row>
    <row r="1079" spans="1:18">
      <c r="A1079" s="4" t="s">
        <v>1464</v>
      </c>
      <c r="B1079" s="4">
        <f t="shared" si="16"/>
        <v>17</v>
      </c>
      <c r="C1079" s="4" t="s">
        <v>311</v>
      </c>
      <c r="D1079" s="1" t="str">
        <f>IFERROR(VLOOKUP(A1079,[1]biopep_DB!$F$2:$J$1654,5,0),)</f>
        <v/>
      </c>
      <c r="E1079" s="1" t="str">
        <f>IFERROR(VLOOKUP(A1079,[1]biopep_DB!$F$2:$L$1654,6,0),0)</f>
        <v/>
      </c>
      <c r="F1079" s="1" t="str">
        <f>IFERROR(VLOOKUP(A1079,[1]biopep_DB!$F$2:$L$1654,7,0),0)</f>
        <v/>
      </c>
      <c r="G1079" s="5">
        <v>1818.94</v>
      </c>
      <c r="H1079" s="5">
        <v>6</v>
      </c>
      <c r="I1079" s="5">
        <v>-0.24</v>
      </c>
      <c r="J1079" s="6">
        <v>-0.7765</v>
      </c>
      <c r="K1079" s="5">
        <v>32.07</v>
      </c>
      <c r="L1079" s="6">
        <v>0.3529</v>
      </c>
      <c r="M1079" s="6">
        <v>-0.1924</v>
      </c>
      <c r="N1079" s="6">
        <v>0.1765</v>
      </c>
      <c r="O1079" s="6">
        <v>0.4118</v>
      </c>
      <c r="P1079" s="6">
        <v>0.3529</v>
      </c>
      <c r="Q1079" s="7"/>
      <c r="R1079" s="7"/>
    </row>
    <row r="1080" spans="1:18">
      <c r="A1080" s="4" t="s">
        <v>1465</v>
      </c>
      <c r="B1080" s="4">
        <f t="shared" si="16"/>
        <v>5</v>
      </c>
      <c r="C1080" s="4" t="s">
        <v>1466</v>
      </c>
      <c r="D1080" s="1" t="str">
        <f>IFERROR(VLOOKUP(A1080,[1]biopep_DB!$F$2:$J$1654,5,0),)</f>
        <v>Glycinyl-histidinyl-serine (GHS), a novel rapeseed protein-derived peptide has blood pressure-lowering effect in spontaneously hypertensive rats.</v>
      </c>
      <c r="E1080" s="1" t="str">
        <f>IFERROR(VLOOKUP(A1080,[1]biopep_DB!$F$2:$L$1654,6,0),0)</f>
        <v>10.1021/jf400865m</v>
      </c>
      <c r="F1080" s="1" t="str">
        <f>IFERROR(VLOOKUP(A1080,[1]biopep_DB!$F$2:$L$1654,7,0),0)</f>
        <v>23919612</v>
      </c>
      <c r="G1080" s="5">
        <v>584.63</v>
      </c>
      <c r="H1080" s="5">
        <v>9.75</v>
      </c>
      <c r="I1080" s="5">
        <v>0.76</v>
      </c>
      <c r="J1080" s="6">
        <v>-2.26</v>
      </c>
      <c r="K1080" s="5">
        <v>46.52</v>
      </c>
      <c r="L1080" s="6">
        <v>0.4</v>
      </c>
      <c r="M1080" s="6">
        <v>0.778</v>
      </c>
      <c r="N1080" s="6">
        <v>0.2</v>
      </c>
      <c r="O1080" s="6">
        <v>0.4</v>
      </c>
      <c r="P1080" s="6">
        <v>0</v>
      </c>
      <c r="Q1080" s="7"/>
      <c r="R1080" s="7"/>
    </row>
    <row r="1081" spans="1:18">
      <c r="A1081" s="4" t="s">
        <v>1467</v>
      </c>
      <c r="B1081" s="4">
        <f t="shared" si="16"/>
        <v>7</v>
      </c>
      <c r="C1081" s="4"/>
      <c r="D1081" s="1" t="str">
        <f>IFERROR(VLOOKUP(A1081,[1]biopep_DB!$F$2:$J$1654,5,0),)</f>
        <v>Hot topic: Changes in angiotensin-converting enzyme inhibition and concentrations of the tripeptides Val-Pro-Pro and Ile-Pro-Pro during ripening of different Swiss cheese varieties.</v>
      </c>
      <c r="E1081" s="1" t="str">
        <f>IFERROR(VLOOKUP(A1081,[1]biopep_DB!$F$2:$L$1654,6,0),0)</f>
        <v>10.3168/jds.2008-1531</v>
      </c>
      <c r="F1081" s="1" t="str">
        <f>IFERROR(VLOOKUP(A1081,[1]biopep_DB!$F$2:$L$1654,7,0),0)</f>
        <v>19233775</v>
      </c>
      <c r="G1081" s="5">
        <v>817.88</v>
      </c>
      <c r="H1081" s="5">
        <v>4.37</v>
      </c>
      <c r="I1081" s="5">
        <v>-1.24</v>
      </c>
      <c r="J1081" s="6">
        <v>-0.9857</v>
      </c>
      <c r="K1081" s="5">
        <v>8.57</v>
      </c>
      <c r="L1081" s="6">
        <v>0.2857</v>
      </c>
      <c r="M1081" s="6">
        <v>-0.3543</v>
      </c>
      <c r="N1081" s="6">
        <v>0.4286</v>
      </c>
      <c r="O1081" s="6">
        <v>0.4286</v>
      </c>
      <c r="P1081" s="6">
        <v>0.2857</v>
      </c>
      <c r="Q1081" s="7"/>
      <c r="R1081" s="7"/>
    </row>
    <row r="1082" spans="1:18">
      <c r="A1082" s="4" t="s">
        <v>1468</v>
      </c>
      <c r="B1082" s="4">
        <f t="shared" si="16"/>
        <v>14</v>
      </c>
      <c r="C1082" s="4"/>
      <c r="D1082" s="1" t="str">
        <f>IFERROR(VLOOKUP(A1082,[1]biopep_DB!$F$2:$J$1654,5,0),)</f>
        <v>Identification of angiotensin-I-converting enzyme inhibitory peptides derived from sodium caseinate hydrolysates produced by Lactobacillus helveticus NCC 2765.</v>
      </c>
      <c r="E1082" s="1" t="str">
        <f>IFERROR(VLOOKUP(A1082,[1]biopep_DB!$F$2:$L$1654,6,0),0)</f>
        <v>10.1021/jf049510t</v>
      </c>
      <c r="F1082" s="1" t="str">
        <f>IFERROR(VLOOKUP(A1082,[1]biopep_DB!$F$2:$L$1654,7,0),0)</f>
        <v>15537298</v>
      </c>
      <c r="G1082" s="5">
        <v>1692.91</v>
      </c>
      <c r="H1082" s="5">
        <v>4.86</v>
      </c>
      <c r="I1082" s="5">
        <v>-1.23</v>
      </c>
      <c r="J1082" s="6">
        <v>0.0214</v>
      </c>
      <c r="K1082" s="5">
        <v>76.73</v>
      </c>
      <c r="L1082" s="6">
        <v>0.6429</v>
      </c>
      <c r="M1082" s="6">
        <v>-1.0993</v>
      </c>
      <c r="N1082" s="6">
        <v>0.3571</v>
      </c>
      <c r="O1082" s="6">
        <v>0.2857</v>
      </c>
      <c r="P1082" s="6">
        <v>0.4286</v>
      </c>
      <c r="Q1082" s="7"/>
      <c r="R1082" s="7"/>
    </row>
    <row r="1083" spans="1:18">
      <c r="A1083" s="4" t="s">
        <v>1469</v>
      </c>
      <c r="B1083" s="4">
        <f t="shared" si="16"/>
        <v>17</v>
      </c>
      <c r="C1083" s="4" t="s">
        <v>1470</v>
      </c>
      <c r="D1083" s="1" t="str">
        <f>IFERROR(VLOOKUP(A1083,[1]biopep_DB!$F$2:$J$1654,5,0),)</f>
        <v>Identification of angiotensin-I-converting enzyme inhibitory peptides derived from sodium caseinate hydrolysates produced by Lactobacillus helveticus NCC 2765.</v>
      </c>
      <c r="E1083" s="1" t="str">
        <f>IFERROR(VLOOKUP(A1083,[1]biopep_DB!$F$2:$L$1654,6,0),0)</f>
        <v>10.1021/jf049510t</v>
      </c>
      <c r="F1083" s="1" t="str">
        <f>IFERROR(VLOOKUP(A1083,[1]biopep_DB!$F$2:$L$1654,7,0),0)</f>
        <v>15537298</v>
      </c>
      <c r="G1083" s="5">
        <v>1996.27</v>
      </c>
      <c r="H1083" s="5">
        <v>4.53</v>
      </c>
      <c r="I1083" s="5">
        <v>-1.23</v>
      </c>
      <c r="J1083" s="6">
        <v>0.4059</v>
      </c>
      <c r="K1083" s="5">
        <v>64.95</v>
      </c>
      <c r="L1083" s="6">
        <v>0.6471</v>
      </c>
      <c r="M1083" s="6">
        <v>-1.3735</v>
      </c>
      <c r="N1083" s="6">
        <v>0.2941</v>
      </c>
      <c r="O1083" s="6">
        <v>0.2941</v>
      </c>
      <c r="P1083" s="6">
        <v>0.4706</v>
      </c>
      <c r="Q1083" s="7"/>
      <c r="R1083" s="7"/>
    </row>
    <row r="1084" spans="1:18">
      <c r="A1084" s="4" t="s">
        <v>1471</v>
      </c>
      <c r="B1084" s="4">
        <f t="shared" si="16"/>
        <v>2</v>
      </c>
      <c r="C1084" s="4" t="s">
        <v>36</v>
      </c>
      <c r="D1084" s="1" t="str">
        <f>IFERROR(VLOOKUP(A1084,[1]biopep_DB!$F$2:$J$1654,5,0),)</f>
        <v>Structural requirements of Angiotensin I-converting enzyme inhibitory peptides: quantitative structure-activity relationship study of di- and tripeptides.; Max-E47, a designed minimalist protein that targets the E-box DNA site in vivo and in vitro.;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Isolation and characterization of peptides with antihypertensive activity in foodstuffs.</v>
      </c>
      <c r="E1084" s="1" t="str">
        <f>IFERROR(VLOOKUP(A1084,[1]biopep_DB!$F$2:$L$1654,6,0),0)</f>
        <v>10.1021/jf051263l; 10.1021/ja901306q; 10.1016/j.talanta.2012.12.041; 10.1016/j.jprot.2013.06.023; 10.1080/10408398.2012.664829</v>
      </c>
      <c r="F1084" s="1" t="str">
        <f>IFERROR(VLOOKUP(A1084,[1]biopep_DB!$F$2:$L$1654,7,0),0)</f>
        <v>16448176 19449889 23598136 23806758 24915368</v>
      </c>
      <c r="G1084" s="5">
        <v>279.29</v>
      </c>
      <c r="H1084" s="5">
        <v>5.53</v>
      </c>
      <c r="I1084" s="5">
        <v>-0.24</v>
      </c>
      <c r="J1084" s="6">
        <v>-0.35</v>
      </c>
      <c r="K1084" s="5">
        <v>-70.15</v>
      </c>
      <c r="L1084" s="6">
        <v>0.5</v>
      </c>
      <c r="M1084" s="6">
        <v>-0.68</v>
      </c>
      <c r="N1084" s="6">
        <v>0</v>
      </c>
      <c r="O1084" s="6">
        <v>0.5</v>
      </c>
      <c r="P1084" s="6">
        <v>0.5</v>
      </c>
      <c r="Q1084" s="7"/>
      <c r="R1084" s="7"/>
    </row>
    <row r="1085" spans="1:18">
      <c r="A1085" s="4" t="s">
        <v>1472</v>
      </c>
      <c r="B1085" s="4">
        <f t="shared" si="16"/>
        <v>2</v>
      </c>
      <c r="C1085" s="4" t="s">
        <v>1473</v>
      </c>
      <c r="D1085" s="1" t="str">
        <f>IFERROR(VLOOKUP(A1085,[1]biopep_DB!$F$2:$J$1654,5,0),)</f>
        <v/>
      </c>
      <c r="E1085" s="1" t="str">
        <f>IFERROR(VLOOKUP(A1085,[1]biopep_DB!$F$2:$L$1654,6,0),0)</f>
        <v/>
      </c>
      <c r="F1085" s="1" t="str">
        <f>IFERROR(VLOOKUP(A1085,[1]biopep_DB!$F$2:$L$1654,7,0),0)</f>
        <v/>
      </c>
      <c r="G1085" s="5">
        <v>189.17</v>
      </c>
      <c r="H1085" s="5">
        <v>5.53</v>
      </c>
      <c r="I1085" s="5">
        <v>-0.24</v>
      </c>
      <c r="J1085" s="6">
        <v>-1.95</v>
      </c>
      <c r="K1085" s="5">
        <v>-70.15</v>
      </c>
      <c r="L1085" s="6">
        <v>0</v>
      </c>
      <c r="M1085" s="6">
        <v>0.34</v>
      </c>
      <c r="N1085" s="6">
        <v>0</v>
      </c>
      <c r="O1085" s="6">
        <v>1</v>
      </c>
      <c r="P1085" s="6">
        <v>0</v>
      </c>
      <c r="Q1085" s="7"/>
      <c r="R1085" s="7"/>
    </row>
    <row r="1086" spans="1:18">
      <c r="A1086" s="4" t="s">
        <v>1474</v>
      </c>
      <c r="B1086" s="4">
        <f t="shared" si="16"/>
        <v>8</v>
      </c>
      <c r="C1086" s="4"/>
      <c r="G1086" s="5">
        <v>947</v>
      </c>
      <c r="H1086" s="5">
        <v>4.05</v>
      </c>
      <c r="I1086" s="5">
        <v>-1.24</v>
      </c>
      <c r="J1086" s="6">
        <v>-1.175</v>
      </c>
      <c r="K1086" s="5">
        <v>8.71</v>
      </c>
      <c r="L1086" s="6">
        <v>0.5</v>
      </c>
      <c r="M1086" s="6">
        <v>-0.3413</v>
      </c>
      <c r="N1086" s="6">
        <v>0.125</v>
      </c>
      <c r="O1086" s="6">
        <v>0.5</v>
      </c>
      <c r="P1086" s="6">
        <v>0.375</v>
      </c>
      <c r="Q1086" s="7"/>
      <c r="R1086" s="7"/>
    </row>
    <row r="1087" spans="1:18">
      <c r="A1087" s="4" t="s">
        <v>1475</v>
      </c>
      <c r="B1087" s="4">
        <f t="shared" si="16"/>
        <v>11</v>
      </c>
      <c r="C1087" s="4" t="s">
        <v>1476</v>
      </c>
      <c r="D1087" s="1" t="str">
        <f>IFERROR(VLOOKUP(A1087,[1]biopep_DB!$F$2:$J$1654,5,0),)</f>
        <v>Identification of angiotensin I-converting enzyme inhibitory peptides from koumiss, a traditional fermented mare's milk.</v>
      </c>
      <c r="E1087" s="1" t="str">
        <f>IFERROR(VLOOKUP(A1087,[1]biopep_DB!$F$2:$L$1654,6,0),0)</f>
        <v>10.3168/jds.2009-2672</v>
      </c>
      <c r="F1087" s="1" t="str">
        <f>IFERROR(VLOOKUP(A1087,[1]biopep_DB!$F$2:$L$1654,7,0),0)</f>
        <v>20172208</v>
      </c>
      <c r="G1087" s="5">
        <v>1446.62</v>
      </c>
      <c r="H1087" s="5">
        <v>9.62</v>
      </c>
      <c r="I1087" s="5">
        <v>1.02</v>
      </c>
      <c r="J1087" s="6">
        <v>-1.9182</v>
      </c>
      <c r="K1087" s="5">
        <v>17.69</v>
      </c>
      <c r="L1087" s="6">
        <v>0.2727</v>
      </c>
      <c r="M1087" s="6">
        <v>0.4173</v>
      </c>
      <c r="N1087" s="6">
        <v>0.1818</v>
      </c>
      <c r="O1087" s="6">
        <v>0.2727</v>
      </c>
      <c r="P1087" s="6">
        <v>0.0909</v>
      </c>
      <c r="Q1087" s="7"/>
      <c r="R1087" s="7"/>
    </row>
    <row r="1088" spans="1:18">
      <c r="A1088" s="4" t="s">
        <v>1477</v>
      </c>
      <c r="B1088" s="4">
        <f t="shared" si="16"/>
        <v>6</v>
      </c>
      <c r="C1088" s="4"/>
      <c r="D1088" s="1" t="str">
        <f>IFERROR(VLOOKUP(A1088,[1]biopep_DB!$F$2:$J$1654,5,0),)</f>
        <v>Release of angiotensin I-converting enzyme inhibitory peptides from flaxseed (Linum usitatissimum L.) protein under simulated gastrointestinal digestion.</v>
      </c>
      <c r="E1088" s="1" t="str">
        <f>IFERROR(VLOOKUP(A1088,[1]biopep_DB!$F$2:$L$1654,6,0),0)</f>
        <v>10.1021/jf202000e</v>
      </c>
      <c r="F1088" s="1" t="str">
        <f>IFERROR(VLOOKUP(A1088,[1]biopep_DB!$F$2:$L$1654,7,0),0)</f>
        <v>21776963</v>
      </c>
      <c r="G1088" s="5">
        <v>689.71</v>
      </c>
      <c r="H1088" s="5">
        <v>4.05</v>
      </c>
      <c r="I1088" s="5">
        <v>-2.24</v>
      </c>
      <c r="J1088" s="6">
        <v>-0.3667</v>
      </c>
      <c r="K1088" s="5">
        <v>56.52</v>
      </c>
      <c r="L1088" s="6">
        <v>0.3333</v>
      </c>
      <c r="M1088" s="6">
        <v>-0.7667</v>
      </c>
      <c r="N1088" s="6">
        <v>0</v>
      </c>
      <c r="O1088" s="6">
        <v>0.5</v>
      </c>
      <c r="P1088" s="6">
        <v>0.5</v>
      </c>
      <c r="Q1088" s="7"/>
      <c r="R1088" s="7"/>
    </row>
    <row r="1089" spans="1:18">
      <c r="A1089" s="4" t="s">
        <v>1478</v>
      </c>
      <c r="B1089" s="4">
        <f t="shared" si="16"/>
        <v>6</v>
      </c>
      <c r="C1089" s="4"/>
      <c r="D1089" s="1" t="str">
        <f>IFERROR(VLOOKUP(A1089,[1]biopep_DB!$F$2:$J$1654,5,0),)</f>
        <v>Release of angiotensin I-converting enzyme inhibitory peptides from flaxseed (Linum usitatissimum L.) protein under simulated gastrointestinal digestion.</v>
      </c>
      <c r="E1089" s="1" t="str">
        <f>IFERROR(VLOOKUP(A1089,[1]biopep_DB!$F$2:$L$1654,6,0),0)</f>
        <v>10.1021/jf202000e</v>
      </c>
      <c r="F1089" s="1" t="str">
        <f>IFERROR(VLOOKUP(A1089,[1]biopep_DB!$F$2:$L$1654,7,0),0)</f>
        <v>21776963</v>
      </c>
      <c r="G1089" s="5">
        <v>689.71</v>
      </c>
      <c r="H1089" s="5">
        <v>4.05</v>
      </c>
      <c r="I1089" s="5">
        <v>-2.24</v>
      </c>
      <c r="J1089" s="6">
        <v>-0.4833</v>
      </c>
      <c r="K1089" s="5">
        <v>56.52</v>
      </c>
      <c r="L1089" s="6">
        <v>0.3333</v>
      </c>
      <c r="M1089" s="6">
        <v>-0.7667</v>
      </c>
      <c r="N1089" s="6">
        <v>0.1667</v>
      </c>
      <c r="O1089" s="6">
        <v>0.5</v>
      </c>
      <c r="P1089" s="6">
        <v>0.5</v>
      </c>
      <c r="Q1089" s="7"/>
      <c r="R1089" s="7"/>
    </row>
    <row r="1090" spans="1:18">
      <c r="A1090" s="4" t="s">
        <v>1479</v>
      </c>
      <c r="B1090" s="4">
        <f t="shared" si="16"/>
        <v>6</v>
      </c>
      <c r="C1090" s="4" t="s">
        <v>173</v>
      </c>
      <c r="D1090" s="1" t="str">
        <f>IFERROR(VLOOKUP(A1090,[1]biopep_DB!$F$2:$J$1654,5,0),)</f>
        <v>Angiotensin I converting enzyme inhibitory peptides from simulated in vitro gastrointestinal digestion of cooked eggs.; A new QSAR model, for angiotensin I-converting enzyme inhibitory oligopeptides.; Isolation and characterization of peptides with antihypertensive activity in foodstuffs.</v>
      </c>
      <c r="E1090" s="1" t="str">
        <f>IFERROR(VLOOKUP(A1090,[1]biopep_DB!$F$2:$L$1654,6,0),0)</f>
        <v>10.1021/jf8028557; 10.1016/j.foodchem.2012.09.092; 10.1080/10408398.2012.664829</v>
      </c>
      <c r="F1090" s="1" t="str">
        <f>IFERROR(VLOOKUP(A1090,[1]biopep_DB!$F$2:$L$1654,7,0),0)</f>
        <v>19154160 23194537 24915368</v>
      </c>
      <c r="G1090" s="5">
        <v>755.88</v>
      </c>
      <c r="H1090" s="5">
        <v>5.52</v>
      </c>
      <c r="I1090" s="5">
        <v>-0.25</v>
      </c>
      <c r="J1090" s="6">
        <v>0.5667</v>
      </c>
      <c r="K1090" s="5">
        <v>168</v>
      </c>
      <c r="L1090" s="6">
        <v>0.5</v>
      </c>
      <c r="M1090" s="6">
        <v>-1.2367</v>
      </c>
      <c r="N1090" s="6">
        <v>0</v>
      </c>
      <c r="O1090" s="6">
        <v>0.3333</v>
      </c>
      <c r="P1090" s="6">
        <v>0.5</v>
      </c>
      <c r="Q1090" s="7"/>
      <c r="R1090" s="7"/>
    </row>
    <row r="1091" spans="1:18">
      <c r="A1091" s="4" t="s">
        <v>1480</v>
      </c>
      <c r="B1091" s="4">
        <f t="shared" si="16"/>
        <v>5</v>
      </c>
      <c r="C1091" s="4" t="s">
        <v>803</v>
      </c>
      <c r="D1091" s="1" t="str">
        <f>IFERROR(VLOOKUP(A1091,[1]biopep_DB!$F$2:$J$1654,5,0),)</f>
        <v>Angiotensin I-converting enzyme inhibitory peptides generated from in vitro gastrointestinal digestion of pork meat.; Isolation and characterization of peptides with antihypertensive activity in foodstuffs.</v>
      </c>
      <c r="E1091" s="1" t="str">
        <f>IFERROR(VLOOKUP(A1091,[1]biopep_DB!$F$2:$L$1654,6,0),0)</f>
        <v>10.1021/jf904204n; 10.1080/10408398.2012.664829</v>
      </c>
      <c r="F1091" s="1" t="str">
        <f>IFERROR(VLOOKUP(A1091,[1]biopep_DB!$F$2:$L$1654,7,0),0)</f>
        <v>20151679 24915368</v>
      </c>
      <c r="G1091" s="5">
        <v>526.63</v>
      </c>
      <c r="H1091" s="5">
        <v>5.53</v>
      </c>
      <c r="I1091" s="5">
        <v>-0.24</v>
      </c>
      <c r="J1091" s="6">
        <v>1.14</v>
      </c>
      <c r="K1091" s="5">
        <v>128.64</v>
      </c>
      <c r="L1091" s="6">
        <v>0.8</v>
      </c>
      <c r="M1091" s="6">
        <v>-2.006</v>
      </c>
      <c r="N1091" s="6">
        <v>0.2</v>
      </c>
      <c r="O1091" s="6">
        <v>0.4</v>
      </c>
      <c r="P1091" s="6">
        <v>0.4</v>
      </c>
      <c r="Q1091" s="7"/>
      <c r="R1091" s="7"/>
    </row>
    <row r="1092" spans="1:18">
      <c r="A1092" s="4" t="s">
        <v>1481</v>
      </c>
      <c r="B1092" s="4">
        <f t="shared" si="16"/>
        <v>4</v>
      </c>
      <c r="C1092" s="4" t="s">
        <v>1482</v>
      </c>
      <c r="D1092" s="1" t="str">
        <f>IFERROR(VLOOKUP(A1092,[1]biopep_DB!$F$2:$J$1654,5,0),)</f>
        <v>Inhibition of angiotensin-converting enzyme by synthetic peptide fragments of various beta-caseins.; What are the ideal properties for functional food peptides with antihypertensive effect? A computational peptidology approach.</v>
      </c>
      <c r="E1092" s="1" t="str">
        <f>IFERROR(VLOOKUP(A1092,[1]biopep_DB!$F$2:$L$1654,6,0),0)</f>
        <v>10.1016/j.foodchem.2013.05.140</v>
      </c>
      <c r="F1092" s="1" t="str">
        <f>IFERROR(VLOOKUP(A1092,[1]biopep_DB!$F$2:$L$1654,7,0),0)</f>
        <v>1368548 23871047</v>
      </c>
      <c r="G1092" s="5">
        <v>455.55</v>
      </c>
      <c r="H1092" s="5">
        <v>5.53</v>
      </c>
      <c r="I1092" s="5">
        <v>-0.24</v>
      </c>
      <c r="J1092" s="6">
        <v>0.8</v>
      </c>
      <c r="K1092" s="5">
        <v>213.65</v>
      </c>
      <c r="L1092" s="6">
        <v>0.75</v>
      </c>
      <c r="M1092" s="6">
        <v>-2.055</v>
      </c>
      <c r="N1092" s="6">
        <v>0.25</v>
      </c>
      <c r="O1092" s="6">
        <v>0.5</v>
      </c>
      <c r="P1092" s="6">
        <v>0.5</v>
      </c>
      <c r="Q1092" s="7"/>
      <c r="R1092" s="7"/>
    </row>
    <row r="1093" spans="1:18">
      <c r="A1093" s="4" t="s">
        <v>1483</v>
      </c>
      <c r="B1093" s="4">
        <f t="shared" si="16"/>
        <v>10</v>
      </c>
      <c r="C1093" s="4" t="s">
        <v>1484</v>
      </c>
      <c r="D1093" s="1" t="str">
        <f>IFERROR(VLOOKUP(A1093,[1]biopep_DB!$F$2:$J$1654,5,0),)</f>
        <v>A new QSAR model, for angiotensin I-converting enzyme inhibitory oligopeptides.</v>
      </c>
      <c r="E1093" s="1" t="str">
        <f>IFERROR(VLOOKUP(A1093,[1]biopep_DB!$F$2:$L$1654,6,0),0)</f>
        <v>10.1016/j.foodchem.2012.09.092</v>
      </c>
      <c r="F1093" s="1" t="str">
        <f>IFERROR(VLOOKUP(A1093,[1]biopep_DB!$F$2:$L$1654,7,0),0)</f>
        <v>23194537</v>
      </c>
      <c r="G1093" s="5">
        <v>1079.25</v>
      </c>
      <c r="H1093" s="5">
        <v>5.53</v>
      </c>
      <c r="I1093" s="5">
        <v>-0.24</v>
      </c>
      <c r="J1093" s="6">
        <v>-0.07</v>
      </c>
      <c r="K1093" s="5">
        <v>81.04</v>
      </c>
      <c r="L1093" s="6">
        <v>0.6</v>
      </c>
      <c r="M1093" s="6">
        <v>-1.038</v>
      </c>
      <c r="N1093" s="6">
        <v>0.1</v>
      </c>
      <c r="O1093" s="6">
        <v>0.4</v>
      </c>
      <c r="P1093" s="6">
        <v>0.5</v>
      </c>
      <c r="Q1093" s="7"/>
      <c r="R1093" s="7"/>
    </row>
    <row r="1094" spans="1:18">
      <c r="A1094" s="4" t="s">
        <v>1485</v>
      </c>
      <c r="B1094" s="4">
        <f t="shared" ref="B1094:B1157" si="17">LEN(A1094)</f>
        <v>17</v>
      </c>
      <c r="C1094" s="4" t="s">
        <v>1486</v>
      </c>
      <c r="D1094" s="1" t="str">
        <f>IFERROR(VLOOKUP(A1094,[1]biopep_DB!$F$2:$J$1654,5,0),)</f>
        <v>Casein fermentate of Lactobacillus animalis DPC6134 contains a range of novel propeptide angiotensin-converting enzyme inhibitors.; A new QSAR model, for angiotensin I-converting enzyme inhibitory oligopeptides.</v>
      </c>
      <c r="E1094" s="1" t="str">
        <f>IFERROR(VLOOKUP(A1094,[1]biopep_DB!$F$2:$L$1654,6,0),0)</f>
        <v>10.1128/AEM.00096-07; 10.1016/j.foodchem.2012.09.092</v>
      </c>
      <c r="F1094" s="1" t="str">
        <f>IFERROR(VLOOKUP(A1094,[1]biopep_DB!$F$2:$L$1654,7,0),0)</f>
        <v>17483275 23194537</v>
      </c>
      <c r="G1094" s="5">
        <v>1860.2</v>
      </c>
      <c r="H1094" s="5">
        <v>5.53</v>
      </c>
      <c r="I1094" s="5">
        <v>-0.24</v>
      </c>
      <c r="J1094" s="6">
        <v>0.4882</v>
      </c>
      <c r="K1094" s="5">
        <v>85.78</v>
      </c>
      <c r="L1094" s="6">
        <v>0.7059</v>
      </c>
      <c r="M1094" s="6">
        <v>-1.4706</v>
      </c>
      <c r="N1094" s="6">
        <v>0.0588</v>
      </c>
      <c r="O1094" s="6">
        <v>0.3529</v>
      </c>
      <c r="P1094" s="6">
        <v>0.5294</v>
      </c>
      <c r="Q1094" s="7"/>
      <c r="R1094" s="7"/>
    </row>
    <row r="1095" spans="1:18">
      <c r="A1095" s="4" t="s">
        <v>1487</v>
      </c>
      <c r="B1095" s="4">
        <f t="shared" si="17"/>
        <v>25</v>
      </c>
      <c r="C1095" s="4"/>
      <c r="D1095" s="1" t="str">
        <f>IFERROR(VLOOKUP(A1095,[1]biopep_DB!$F$2:$J$1654,5,0),)</f>
        <v>Casein fermentate of Lactobacillus animalis DPC6134 contains a range of novel propeptide angiotensin-converting enzyme inhibitors.</v>
      </c>
      <c r="E1095" s="1" t="str">
        <f>IFERROR(VLOOKUP(A1095,[1]biopep_DB!$F$2:$L$1654,6,0),0)</f>
        <v>10.1128/AEM.00096-07</v>
      </c>
      <c r="F1095" s="1" t="str">
        <f>IFERROR(VLOOKUP(A1095,[1]biopep_DB!$F$2:$L$1654,7,0),0)</f>
        <v>17483275</v>
      </c>
      <c r="G1095" s="5">
        <v>2688.19</v>
      </c>
      <c r="H1095" s="5">
        <v>6</v>
      </c>
      <c r="I1095" s="5">
        <v>-0.24</v>
      </c>
      <c r="J1095" s="6">
        <v>0.336</v>
      </c>
      <c r="K1095" s="5">
        <v>76.18</v>
      </c>
      <c r="L1095" s="6">
        <v>0.64</v>
      </c>
      <c r="M1095" s="6">
        <v>-1.2924</v>
      </c>
      <c r="N1095" s="6">
        <v>0.16</v>
      </c>
      <c r="O1095" s="6">
        <v>0.36</v>
      </c>
      <c r="P1095" s="6">
        <v>0.44</v>
      </c>
      <c r="Q1095" s="7"/>
      <c r="R1095" s="7"/>
    </row>
    <row r="1096" spans="1:18">
      <c r="A1096" s="4" t="s">
        <v>1488</v>
      </c>
      <c r="B1096" s="4">
        <f t="shared" si="17"/>
        <v>2</v>
      </c>
      <c r="C1096" s="4" t="s">
        <v>1489</v>
      </c>
      <c r="D1096" s="1" t="str">
        <f>IFERROR(VLOOKUP(A1096,[1]biopep_DB!$F$2:$J$1654,5,0),)</f>
        <v>Peptides with angiotensin I converting enzyme (ACE) inhibitory activity generated from porcine skeletal muscle proteins by the action of meat-borne Lactobacillus.</v>
      </c>
      <c r="E1096" s="1" t="str">
        <f>IFERROR(VLOOKUP(A1096,[1]biopep_DB!$F$2:$L$1654,6,0),0)</f>
        <v>10.1016/j.jprot.2013.06.023</v>
      </c>
      <c r="F1096" s="1" t="str">
        <f>IFERROR(VLOOKUP(A1096,[1]biopep_DB!$F$2:$L$1654,7,0),0)</f>
        <v>23806758</v>
      </c>
      <c r="G1096" s="5">
        <v>260.29</v>
      </c>
      <c r="H1096" s="5">
        <v>8.75</v>
      </c>
      <c r="I1096" s="5">
        <v>0.76</v>
      </c>
      <c r="J1096" s="6">
        <v>-3.7</v>
      </c>
      <c r="K1096" s="5">
        <v>123.4</v>
      </c>
      <c r="L1096" s="6">
        <v>0</v>
      </c>
      <c r="M1096" s="6">
        <v>1.6</v>
      </c>
      <c r="N1096" s="6">
        <v>0.5</v>
      </c>
      <c r="O1096" s="6">
        <v>0.5</v>
      </c>
      <c r="P1096" s="6">
        <v>0</v>
      </c>
      <c r="Q1096" s="7"/>
      <c r="R1096" s="7"/>
    </row>
    <row r="1097" spans="1:18">
      <c r="A1097" s="4" t="s">
        <v>1490</v>
      </c>
      <c r="B1097" s="4">
        <f t="shared" si="17"/>
        <v>3</v>
      </c>
      <c r="C1097" s="4" t="s">
        <v>1491</v>
      </c>
      <c r="D1097" s="1" t="str">
        <f>IFERROR(VLOOKUP(A1097,[1]biopep_DB!$F$2:$J$1654,5,0),)</f>
        <v/>
      </c>
      <c r="E1097" s="1" t="str">
        <f>IFERROR(VLOOKUP(A1097,[1]biopep_DB!$F$2:$L$1654,6,0),0)</f>
        <v/>
      </c>
      <c r="F1097" s="1" t="str">
        <f>IFERROR(VLOOKUP(A1097,[1]biopep_DB!$F$2:$L$1654,7,0),0)</f>
        <v/>
      </c>
      <c r="G1097" s="5">
        <v>373.45</v>
      </c>
      <c r="H1097" s="5">
        <v>8.75</v>
      </c>
      <c r="I1097" s="5">
        <v>0.76</v>
      </c>
      <c r="J1097" s="6">
        <v>-1.2</v>
      </c>
      <c r="K1097" s="5">
        <v>57.3</v>
      </c>
      <c r="L1097" s="6">
        <v>0.3333</v>
      </c>
      <c r="M1097" s="6">
        <v>-0.5733</v>
      </c>
      <c r="N1097" s="6">
        <v>0.6667</v>
      </c>
      <c r="O1097" s="6">
        <v>0.3333</v>
      </c>
      <c r="P1097" s="6">
        <v>0.3333</v>
      </c>
      <c r="Q1097" s="7"/>
      <c r="R1097" s="7"/>
    </row>
    <row r="1098" spans="1:18">
      <c r="A1098" s="4" t="s">
        <v>1492</v>
      </c>
      <c r="B1098" s="4">
        <f t="shared" si="17"/>
        <v>6</v>
      </c>
      <c r="C1098" s="4"/>
      <c r="D1098" s="1" t="str">
        <f>IFERROR(VLOOKUP(A1098,[1]biopep_DB!$F$2:$J$1654,5,0),)</f>
        <v>Isolation and characterization of peptides with antihypertensive activity in foodstuffs.</v>
      </c>
      <c r="E1098" s="1" t="str">
        <f>IFERROR(VLOOKUP(A1098,[1]biopep_DB!$F$2:$L$1654,6,0),0)</f>
        <v>10.1080/10408398.2012.664829</v>
      </c>
      <c r="F1098" s="1" t="str">
        <f>IFERROR(VLOOKUP(A1098,[1]biopep_DB!$F$2:$L$1654,7,0),0)</f>
        <v>24915368</v>
      </c>
      <c r="G1098" s="5">
        <v>673.8</v>
      </c>
      <c r="H1098" s="5">
        <v>5.53</v>
      </c>
      <c r="I1098" s="5">
        <v>-0.24</v>
      </c>
      <c r="J1098" s="6">
        <v>1.1833</v>
      </c>
      <c r="K1098" s="5">
        <v>72.53</v>
      </c>
      <c r="L1098" s="6">
        <v>0.8333</v>
      </c>
      <c r="M1098" s="6">
        <v>-2.1683</v>
      </c>
      <c r="N1098" s="6">
        <v>0.5</v>
      </c>
      <c r="O1098" s="6">
        <v>0.3333</v>
      </c>
      <c r="P1098" s="6">
        <v>0.5</v>
      </c>
      <c r="Q1098" s="7"/>
      <c r="R1098" s="7"/>
    </row>
    <row r="1099" spans="1:18">
      <c r="A1099" s="4" t="s">
        <v>1493</v>
      </c>
      <c r="B1099" s="4">
        <f t="shared" si="17"/>
        <v>6</v>
      </c>
      <c r="C1099" s="4"/>
      <c r="D1099" s="1" t="str">
        <f>IFERROR(VLOOKUP(A1099,[1]biopep_DB!$F$2:$J$1654,5,0),)</f>
        <v>Release of angiotensin I-converting enzyme inhibitory peptides from flaxseed (Linum usitatissimum L.) protein under simulated gastrointestinal digestion.</v>
      </c>
      <c r="E1099" s="1" t="str">
        <f>IFERROR(VLOOKUP(A1099,[1]biopep_DB!$F$2:$L$1654,6,0),0)</f>
        <v>10.1021/jf202000e</v>
      </c>
      <c r="F1099" s="1" t="str">
        <f>IFERROR(VLOOKUP(A1099,[1]biopep_DB!$F$2:$L$1654,7,0),0)</f>
        <v>21776963</v>
      </c>
      <c r="G1099" s="5">
        <v>689.71</v>
      </c>
      <c r="H1099" s="5">
        <v>4.05</v>
      </c>
      <c r="I1099" s="5">
        <v>-2.24</v>
      </c>
      <c r="J1099" s="6">
        <v>-0.4833</v>
      </c>
      <c r="K1099" s="5">
        <v>-16.72</v>
      </c>
      <c r="L1099" s="6">
        <v>0.3333</v>
      </c>
      <c r="M1099" s="6">
        <v>-0.7667</v>
      </c>
      <c r="N1099" s="6">
        <v>0.1667</v>
      </c>
      <c r="O1099" s="6">
        <v>0.5</v>
      </c>
      <c r="P1099" s="6">
        <v>0.5</v>
      </c>
      <c r="Q1099" s="7"/>
      <c r="R1099" s="7"/>
    </row>
    <row r="1100" spans="1:18">
      <c r="A1100" s="4" t="s">
        <v>1494</v>
      </c>
      <c r="B1100" s="4">
        <f t="shared" si="17"/>
        <v>6</v>
      </c>
      <c r="C1100" s="4"/>
      <c r="D1100" s="1" t="str">
        <f>IFERROR(VLOOKUP(A1100,[1]biopep_DB!$F$2:$J$1654,5,0),)</f>
        <v>Release of angiotensin I-converting enzyme inhibitory peptides from flaxseed (Linum usitatissimum L.) protein under simulated gastrointestinal digestion.</v>
      </c>
      <c r="E1100" s="1" t="str">
        <f>IFERROR(VLOOKUP(A1100,[1]biopep_DB!$F$2:$L$1654,6,0),0)</f>
        <v>10.1021/jf202000e</v>
      </c>
      <c r="F1100" s="1" t="str">
        <f>IFERROR(VLOOKUP(A1100,[1]biopep_DB!$F$2:$L$1654,7,0),0)</f>
        <v>21776963</v>
      </c>
      <c r="G1100" s="5">
        <v>689.71</v>
      </c>
      <c r="H1100" s="5">
        <v>4.05</v>
      </c>
      <c r="I1100" s="5">
        <v>-2.24</v>
      </c>
      <c r="J1100" s="6">
        <v>-0.6</v>
      </c>
      <c r="K1100" s="5">
        <v>-16.72</v>
      </c>
      <c r="L1100" s="6">
        <v>0.3333</v>
      </c>
      <c r="M1100" s="6">
        <v>-0.7667</v>
      </c>
      <c r="N1100" s="6">
        <v>0.3333</v>
      </c>
      <c r="O1100" s="6">
        <v>0.5</v>
      </c>
      <c r="P1100" s="6">
        <v>0.5</v>
      </c>
      <c r="Q1100" s="7"/>
      <c r="R1100" s="7"/>
    </row>
    <row r="1101" spans="1:18">
      <c r="A1101" s="4" t="s">
        <v>1495</v>
      </c>
      <c r="B1101" s="4">
        <f t="shared" si="17"/>
        <v>5</v>
      </c>
      <c r="C1101" s="4" t="s">
        <v>1496</v>
      </c>
      <c r="D1101" s="1" t="str">
        <f>IFERROR(VLOOKUP(A1101,[1]biopep_DB!$F$2:$J$1654,5,0),)</f>
        <v>Inhibition of angiotensin-converting enzyme by synthetic peptide fragments of various beta-caseins.; A new QSAR model, for angiotensin I-converting enzyme inhibitory oligopeptides.</v>
      </c>
      <c r="E1101" s="1" t="str">
        <f>IFERROR(VLOOKUP(A1101,[1]biopep_DB!$F$2:$L$1654,6,0),0)</f>
        <v>10.1016/j.foodchem.2012.09.092</v>
      </c>
      <c r="F1101" s="1" t="str">
        <f>IFERROR(VLOOKUP(A1101,[1]biopep_DB!$F$2:$L$1654,7,0),0)</f>
        <v>1368548 23194537</v>
      </c>
      <c r="G1101" s="5">
        <v>592.69</v>
      </c>
      <c r="H1101" s="5">
        <v>6.74</v>
      </c>
      <c r="I1101" s="5">
        <v>-0.15</v>
      </c>
      <c r="J1101" s="6">
        <v>-0.14</v>
      </c>
      <c r="K1101" s="5">
        <v>46.52</v>
      </c>
      <c r="L1101" s="6">
        <v>0.6</v>
      </c>
      <c r="M1101" s="6">
        <v>-1.446</v>
      </c>
      <c r="N1101" s="6">
        <v>0.4</v>
      </c>
      <c r="O1101" s="6">
        <v>0.4</v>
      </c>
      <c r="P1101" s="6">
        <v>0.4</v>
      </c>
      <c r="Q1101" s="7"/>
      <c r="R1101" s="7"/>
    </row>
    <row r="1102" spans="1:18">
      <c r="A1102" s="4" t="s">
        <v>1497</v>
      </c>
      <c r="B1102" s="4">
        <f t="shared" si="17"/>
        <v>7</v>
      </c>
      <c r="C1102" s="4" t="s">
        <v>1498</v>
      </c>
      <c r="D1102" s="1" t="str">
        <f>IFERROR(VLOOKUP(A1102,[1]biopep_DB!$F$2:$J$1654,5,0),)</f>
        <v>Inhibition of angiotensin-converting enzyme by synthetic peptide fragments of various beta-caseins.</v>
      </c>
      <c r="E1102" s="1" t="str">
        <f>IFERROR(VLOOKUP(A1102,[1]biopep_DB!$F$2:$L$1654,6,0),0)</f>
        <v/>
      </c>
      <c r="F1102" s="1" t="str">
        <f>IFERROR(VLOOKUP(A1102,[1]biopep_DB!$F$2:$L$1654,7,0),0)</f>
        <v>1368548</v>
      </c>
      <c r="G1102" s="5">
        <v>802.96</v>
      </c>
      <c r="H1102" s="5">
        <v>6.74</v>
      </c>
      <c r="I1102" s="5">
        <v>-0.15</v>
      </c>
      <c r="J1102" s="6">
        <v>0.2143</v>
      </c>
      <c r="K1102" s="5">
        <v>63.6</v>
      </c>
      <c r="L1102" s="6">
        <v>0.7143</v>
      </c>
      <c r="M1102" s="6">
        <v>-1.7357</v>
      </c>
      <c r="N1102" s="6">
        <v>0.4286</v>
      </c>
      <c r="O1102" s="6">
        <v>0.4286</v>
      </c>
      <c r="P1102" s="6">
        <v>0.4286</v>
      </c>
      <c r="Q1102" s="7"/>
      <c r="R1102" s="7"/>
    </row>
    <row r="1103" spans="1:18">
      <c r="A1103" s="4" t="s">
        <v>1499</v>
      </c>
      <c r="B1103" s="4">
        <f t="shared" si="17"/>
        <v>9</v>
      </c>
      <c r="C1103" s="4" t="s">
        <v>173</v>
      </c>
      <c r="D1103" s="1" t="str">
        <f>IFERROR(VLOOKUP(A1103,[1]biopep_DB!$F$2:$J$1654,5,0),)</f>
        <v>Identification of angiotensin-I-converting enzyme inhibitory peptides derived from sodium caseinate hydrolysates produced by Lactobacillus helveticus NCC 2765.</v>
      </c>
      <c r="E1103" s="1" t="str">
        <f>IFERROR(VLOOKUP(A1103,[1]biopep_DB!$F$2:$L$1654,6,0),0)</f>
        <v>10.1021/jf049510t</v>
      </c>
      <c r="F1103" s="1" t="str">
        <f>IFERROR(VLOOKUP(A1103,[1]biopep_DB!$F$2:$L$1654,7,0),0)</f>
        <v>15537298</v>
      </c>
      <c r="G1103" s="5">
        <v>1029.28</v>
      </c>
      <c r="H1103" s="5">
        <v>6.74</v>
      </c>
      <c r="I1103" s="5">
        <v>-0.15</v>
      </c>
      <c r="J1103" s="6">
        <v>1.0111</v>
      </c>
      <c r="K1103" s="5">
        <v>51.69</v>
      </c>
      <c r="L1103" s="6">
        <v>0.7778</v>
      </c>
      <c r="M1103" s="6">
        <v>-2.4433</v>
      </c>
      <c r="N1103" s="6">
        <v>0.5556</v>
      </c>
      <c r="O1103" s="6">
        <v>0.3333</v>
      </c>
      <c r="P1103" s="6">
        <v>0.5556</v>
      </c>
      <c r="Q1103" s="7"/>
      <c r="R1103" s="7"/>
    </row>
    <row r="1104" spans="1:18">
      <c r="A1104" s="4" t="s">
        <v>1500</v>
      </c>
      <c r="B1104" s="4">
        <f t="shared" si="17"/>
        <v>8</v>
      </c>
      <c r="C1104" s="4" t="s">
        <v>743</v>
      </c>
      <c r="D1104" s="1" t="str">
        <f>IFERROR(VLOOKUP(A1104,[1]biopep_DB!$F$2:$J$1654,5,0),)</f>
        <v>Angiotensin converting enzyme inhibitory peptides derived from food proteins: biochemistry, bioactivity and production.; A new QSAR model, for angiotensin I-converting enzyme inhibitory oligopeptides.</v>
      </c>
      <c r="E1104" s="1" t="str">
        <f>IFERROR(VLOOKUP(A1104,[1]biopep_DB!$F$2:$L$1654,6,0),0)</f>
        <v>10.2174/138161207780363068; 10.1016/j.foodchem.2012.09.092</v>
      </c>
      <c r="F1104" s="1" t="str">
        <f>IFERROR(VLOOKUP(A1104,[1]biopep_DB!$F$2:$L$1654,7,0),0)</f>
        <v>17430180 23194537</v>
      </c>
      <c r="G1104" s="5">
        <v>874.02</v>
      </c>
      <c r="H1104" s="5">
        <v>8.75</v>
      </c>
      <c r="I1104" s="5">
        <v>0.76</v>
      </c>
      <c r="J1104" s="6">
        <v>-0.6375</v>
      </c>
      <c r="K1104" s="5">
        <v>44.65</v>
      </c>
      <c r="L1104" s="6">
        <v>0.5</v>
      </c>
      <c r="M1104" s="6">
        <v>-0.4275</v>
      </c>
      <c r="N1104" s="6">
        <v>0.375</v>
      </c>
      <c r="O1104" s="6">
        <v>0.5</v>
      </c>
      <c r="P1104" s="6">
        <v>0.125</v>
      </c>
      <c r="Q1104" s="7"/>
      <c r="R1104" s="7"/>
    </row>
    <row r="1105" spans="1:18">
      <c r="A1105" s="4" t="s">
        <v>1501</v>
      </c>
      <c r="B1105" s="4">
        <f t="shared" si="17"/>
        <v>7</v>
      </c>
      <c r="C1105" s="4" t="s">
        <v>1502</v>
      </c>
      <c r="D1105" s="1" t="str">
        <f>IFERROR(VLOOKUP(A1105,[1]biopep_DB!$F$2:$J$1654,5,0),)</f>
        <v>A new QSAR model, for angiotensin I-converting enzyme inhibitory oligopeptides.</v>
      </c>
      <c r="E1105" s="1" t="str">
        <f>IFERROR(VLOOKUP(A1105,[1]biopep_DB!$F$2:$L$1654,6,0),0)</f>
        <v>10.1016/j.foodchem.2012.09.092</v>
      </c>
      <c r="F1105" s="1" t="str">
        <f>IFERROR(VLOOKUP(A1105,[1]biopep_DB!$F$2:$L$1654,7,0),0)</f>
        <v>23194537</v>
      </c>
      <c r="G1105" s="5">
        <v>904.04</v>
      </c>
      <c r="H1105" s="5">
        <v>5.53</v>
      </c>
      <c r="I1105" s="5">
        <v>-0.24</v>
      </c>
      <c r="J1105" s="6">
        <v>-0.2143</v>
      </c>
      <c r="K1105" s="5">
        <v>55.14</v>
      </c>
      <c r="L1105" s="6">
        <v>0.5714</v>
      </c>
      <c r="M1105" s="6">
        <v>-1.2914</v>
      </c>
      <c r="N1105" s="6">
        <v>0.2857</v>
      </c>
      <c r="O1105" s="6">
        <v>0.2857</v>
      </c>
      <c r="P1105" s="6">
        <v>0.4286</v>
      </c>
      <c r="Q1105" s="7"/>
      <c r="R1105" s="7"/>
    </row>
    <row r="1106" spans="1:18">
      <c r="A1106" s="4" t="s">
        <v>1503</v>
      </c>
      <c r="B1106" s="4">
        <f t="shared" si="17"/>
        <v>2</v>
      </c>
      <c r="C1106" s="4" t="s">
        <v>36</v>
      </c>
      <c r="D1106" s="1" t="str">
        <f>IFERROR(VLOOKUP(A1106,[1]biopep_DB!$F$2:$J$1654,5,0),)</f>
        <v>Angiotensin I-converting enzyme inhibitory activity and insulin secretion stimulative activity of fermented fish sauce.; Structural requirements of Angiotensin I-converting enzyme inhibitory peptides: quantitative structure-activity relationship study of di- and tripeptides.; What are the ideal properties for functional food peptides with antihypertensive effect? A computational peptidology approach.</v>
      </c>
      <c r="E1106" s="1" t="str">
        <f>IFERROR(VLOOKUP(A1106,[1]biopep_DB!$F$2:$L$1654,6,0),0)</f>
        <v>10.1016/S1389-1723(03)70138-8; 10.1021/jf051263l; 10.1016/j.foodchem.2013.05.140</v>
      </c>
      <c r="F1106" s="1" t="str">
        <f>IFERROR(VLOOKUP(A1106,[1]biopep_DB!$F$2:$L$1654,7,0),0)</f>
        <v>16233562 16448176 23871047</v>
      </c>
      <c r="G1106" s="5">
        <v>229.23</v>
      </c>
      <c r="H1106" s="5">
        <v>5.53</v>
      </c>
      <c r="I1106" s="5">
        <v>-0.24</v>
      </c>
      <c r="J1106" s="6">
        <v>-2.55</v>
      </c>
      <c r="K1106" s="5">
        <v>-9.4</v>
      </c>
      <c r="L1106" s="6">
        <v>0.5</v>
      </c>
      <c r="M1106" s="6">
        <v>0.81</v>
      </c>
      <c r="N1106" s="6">
        <v>0</v>
      </c>
      <c r="O1106" s="6">
        <v>1</v>
      </c>
      <c r="P1106" s="6">
        <v>0</v>
      </c>
      <c r="Q1106" s="7"/>
      <c r="R1106" s="7"/>
    </row>
    <row r="1107" spans="1:18">
      <c r="A1107" s="4" t="s">
        <v>1504</v>
      </c>
      <c r="B1107" s="4">
        <f t="shared" si="17"/>
        <v>7</v>
      </c>
      <c r="C1107" s="4" t="s">
        <v>818</v>
      </c>
      <c r="D1107" s="1" t="str">
        <f>IFERROR(VLOOKUP(A1107,[1]biopep_DB!$F$2:$J$1654,5,0),)</f>
        <v>Inhibition of angiotensin-converting enzyme by synthetic peptide fragments of human kappa-casein.</v>
      </c>
      <c r="E1107" s="1" t="str">
        <f>IFERROR(VLOOKUP(A1107,[1]biopep_DB!$F$2:$L$1654,6,0),0)</f>
        <v/>
      </c>
      <c r="F1107" s="1" t="str">
        <f>IFERROR(VLOOKUP(A1107,[1]biopep_DB!$F$2:$L$1654,7,0),0)</f>
        <v>1368540</v>
      </c>
      <c r="G1107" s="5">
        <v>751.87</v>
      </c>
      <c r="H1107" s="5">
        <v>9.75</v>
      </c>
      <c r="I1107" s="5">
        <v>0.76</v>
      </c>
      <c r="J1107" s="6">
        <v>-0.1429</v>
      </c>
      <c r="K1107" s="5">
        <v>59.49</v>
      </c>
      <c r="L1107" s="6">
        <v>0.7143</v>
      </c>
      <c r="M1107" s="6">
        <v>-0.7929</v>
      </c>
      <c r="N1107" s="6">
        <v>0.1429</v>
      </c>
      <c r="O1107" s="6">
        <v>0.4286</v>
      </c>
      <c r="P1107" s="6">
        <v>0.2857</v>
      </c>
      <c r="Q1107" s="7"/>
      <c r="R1107" s="7"/>
    </row>
    <row r="1108" spans="1:18">
      <c r="A1108" s="4" t="s">
        <v>1505</v>
      </c>
      <c r="B1108" s="4">
        <f t="shared" si="17"/>
        <v>3</v>
      </c>
      <c r="C1108" s="4" t="s">
        <v>36</v>
      </c>
      <c r="D1108" s="1" t="str">
        <f>IFERROR(VLOOKUP(A1108,[1]biopep_DB!$F$2:$J$1654,5,0),)</f>
        <v>Structural requirements of Angiotensin I-converting enzyme inhibitory peptides: quantitative structure-activity relationship study of di- and tripeptides.; Peptide inhibitors for angiotensin I-converting enzyme from enzymatic hydrolysates of porcine skeletal muscle proteins.</v>
      </c>
      <c r="E1108" s="1" t="str">
        <f>IFERROR(VLOOKUP(A1108,[1]biopep_DB!$F$2:$L$1654,6,0),0)</f>
        <v>10.1021/jf051263l; 10.1016/s0309-1740(00)00108-x</v>
      </c>
      <c r="F1108" s="1" t="str">
        <f>IFERROR(VLOOKUP(A1108,[1]biopep_DB!$F$2:$L$1654,7,0),0)</f>
        <v>16448176 22061507</v>
      </c>
      <c r="G1108" s="5">
        <v>326.35</v>
      </c>
      <c r="H1108" s="5">
        <v>5.53</v>
      </c>
      <c r="I1108" s="5">
        <v>-0.24</v>
      </c>
      <c r="J1108" s="6">
        <v>-2.2333</v>
      </c>
      <c r="K1108" s="5">
        <v>61.27</v>
      </c>
      <c r="L1108" s="6">
        <v>0.6667</v>
      </c>
      <c r="M1108" s="6">
        <v>0.54</v>
      </c>
      <c r="N1108" s="6">
        <v>0</v>
      </c>
      <c r="O1108" s="6">
        <v>1</v>
      </c>
      <c r="P1108" s="6">
        <v>0</v>
      </c>
      <c r="Q1108" s="7"/>
      <c r="R1108" s="7"/>
    </row>
    <row r="1109" spans="1:18">
      <c r="A1109" s="4" t="s">
        <v>1506</v>
      </c>
      <c r="B1109" s="4">
        <f t="shared" si="17"/>
        <v>8</v>
      </c>
      <c r="C1109" s="4" t="s">
        <v>607</v>
      </c>
      <c r="D1109" s="1" t="str">
        <f>IFERROR(VLOOKUP(A1109,[1]biopep_DB!$F$2:$J$1654,5,0),)</f>
        <v>Inhibition of angiotensin-converting enzyme by synthetic peptide fragments of various beta-caseins.</v>
      </c>
      <c r="E1109" s="1" t="str">
        <f>IFERROR(VLOOKUP(A1109,[1]biopep_DB!$F$2:$L$1654,6,0),0)</f>
        <v/>
      </c>
      <c r="F1109" s="1" t="str">
        <f>IFERROR(VLOOKUP(A1109,[1]biopep_DB!$F$2:$L$1654,7,0),0)</f>
        <v>1368548</v>
      </c>
      <c r="G1109" s="5">
        <v>965.06</v>
      </c>
      <c r="H1109" s="5">
        <v>6.74</v>
      </c>
      <c r="I1109" s="5">
        <v>-0.15</v>
      </c>
      <c r="J1109" s="6">
        <v>-1.475</v>
      </c>
      <c r="K1109" s="5">
        <v>44.65</v>
      </c>
      <c r="L1109" s="6">
        <v>0.5</v>
      </c>
      <c r="M1109" s="6">
        <v>-0.1012</v>
      </c>
      <c r="N1109" s="6">
        <v>0</v>
      </c>
      <c r="O1109" s="6">
        <v>0.5</v>
      </c>
      <c r="P1109" s="6">
        <v>0.25</v>
      </c>
      <c r="Q1109" s="7"/>
      <c r="R1109" s="7"/>
    </row>
    <row r="1110" spans="1:18">
      <c r="A1110" s="4" t="s">
        <v>1507</v>
      </c>
      <c r="B1110" s="4">
        <f t="shared" si="17"/>
        <v>5</v>
      </c>
      <c r="C1110" s="4"/>
      <c r="D1110" s="1" t="str">
        <f>IFERROR(VLOOKUP(A1110,[1]biopep_DB!$F$2:$J$1654,5,0),)</f>
        <v/>
      </c>
      <c r="E1110" s="1" t="str">
        <f>IFERROR(VLOOKUP(A1110,[1]biopep_DB!$F$2:$L$1654,6,0),0)</f>
        <v/>
      </c>
      <c r="F1110" s="1" t="str">
        <f>IFERROR(VLOOKUP(A1110,[1]biopep_DB!$F$2:$L$1654,7,0),0)</f>
        <v/>
      </c>
      <c r="G1110" s="5">
        <v>617.69</v>
      </c>
      <c r="H1110" s="5">
        <v>5.53</v>
      </c>
      <c r="I1110" s="5">
        <v>-0.24</v>
      </c>
      <c r="J1110" s="6">
        <v>-0.4</v>
      </c>
      <c r="K1110" s="5">
        <v>16.36</v>
      </c>
      <c r="L1110" s="6">
        <v>0.6</v>
      </c>
      <c r="M1110" s="6">
        <v>-0.984</v>
      </c>
      <c r="N1110" s="6">
        <v>0.2</v>
      </c>
      <c r="O1110" s="6">
        <v>0.4</v>
      </c>
      <c r="P1110" s="6">
        <v>0.4</v>
      </c>
      <c r="Q1110" s="7"/>
      <c r="R1110" s="7"/>
    </row>
    <row r="1111" spans="1:18">
      <c r="A1111" s="4" t="s">
        <v>1508</v>
      </c>
      <c r="B1111" s="4">
        <f t="shared" si="17"/>
        <v>8</v>
      </c>
      <c r="C1111" s="4" t="s">
        <v>25</v>
      </c>
      <c r="D1111" s="1" t="str">
        <f>IFERROR(VLOOKUP(A1111,[1]biopep_DB!$F$2:$J$1654,5,0),)</f>
        <v>Spectrophotometric assay and properties of the angiotensin-converting enzyme of rabbit lung.</v>
      </c>
      <c r="E1111" s="1" t="str">
        <f>IFERROR(VLOOKUP(A1111,[1]biopep_DB!$F$2:$L$1654,6,0),0)</f>
        <v>10.1016/0006-2952(71)90292-9</v>
      </c>
      <c r="F1111" s="1" t="str">
        <f>IFERROR(VLOOKUP(A1111,[1]biopep_DB!$F$2:$L$1654,7,0),0)</f>
        <v>4355305</v>
      </c>
      <c r="G1111" s="5">
        <v>1031.17</v>
      </c>
      <c r="H1111" s="5">
        <v>8.75</v>
      </c>
      <c r="I1111" s="5">
        <v>0.85</v>
      </c>
      <c r="J1111" s="6">
        <v>-0.3625</v>
      </c>
      <c r="K1111" s="5">
        <v>19.8</v>
      </c>
      <c r="L1111" s="6">
        <v>0.5</v>
      </c>
      <c r="M1111" s="6">
        <v>-0.6987</v>
      </c>
      <c r="N1111" s="6">
        <v>0</v>
      </c>
      <c r="O1111" s="6">
        <v>0.25</v>
      </c>
      <c r="P1111" s="6">
        <v>0.5</v>
      </c>
      <c r="Q1111" s="7"/>
      <c r="R1111" s="7"/>
    </row>
    <row r="1112" spans="1:18">
      <c r="A1112" s="4" t="s">
        <v>1509</v>
      </c>
      <c r="B1112" s="4">
        <f t="shared" si="17"/>
        <v>6</v>
      </c>
      <c r="C1112" s="4"/>
      <c r="D1112" s="1" t="str">
        <f>IFERROR(VLOOKUP(A1112,[1]biopep_DB!$F$2:$J$1654,5,0),)</f>
        <v>Hot topic: Changes in angiotensin-converting enzyme inhibition and concentrations of the tripeptides Val-Pro-Pro and Ile-Pro-Pro during ripening of different Swiss cheese varieties.</v>
      </c>
      <c r="E1112" s="1" t="str">
        <f>IFERROR(VLOOKUP(A1112,[1]biopep_DB!$F$2:$L$1654,6,0),0)</f>
        <v>10.3168/jds.2008-1531</v>
      </c>
      <c r="F1112" s="1" t="str">
        <f>IFERROR(VLOOKUP(A1112,[1]biopep_DB!$F$2:$L$1654,7,0),0)</f>
        <v>19233775</v>
      </c>
      <c r="G1112" s="5">
        <v>704.69</v>
      </c>
      <c r="H1112" s="5">
        <v>4.53</v>
      </c>
      <c r="I1112" s="5">
        <v>-1.23</v>
      </c>
      <c r="J1112" s="6">
        <v>-2.3333</v>
      </c>
      <c r="K1112" s="5">
        <v>62.67</v>
      </c>
      <c r="L1112" s="6">
        <v>0.1667</v>
      </c>
      <c r="M1112" s="6">
        <v>1.1083</v>
      </c>
      <c r="N1112" s="6">
        <v>0.5</v>
      </c>
      <c r="O1112" s="6">
        <v>0.3333</v>
      </c>
      <c r="P1112" s="6">
        <v>0</v>
      </c>
      <c r="Q1112" s="7"/>
      <c r="R1112" s="7"/>
    </row>
    <row r="1113" spans="1:18">
      <c r="A1113" s="4" t="s">
        <v>1510</v>
      </c>
      <c r="B1113" s="4">
        <f t="shared" si="17"/>
        <v>8</v>
      </c>
      <c r="C1113" s="4"/>
      <c r="D1113" s="1" t="str">
        <f>IFERROR(VLOOKUP(A1113,[1]biopep_DB!$F$2:$J$1654,5,0),)</f>
        <v/>
      </c>
      <c r="E1113" s="1" t="str">
        <f>IFERROR(VLOOKUP(A1113,[1]biopep_DB!$F$2:$L$1654,6,0),0)</f>
        <v/>
      </c>
      <c r="F1113" s="1" t="str">
        <f>IFERROR(VLOOKUP(A1113,[1]biopep_DB!$F$2:$L$1654,7,0),0)</f>
        <v/>
      </c>
      <c r="G1113" s="5">
        <v>855.93</v>
      </c>
      <c r="H1113" s="5">
        <v>4.24</v>
      </c>
      <c r="I1113" s="5">
        <v>-2.23</v>
      </c>
      <c r="J1113" s="6">
        <v>0.05</v>
      </c>
      <c r="K1113" s="5">
        <v>36.86</v>
      </c>
      <c r="L1113" s="6">
        <v>0.5</v>
      </c>
      <c r="M1113" s="6">
        <v>-1.13</v>
      </c>
      <c r="N1113" s="6">
        <v>0.25</v>
      </c>
      <c r="O1113" s="6">
        <v>0.375</v>
      </c>
      <c r="P1113" s="6">
        <v>0.375</v>
      </c>
      <c r="Q1113" s="7"/>
      <c r="R1113" s="7"/>
    </row>
    <row r="1114" spans="1:18">
      <c r="A1114" s="4" t="s">
        <v>1511</v>
      </c>
      <c r="B1114" s="4">
        <f t="shared" si="17"/>
        <v>10</v>
      </c>
      <c r="C1114" s="4"/>
      <c r="D1114" s="1" t="str">
        <f>IFERROR(VLOOKUP(A1114,[1]biopep_DB!$F$2:$J$1654,5,0),)</f>
        <v>Casein fermentate of Lactobacillus animalis DPC6134 contains a range of novel propeptide angiotensin-converting enzyme inhibitors.</v>
      </c>
      <c r="E1114" s="1" t="str">
        <f>IFERROR(VLOOKUP(A1114,[1]biopep_DB!$F$2:$L$1654,6,0),0)</f>
        <v>10.1128/AEM.00096-07</v>
      </c>
      <c r="F1114" s="1" t="str">
        <f>IFERROR(VLOOKUP(A1114,[1]biopep_DB!$F$2:$L$1654,7,0),0)</f>
        <v>17483275</v>
      </c>
      <c r="G1114" s="5">
        <v>1056.17</v>
      </c>
      <c r="H1114" s="5">
        <v>4.05</v>
      </c>
      <c r="I1114" s="5">
        <v>-2.23</v>
      </c>
      <c r="J1114" s="6">
        <v>0.34</v>
      </c>
      <c r="K1114" s="5">
        <v>50.75</v>
      </c>
      <c r="L1114" s="6">
        <v>0.5</v>
      </c>
      <c r="M1114" s="6">
        <v>-1.312</v>
      </c>
      <c r="N1114" s="6">
        <v>0.3</v>
      </c>
      <c r="O1114" s="6">
        <v>0.4</v>
      </c>
      <c r="P1114" s="6">
        <v>0.4</v>
      </c>
      <c r="Q1114" s="7"/>
      <c r="R1114" s="7"/>
    </row>
    <row r="1115" spans="1:18">
      <c r="A1115" s="4" t="s">
        <v>1512</v>
      </c>
      <c r="B1115" s="4">
        <f t="shared" si="17"/>
        <v>3</v>
      </c>
      <c r="C1115" s="4" t="s">
        <v>51</v>
      </c>
      <c r="D1115" s="1" t="str">
        <f>IFERROR(VLOOKUP(A1115,[1]biopep_DB!$F$2:$J$1654,5,0),)</f>
        <v>Angiotensin I-converting enzyme inhibitory peptides generated from in vitro gastrointestinal digestion of pork meat.; Isolation and characterization of peptides with antihypertensive activity in foodstuffs.</v>
      </c>
      <c r="E1115" s="1" t="str">
        <f>IFERROR(VLOOKUP(A1115,[1]biopep_DB!$F$2:$L$1654,6,0),0)</f>
        <v>10.1021/jf904204n; 10.1080/10408398.2012.664829</v>
      </c>
      <c r="F1115" s="1" t="str">
        <f>IFERROR(VLOOKUP(A1115,[1]biopep_DB!$F$2:$L$1654,7,0),0)</f>
        <v>20151679 24915368</v>
      </c>
      <c r="G1115" s="5">
        <v>387.43</v>
      </c>
      <c r="H1115" s="5">
        <v>9.75</v>
      </c>
      <c r="I1115" s="5">
        <v>0.76</v>
      </c>
      <c r="J1115" s="6">
        <v>-1.2667</v>
      </c>
      <c r="K1115" s="5">
        <v>6.67</v>
      </c>
      <c r="L1115" s="6">
        <v>0.3333</v>
      </c>
      <c r="M1115" s="6">
        <v>0.1</v>
      </c>
      <c r="N1115" s="6">
        <v>0</v>
      </c>
      <c r="O1115" s="6">
        <v>0.3333</v>
      </c>
      <c r="P1115" s="6">
        <v>0.3333</v>
      </c>
      <c r="Q1115" s="7"/>
      <c r="R1115" s="7"/>
    </row>
    <row r="1116" spans="1:18">
      <c r="A1116" s="4" t="s">
        <v>1513</v>
      </c>
      <c r="B1116" s="4">
        <f t="shared" si="17"/>
        <v>6</v>
      </c>
      <c r="C1116" s="4" t="s">
        <v>1514</v>
      </c>
      <c r="D1116" s="1" t="str">
        <f>IFERROR(VLOOKUP(A1116,[1]biopep_DB!$F$2:$J$1654,5,0),)</f>
        <v>A new QSAR model, for angiotensin I-converting enzyme inhibitory oligopeptides.; Vegetable foods: a cheap source of proteins and peptides with antihypertensive, antioxidant, and other less occurrence bioactivities.</v>
      </c>
      <c r="E1116" s="1" t="str">
        <f>IFERROR(VLOOKUP(A1116,[1]biopep_DB!$F$2:$L$1654,6,0),0)</f>
        <v>10.1016/j.foodchem.2012.09.092; 10.1016/j.talanta.2012.12.041</v>
      </c>
      <c r="F1116" s="1" t="str">
        <f>IFERROR(VLOOKUP(A1116,[1]biopep_DB!$F$2:$L$1654,7,0),0)</f>
        <v>23194537 23598136</v>
      </c>
      <c r="G1116" s="5">
        <v>684.78</v>
      </c>
      <c r="H1116" s="5">
        <v>5.53</v>
      </c>
      <c r="I1116" s="5">
        <v>-0.24</v>
      </c>
      <c r="J1116" s="6">
        <v>0.2667</v>
      </c>
      <c r="K1116" s="5">
        <v>-26.23</v>
      </c>
      <c r="L1116" s="6">
        <v>0.6667</v>
      </c>
      <c r="M1116" s="6">
        <v>-1.7683</v>
      </c>
      <c r="N1116" s="6">
        <v>0.1667</v>
      </c>
      <c r="O1116" s="6">
        <v>0.5</v>
      </c>
      <c r="P1116" s="6">
        <v>0.5</v>
      </c>
      <c r="Q1116" s="7"/>
      <c r="R1116" s="7"/>
    </row>
    <row r="1117" spans="1:18">
      <c r="A1117" s="4" t="s">
        <v>1515</v>
      </c>
      <c r="B1117" s="4">
        <f t="shared" si="17"/>
        <v>2</v>
      </c>
      <c r="C1117" s="4" t="s">
        <v>36</v>
      </c>
      <c r="D1117" s="1" t="str">
        <f>IFERROR(VLOOKUP(A1117,[1]biopep_DB!$F$2:$J$1654,5,0),)</f>
        <v>Structural requirements of Angiotensin I-converting enzyme inhibitory peptides: quantitative structure-activity relationship study of di- and tripeptides.; Max-E47, a designed minimalist protein that targets the E-box DNA site in vivo and in vitro.;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
      <c r="E1117" s="1" t="str">
        <f>IFERROR(VLOOKUP(A1117,[1]biopep_DB!$F$2:$L$1654,6,0),0)</f>
        <v>10.1021/jf051263l; 10.1021/ja901306q; 10.1016/j.talanta.2012.12.041; 10.1016/j.jprot.2013.06.023; 10.1016/j.foodchem.2013.05.140; 10.1080/10408398.2012.664829</v>
      </c>
      <c r="F1117" s="1" t="str">
        <f>IFERROR(VLOOKUP(A1117,[1]biopep_DB!$F$2:$L$1654,7,0),0)</f>
        <v>16448176 19449889 23598136 23806758 23871047 24915368</v>
      </c>
      <c r="G1117" s="5">
        <v>295.29</v>
      </c>
      <c r="H1117" s="5">
        <v>5.52</v>
      </c>
      <c r="I1117" s="5">
        <v>-0.24</v>
      </c>
      <c r="J1117" s="6">
        <v>-2.4</v>
      </c>
      <c r="K1117" s="5">
        <v>5</v>
      </c>
      <c r="L1117" s="6">
        <v>0</v>
      </c>
      <c r="M1117" s="6">
        <v>0.88</v>
      </c>
      <c r="N1117" s="6">
        <v>0</v>
      </c>
      <c r="O1117" s="6">
        <v>0.5</v>
      </c>
      <c r="P1117" s="6">
        <v>0.5</v>
      </c>
      <c r="Q1117" s="7"/>
      <c r="R1117" s="7"/>
    </row>
    <row r="1118" spans="1:18">
      <c r="A1118" s="4" t="s">
        <v>1516</v>
      </c>
      <c r="B1118" s="4">
        <f t="shared" si="17"/>
        <v>8</v>
      </c>
      <c r="C1118" s="4"/>
      <c r="G1118" s="5">
        <v>807.85</v>
      </c>
      <c r="H1118" s="5">
        <v>4.05</v>
      </c>
      <c r="I1118" s="5">
        <v>-1.24</v>
      </c>
      <c r="J1118" s="6">
        <v>0.0875</v>
      </c>
      <c r="K1118" s="5">
        <v>-1.86</v>
      </c>
      <c r="L1118" s="6">
        <v>0.375</v>
      </c>
      <c r="M1118" s="6">
        <v>-1.1512</v>
      </c>
      <c r="N1118" s="6">
        <v>0.25</v>
      </c>
      <c r="O1118" s="6">
        <v>0.5</v>
      </c>
      <c r="P1118" s="6">
        <v>0.375</v>
      </c>
      <c r="Q1118" s="7"/>
      <c r="R1118" s="7"/>
    </row>
    <row r="1119" spans="1:18">
      <c r="A1119" s="4" t="s">
        <v>1517</v>
      </c>
      <c r="B1119" s="4">
        <f t="shared" si="17"/>
        <v>2</v>
      </c>
      <c r="C1119" s="4"/>
      <c r="D1119" s="1" t="str">
        <f>IFERROR(VLOOKUP(A1119,[1]biopep_DB!$F$2:$J$1654,5,0),)</f>
        <v>Three-dimensional holograph vector of atomic interaction field (3D-HoVAIF): a novel rotation-translation invariant 3D structure descriptor and its applications to peptides.</v>
      </c>
      <c r="E1119" s="1" t="str">
        <f>IFERROR(VLOOKUP(A1119,[1]biopep_DB!$F$2:$L$1654,6,0),0)</f>
        <v>10.1002/psc.892</v>
      </c>
      <c r="F1119" s="1" t="str">
        <f>IFERROR(VLOOKUP(A1119,[1]biopep_DB!$F$2:$L$1654,7,0),0)</f>
        <v>17654623</v>
      </c>
      <c r="G1119" s="5">
        <v>186.21</v>
      </c>
      <c r="H1119" s="5">
        <v>5.95</v>
      </c>
      <c r="I1119" s="5">
        <v>-0.04</v>
      </c>
      <c r="J1119" s="6">
        <v>0.1</v>
      </c>
      <c r="K1119" s="5">
        <v>101.3</v>
      </c>
      <c r="L1119" s="6">
        <v>1</v>
      </c>
      <c r="M1119" s="6">
        <v>-0.905</v>
      </c>
      <c r="N1119" s="6">
        <v>0.5</v>
      </c>
      <c r="O1119" s="6">
        <v>0.5</v>
      </c>
      <c r="P1119" s="6">
        <v>0</v>
      </c>
      <c r="Q1119" s="7"/>
      <c r="R1119" s="7"/>
    </row>
    <row r="1120" spans="1:18">
      <c r="A1120" s="4" t="s">
        <v>1518</v>
      </c>
      <c r="B1120" s="4">
        <f t="shared" si="17"/>
        <v>5</v>
      </c>
      <c r="C1120" s="4" t="s">
        <v>51</v>
      </c>
      <c r="G1120" s="5">
        <v>496.56</v>
      </c>
      <c r="H1120" s="5">
        <v>10.18</v>
      </c>
      <c r="I1120" s="5">
        <v>0.96</v>
      </c>
      <c r="J1120" s="6">
        <v>-1.26</v>
      </c>
      <c r="K1120" s="5">
        <v>31.44</v>
      </c>
      <c r="L1120" s="6">
        <v>0.6</v>
      </c>
      <c r="M1120" s="6">
        <v>-0.006</v>
      </c>
      <c r="N1120" s="6">
        <v>0.2</v>
      </c>
      <c r="O1120" s="6">
        <v>0.6</v>
      </c>
      <c r="P1120" s="6">
        <v>0</v>
      </c>
      <c r="Q1120" s="7"/>
      <c r="R1120" s="7"/>
    </row>
    <row r="1121" spans="1:18">
      <c r="A1121" s="4" t="s">
        <v>1519</v>
      </c>
      <c r="B1121" s="4">
        <f t="shared" si="17"/>
        <v>6</v>
      </c>
      <c r="C1121" s="4" t="s">
        <v>51</v>
      </c>
      <c r="D1121" s="1" t="str">
        <f>IFERROR(VLOOKUP(A1121,[1]biopep_DB!$F$2:$J$1654,5,0),)</f>
        <v>Isolation and characterization of peptides with antihypertensive activity in foodstuffs.</v>
      </c>
      <c r="E1121" s="1" t="str">
        <f>IFERROR(VLOOKUP(A1121,[1]biopep_DB!$F$2:$L$1654,6,0),0)</f>
        <v>10.1080/10408398.2012.664829</v>
      </c>
      <c r="F1121" s="1" t="str">
        <f>IFERROR(VLOOKUP(A1121,[1]biopep_DB!$F$2:$L$1654,7,0),0)</f>
        <v>24915368</v>
      </c>
      <c r="G1121" s="5">
        <v>496.56</v>
      </c>
      <c r="H1121" s="5">
        <v>5.95</v>
      </c>
      <c r="I1121" s="5">
        <v>-0.04</v>
      </c>
      <c r="J1121" s="6">
        <v>0.3333</v>
      </c>
      <c r="K1121" s="5">
        <v>58.38</v>
      </c>
      <c r="L1121" s="6">
        <v>0.6667</v>
      </c>
      <c r="M1121" s="6">
        <v>-1.2883</v>
      </c>
      <c r="N1121" s="6">
        <v>0.1667</v>
      </c>
      <c r="O1121" s="6">
        <v>0.6667</v>
      </c>
      <c r="P1121" s="6">
        <v>0.1667</v>
      </c>
      <c r="Q1121" s="7"/>
      <c r="R1121" s="7"/>
    </row>
    <row r="1122" spans="1:18">
      <c r="A1122" s="4" t="s">
        <v>1520</v>
      </c>
      <c r="B1122" s="4">
        <f t="shared" si="17"/>
        <v>6</v>
      </c>
      <c r="C1122" s="4" t="s">
        <v>711</v>
      </c>
      <c r="D1122" s="1" t="str">
        <f>IFERROR(VLOOKUP(A1122,[1]biopep_DB!$F$2:$J$1654,5,0),)</f>
        <v>Potent synthetic analogues of angiotensin-converting enzyme inhibitor derived from Tuna muscle.</v>
      </c>
      <c r="E1122" s="1" t="str">
        <f>IFERROR(VLOOKUP(A1122,[1]biopep_DB!$F$2:$L$1654,6,0),0)</f>
        <v/>
      </c>
      <c r="F1122" s="1" t="str">
        <f>IFERROR(VLOOKUP(A1122,[1]biopep_DB!$F$2:$L$1654,7,0),0)</f>
        <v>1368734</v>
      </c>
      <c r="G1122" s="5">
        <v>693.79</v>
      </c>
      <c r="H1122" s="5">
        <v>7.17</v>
      </c>
      <c r="I1122" s="5">
        <v>0.05</v>
      </c>
      <c r="J1122" s="6">
        <v>0.4</v>
      </c>
      <c r="K1122" s="5">
        <v>99.52</v>
      </c>
      <c r="L1122" s="6">
        <v>0.8333</v>
      </c>
      <c r="M1122" s="6">
        <v>-1.6467</v>
      </c>
      <c r="N1122" s="6">
        <v>0.3333</v>
      </c>
      <c r="O1122" s="6">
        <v>0.1667</v>
      </c>
      <c r="P1122" s="6">
        <v>0.3333</v>
      </c>
      <c r="Q1122" s="7"/>
      <c r="R1122" s="7"/>
    </row>
    <row r="1123" spans="1:18">
      <c r="A1123" s="4" t="s">
        <v>1521</v>
      </c>
      <c r="B1123" s="4">
        <f t="shared" si="17"/>
        <v>8</v>
      </c>
      <c r="C1123" s="4" t="s">
        <v>1514</v>
      </c>
      <c r="D1123" s="1" t="str">
        <f>IFERROR(VLOOKUP(A1123,[1]biopep_DB!$F$2:$J$1654,5,0),)</f>
        <v>Induction of angiotensin-converting enzyme inhibitory activity by acid-limited proteolysis of glyceraldehyde 3-phosphate dehydrogenase.; A new QSAR model, for angiotensin I-converting enzyme inhibitory oligopeptides.</v>
      </c>
      <c r="E1123" s="1" t="str">
        <f>IFERROR(VLOOKUP(A1123,[1]biopep_DB!$F$2:$L$1654,6,0),0)</f>
        <v>10.1016/0006-291x(89)92620-x; 10.1016/j.foodchem.2012.09.092</v>
      </c>
      <c r="F1123" s="1" t="str">
        <f>IFERROR(VLOOKUP(A1123,[1]biopep_DB!$F$2:$L$1654,7,0),0)</f>
        <v>2660788 23194537</v>
      </c>
      <c r="G1123" s="5">
        <v>899.99</v>
      </c>
      <c r="H1123" s="5">
        <v>6.51</v>
      </c>
      <c r="I1123" s="5">
        <v>-0.04</v>
      </c>
      <c r="J1123" s="6">
        <v>-0.9375</v>
      </c>
      <c r="K1123" s="5">
        <v>64.18</v>
      </c>
      <c r="L1123" s="6">
        <v>0.5</v>
      </c>
      <c r="M1123" s="6">
        <v>-0.64</v>
      </c>
      <c r="N1123" s="6">
        <v>0.25</v>
      </c>
      <c r="O1123" s="6">
        <v>0.5</v>
      </c>
      <c r="P1123" s="6">
        <v>0.25</v>
      </c>
      <c r="Q1123" s="7"/>
      <c r="R1123" s="7"/>
    </row>
    <row r="1124" spans="1:18">
      <c r="A1124" s="4" t="s">
        <v>1522</v>
      </c>
      <c r="B1124" s="4">
        <f t="shared" si="17"/>
        <v>11</v>
      </c>
      <c r="C1124" s="4" t="s">
        <v>391</v>
      </c>
      <c r="D1124" s="1" t="str">
        <f>IFERROR(VLOOKUP(A1124,[1]biopep_DB!$F$2:$J$1654,5,0),)</f>
        <v>Production of angiotensin-converting enzyme inhibitors from baker's yeast glyceraldehyde-3-phosphate dehydrogenase.; A new QSAR model, for angiotensin I-converting enzyme inhibitory oligopeptides.</v>
      </c>
      <c r="E1124" s="1" t="str">
        <f>IFERROR(VLOOKUP(A1124,[1]biopep_DB!$F$2:$L$1654,6,0),0)</f>
        <v>10.1248/bpb1978.13.766; 10.1016/j.foodchem.2012.09.092</v>
      </c>
      <c r="F1124" s="1" t="str">
        <f>IFERROR(VLOOKUP(A1124,[1]biopep_DB!$F$2:$L$1654,7,0),0)</f>
        <v>2098549 23194537</v>
      </c>
      <c r="G1124" s="5">
        <v>1141.23</v>
      </c>
      <c r="H1124" s="5">
        <v>5.95</v>
      </c>
      <c r="I1124" s="5">
        <v>-0.04</v>
      </c>
      <c r="J1124" s="6">
        <v>-0.3</v>
      </c>
      <c r="K1124" s="5">
        <v>49.57</v>
      </c>
      <c r="L1124" s="6">
        <v>0.5455</v>
      </c>
      <c r="M1124" s="6">
        <v>-0.8291</v>
      </c>
      <c r="N1124" s="6">
        <v>0.1818</v>
      </c>
      <c r="O1124" s="6">
        <v>0.6364</v>
      </c>
      <c r="P1124" s="6">
        <v>0.2727</v>
      </c>
      <c r="Q1124" s="7"/>
      <c r="R1124" s="7"/>
    </row>
    <row r="1125" spans="1:18">
      <c r="A1125" s="4" t="s">
        <v>1523</v>
      </c>
      <c r="B1125" s="4">
        <f t="shared" si="17"/>
        <v>3</v>
      </c>
      <c r="C1125" s="4" t="s">
        <v>1524</v>
      </c>
      <c r="D1125" s="1" t="str">
        <f>IFERROR(VLOOKUP(A1125,[1]biopep_DB!$F$2:$J$1654,5,0),)</f>
        <v>Inhibition of angiotensin-converting enzyme by synthetic peptide fragments of human kappa-casein.; What are the ideal properties for functional food peptides with antihypertensive effect? A computational peptidology approach.</v>
      </c>
      <c r="E1125" s="1" t="str">
        <f>IFERROR(VLOOKUP(A1125,[1]biopep_DB!$F$2:$L$1654,6,0),0)</f>
        <v>10.1016/j.foodchem.2013.05.140</v>
      </c>
      <c r="F1125" s="1" t="str">
        <f>IFERROR(VLOOKUP(A1125,[1]biopep_DB!$F$2:$L$1654,7,0),0)</f>
        <v>1368540 23871047</v>
      </c>
      <c r="G1125" s="5">
        <v>283.32</v>
      </c>
      <c r="H1125" s="5">
        <v>5.95</v>
      </c>
      <c r="I1125" s="5">
        <v>-0.04</v>
      </c>
      <c r="J1125" s="6">
        <v>-0.4667</v>
      </c>
      <c r="K1125" s="5">
        <v>135.07</v>
      </c>
      <c r="L1125" s="6">
        <v>1</v>
      </c>
      <c r="M1125" s="6">
        <v>-0.6033</v>
      </c>
      <c r="N1125" s="6">
        <v>0.3333</v>
      </c>
      <c r="O1125" s="6">
        <v>0.6667</v>
      </c>
      <c r="P1125" s="6">
        <v>0</v>
      </c>
      <c r="Q1125" s="7"/>
      <c r="R1125" s="7"/>
    </row>
    <row r="1126" spans="1:18">
      <c r="A1126" s="4" t="s">
        <v>1525</v>
      </c>
      <c r="B1126" s="4">
        <f t="shared" si="17"/>
        <v>6</v>
      </c>
      <c r="C1126" s="4" t="s">
        <v>261</v>
      </c>
      <c r="D1126" s="1" t="str">
        <f>IFERROR(VLOOKUP(A1126,[1]biopep_DB!$F$2:$J$1654,5,0),)</f>
        <v>Inhibition of angiotensin-converting enzyme by synthetic peptide fragments of various beta-caseins.; A new QSAR model, for angiotensin I-converting enzyme inhibitory oligopeptides.</v>
      </c>
      <c r="E1126" s="1" t="str">
        <f>IFERROR(VLOOKUP(A1126,[1]biopep_DB!$F$2:$L$1654,6,0),0)</f>
        <v>10.1016/j.foodchem.2012.09.092</v>
      </c>
      <c r="F1126" s="1" t="str">
        <f>IFERROR(VLOOKUP(A1126,[1]biopep_DB!$F$2:$L$1654,7,0),0)</f>
        <v>1368548 23194537</v>
      </c>
      <c r="G1126" s="5">
        <v>594.74</v>
      </c>
      <c r="H1126" s="5">
        <v>5.95</v>
      </c>
      <c r="I1126" s="5">
        <v>-0.04</v>
      </c>
      <c r="J1126" s="6">
        <v>1.8</v>
      </c>
      <c r="K1126" s="5">
        <v>72.53</v>
      </c>
      <c r="L1126" s="6">
        <v>1</v>
      </c>
      <c r="M1126" s="6">
        <v>-2.4683</v>
      </c>
      <c r="N1126" s="6">
        <v>0.3333</v>
      </c>
      <c r="O1126" s="6">
        <v>0.3333</v>
      </c>
      <c r="P1126" s="6">
        <v>0.5</v>
      </c>
      <c r="Q1126" s="7"/>
      <c r="R1126" s="7"/>
    </row>
    <row r="1127" spans="1:18">
      <c r="A1127" s="4" t="s">
        <v>1526</v>
      </c>
      <c r="B1127" s="4">
        <f t="shared" si="17"/>
        <v>6</v>
      </c>
      <c r="C1127" s="4" t="s">
        <v>391</v>
      </c>
      <c r="D1127" s="1" t="str">
        <f>IFERROR(VLOOKUP(A1127,[1]biopep_DB!$F$2:$J$1654,5,0),)</f>
        <v>Inhibition of angiotensin-converting enzyme by synthetic peptide fragments of human kappa-casein.</v>
      </c>
      <c r="E1127" s="1" t="str">
        <f>IFERROR(VLOOKUP(A1127,[1]biopep_DB!$F$2:$L$1654,6,0),0)</f>
        <v/>
      </c>
      <c r="F1127" s="1" t="str">
        <f>IFERROR(VLOOKUP(A1127,[1]biopep_DB!$F$2:$L$1654,7,0),0)</f>
        <v>1368540</v>
      </c>
      <c r="G1127" s="5">
        <v>637.77</v>
      </c>
      <c r="H1127" s="5">
        <v>10.18</v>
      </c>
      <c r="I1127" s="5">
        <v>0.96</v>
      </c>
      <c r="J1127" s="6">
        <v>0.4167</v>
      </c>
      <c r="K1127" s="5">
        <v>72.53</v>
      </c>
      <c r="L1127" s="6">
        <v>0.8333</v>
      </c>
      <c r="M1127" s="6">
        <v>-1.195</v>
      </c>
      <c r="N1127" s="6">
        <v>0.1667</v>
      </c>
      <c r="O1127" s="6">
        <v>0.3333</v>
      </c>
      <c r="P1127" s="6">
        <v>0.3333</v>
      </c>
      <c r="Q1127" s="7"/>
      <c r="R1127" s="7"/>
    </row>
    <row r="1128" spans="1:18">
      <c r="A1128" s="4" t="s">
        <v>1527</v>
      </c>
      <c r="B1128" s="4">
        <f t="shared" si="17"/>
        <v>6</v>
      </c>
      <c r="C1128" s="4" t="s">
        <v>711</v>
      </c>
      <c r="D1128" s="1" t="str">
        <f>IFERROR(VLOOKUP(A1128,[1]biopep_DB!$F$2:$J$1654,5,0),)</f>
        <v>Potent synthetic analogues of angiotensin-converting enzyme inhibitor derived from Tuna muscle.</v>
      </c>
      <c r="E1128" s="1" t="str">
        <f>IFERROR(VLOOKUP(A1128,[1]biopep_DB!$F$2:$L$1654,6,0),0)</f>
        <v/>
      </c>
      <c r="F1128" s="1" t="str">
        <f>IFERROR(VLOOKUP(A1128,[1]biopep_DB!$F$2:$L$1654,7,0),0)</f>
        <v>1368734</v>
      </c>
      <c r="G1128" s="5">
        <v>725.86</v>
      </c>
      <c r="H1128" s="5">
        <v>7.12</v>
      </c>
      <c r="I1128" s="5">
        <v>0.04</v>
      </c>
      <c r="J1128" s="6">
        <v>0.5167</v>
      </c>
      <c r="K1128" s="5">
        <v>123.33</v>
      </c>
      <c r="L1128" s="6">
        <v>0.6667</v>
      </c>
      <c r="M1128" s="6">
        <v>-1.5583</v>
      </c>
      <c r="N1128" s="6">
        <v>0.1667</v>
      </c>
      <c r="O1128" s="6">
        <v>0.1667</v>
      </c>
      <c r="P1128" s="6">
        <v>0.3333</v>
      </c>
      <c r="Q1128" s="7"/>
      <c r="R1128" s="7"/>
    </row>
    <row r="1129" spans="1:18">
      <c r="A1129" s="4" t="s">
        <v>1528</v>
      </c>
      <c r="B1129" s="4">
        <f t="shared" si="17"/>
        <v>6</v>
      </c>
      <c r="C1129" s="4" t="s">
        <v>711</v>
      </c>
      <c r="D1129" s="1" t="str">
        <f>IFERROR(VLOOKUP(A1129,[1]biopep_DB!$F$2:$J$1654,5,0),)</f>
        <v>Potent synthetic analogues of angiotensin-converting enzyme inhibitor derived from Tuna muscle.</v>
      </c>
      <c r="E1129" s="1" t="str">
        <f>IFERROR(VLOOKUP(A1129,[1]biopep_DB!$F$2:$L$1654,6,0),0)</f>
        <v/>
      </c>
      <c r="F1129" s="1" t="str">
        <f>IFERROR(VLOOKUP(A1129,[1]biopep_DB!$F$2:$L$1654,7,0),0)</f>
        <v>1368734</v>
      </c>
      <c r="G1129" s="5">
        <v>737.8</v>
      </c>
      <c r="H1129" s="5">
        <v>5.08</v>
      </c>
      <c r="I1129" s="5">
        <v>-0.95</v>
      </c>
      <c r="J1129" s="6">
        <v>-0.4833</v>
      </c>
      <c r="K1129" s="5">
        <v>69</v>
      </c>
      <c r="L1129" s="6">
        <v>0.6667</v>
      </c>
      <c r="M1129" s="6">
        <v>-1.065</v>
      </c>
      <c r="N1129" s="6">
        <v>0.1667</v>
      </c>
      <c r="O1129" s="6">
        <v>0.3333</v>
      </c>
      <c r="P1129" s="6">
        <v>0.3333</v>
      </c>
      <c r="Q1129" s="7"/>
      <c r="R1129" s="7"/>
    </row>
    <row r="1130" spans="1:18">
      <c r="A1130" s="4" t="s">
        <v>1529</v>
      </c>
      <c r="B1130" s="4">
        <f t="shared" si="17"/>
        <v>12</v>
      </c>
      <c r="C1130" s="4" t="s">
        <v>1530</v>
      </c>
      <c r="D1130" s="1" t="str">
        <f>IFERROR(VLOOKUP(A1130,[1]biopep_DB!$F$2:$J$1654,5,0),)</f>
        <v/>
      </c>
      <c r="E1130" s="1" t="str">
        <f>IFERROR(VLOOKUP(A1130,[1]biopep_DB!$F$2:$L$1654,6,0),0)</f>
        <v/>
      </c>
      <c r="F1130" s="1" t="str">
        <f>IFERROR(VLOOKUP(A1130,[1]biopep_DB!$F$2:$L$1654,7,0),0)</f>
        <v/>
      </c>
      <c r="G1130" s="5">
        <v>1331.51</v>
      </c>
      <c r="H1130" s="5">
        <v>4.05</v>
      </c>
      <c r="I1130" s="5">
        <v>-4.03</v>
      </c>
      <c r="J1130" s="6">
        <v>-0.15</v>
      </c>
      <c r="K1130" s="5">
        <v>8.73</v>
      </c>
      <c r="L1130" s="6">
        <v>0.6667</v>
      </c>
      <c r="M1130" s="6">
        <v>-0.89</v>
      </c>
      <c r="N1130" s="6">
        <v>0.6667</v>
      </c>
      <c r="O1130" s="6">
        <v>0.25</v>
      </c>
      <c r="P1130" s="6">
        <v>0.1667</v>
      </c>
      <c r="Q1130" s="7"/>
      <c r="R1130" s="7"/>
    </row>
    <row r="1131" spans="1:18">
      <c r="A1131" s="4" t="s">
        <v>1531</v>
      </c>
      <c r="B1131" s="4">
        <f t="shared" si="17"/>
        <v>3</v>
      </c>
      <c r="C1131" s="4" t="s">
        <v>51</v>
      </c>
      <c r="D1131" s="1" t="str">
        <f>IFERROR(VLOOKUP(A1131,[1]biopep_DB!$F$2:$J$1654,5,0),)</f>
        <v>Angiotensin I-converting enzyme inhibitory peptides generated from in vitro gastrointestinal digestion of pork meat.; Isolation and characterization of peptides with antihypertensive activity in foodstuffs.</v>
      </c>
      <c r="E1131" s="1" t="str">
        <f>IFERROR(VLOOKUP(A1131,[1]biopep_DB!$F$2:$L$1654,6,0),0)</f>
        <v>10.1021/jf904204n; 10.1080/10408398.2012.664829</v>
      </c>
      <c r="F1131" s="1" t="str">
        <f>IFERROR(VLOOKUP(A1131,[1]biopep_DB!$F$2:$L$1654,7,0),0)</f>
        <v>20151679 24915368</v>
      </c>
      <c r="G1131" s="5">
        <v>400.43</v>
      </c>
      <c r="H1131" s="5">
        <v>6.43</v>
      </c>
      <c r="I1131" s="5">
        <v>-0.04</v>
      </c>
      <c r="J1131" s="6">
        <v>-3.2</v>
      </c>
      <c r="K1131" s="5">
        <v>64.6</v>
      </c>
      <c r="L1131" s="6">
        <v>0.3333</v>
      </c>
      <c r="M1131" s="6">
        <v>1.4533</v>
      </c>
      <c r="N1131" s="6">
        <v>0.3333</v>
      </c>
      <c r="O1131" s="6">
        <v>0.3333</v>
      </c>
      <c r="P1131" s="6">
        <v>0</v>
      </c>
      <c r="Q1131" s="7"/>
      <c r="R1131" s="7"/>
    </row>
    <row r="1132" spans="1:18">
      <c r="A1132" s="4" t="s">
        <v>1532</v>
      </c>
      <c r="B1132" s="4">
        <f t="shared" si="17"/>
        <v>3</v>
      </c>
      <c r="C1132" s="4" t="s">
        <v>31</v>
      </c>
      <c r="D1132" s="1" t="str">
        <f>IFERROR(VLOOKUP(A1132,[1]biopep_DB!$F$2:$J$1654,5,0),)</f>
        <v>The potential role of milk-derived peptides in cardiovascular disease.</v>
      </c>
      <c r="E1132" s="1" t="str">
        <f>IFERROR(VLOOKUP(A1132,[1]biopep_DB!$F$2:$L$1654,6,0),0)</f>
        <v>10.1039/c1fo10017c</v>
      </c>
      <c r="F1132" s="1" t="str">
        <f>IFERROR(VLOOKUP(A1132,[1]biopep_DB!$F$2:$L$1654,7,0),0)</f>
        <v>21779574</v>
      </c>
      <c r="G1132" s="5">
        <v>430.45</v>
      </c>
      <c r="H1132" s="5">
        <v>4.05</v>
      </c>
      <c r="I1132" s="5">
        <v>-1.04</v>
      </c>
      <c r="J1132" s="6">
        <v>-2</v>
      </c>
      <c r="K1132" s="5">
        <v>14.5</v>
      </c>
      <c r="L1132" s="6">
        <v>0.6667</v>
      </c>
      <c r="M1132" s="6">
        <v>-0.23</v>
      </c>
      <c r="N1132" s="6">
        <v>0.3333</v>
      </c>
      <c r="O1132" s="6">
        <v>0.3333</v>
      </c>
      <c r="P1132" s="6">
        <v>0.3333</v>
      </c>
      <c r="Q1132" s="7"/>
      <c r="R1132" s="7"/>
    </row>
    <row r="1133" spans="1:18">
      <c r="A1133" s="4" t="s">
        <v>1533</v>
      </c>
      <c r="B1133" s="4">
        <f t="shared" si="17"/>
        <v>11</v>
      </c>
      <c r="C1133" s="4"/>
      <c r="D1133" s="1" t="str">
        <f>IFERROR(VLOOKUP(A1133,[1]biopep_DB!$F$2:$J$1654,5,0),)</f>
        <v>Inhibition of angiotensin-converting enzyme by synthetic peptide fragments of various beta-caseins.</v>
      </c>
      <c r="E1133" s="1" t="str">
        <f>IFERROR(VLOOKUP(A1133,[1]biopep_DB!$F$2:$L$1654,6,0),0)</f>
        <v/>
      </c>
      <c r="F1133" s="1" t="str">
        <f>IFERROR(VLOOKUP(A1133,[1]biopep_DB!$F$2:$L$1654,7,0),0)</f>
        <v>1368548</v>
      </c>
      <c r="G1133" s="5">
        <v>1250.4</v>
      </c>
      <c r="H1133" s="5">
        <v>5.95</v>
      </c>
      <c r="I1133" s="5">
        <v>-0.04</v>
      </c>
      <c r="J1133" s="6">
        <v>-0.0364</v>
      </c>
      <c r="K1133" s="5">
        <v>64.05</v>
      </c>
      <c r="L1133" s="6">
        <v>0.5455</v>
      </c>
      <c r="M1133" s="6">
        <v>-0.89</v>
      </c>
      <c r="N1133" s="6">
        <v>0.1818</v>
      </c>
      <c r="O1133" s="6">
        <v>0.2727</v>
      </c>
      <c r="P1133" s="6">
        <v>0.4545</v>
      </c>
      <c r="Q1133" s="7"/>
      <c r="R1133" s="7"/>
    </row>
    <row r="1134" spans="1:18">
      <c r="A1134" s="4" t="s">
        <v>1534</v>
      </c>
      <c r="B1134" s="4">
        <f t="shared" si="17"/>
        <v>8</v>
      </c>
      <c r="C1134" s="4" t="s">
        <v>25</v>
      </c>
      <c r="D1134" s="1" t="str">
        <f>IFERROR(VLOOKUP(A1134,[1]biopep_DB!$F$2:$J$1654,5,0),)</f>
        <v>Inhibition of angiotensin-converting enzyme by synthetic peptide fragments of various beta-caseins.</v>
      </c>
      <c r="E1134" s="1" t="str">
        <f>IFERROR(VLOOKUP(A1134,[1]biopep_DB!$F$2:$L$1654,6,0),0)</f>
        <v/>
      </c>
      <c r="F1134" s="1" t="str">
        <f>IFERROR(VLOOKUP(A1134,[1]biopep_DB!$F$2:$L$1654,7,0),0)</f>
        <v>1368548</v>
      </c>
      <c r="G1134" s="5">
        <v>960.08</v>
      </c>
      <c r="H1134" s="5">
        <v>4.05</v>
      </c>
      <c r="I1134" s="5">
        <v>-1.04</v>
      </c>
      <c r="J1134" s="6">
        <v>-0.2125</v>
      </c>
      <c r="K1134" s="5">
        <v>68.72</v>
      </c>
      <c r="L1134" s="6">
        <v>0.75</v>
      </c>
      <c r="M1134" s="6">
        <v>-0.98</v>
      </c>
      <c r="N1134" s="6">
        <v>0</v>
      </c>
      <c r="O1134" s="6">
        <v>0.5</v>
      </c>
      <c r="P1134" s="6">
        <v>0.375</v>
      </c>
      <c r="Q1134" s="7"/>
      <c r="R1134" s="7"/>
    </row>
    <row r="1135" spans="1:18">
      <c r="A1135" s="4" t="s">
        <v>1535</v>
      </c>
      <c r="B1135" s="4">
        <f t="shared" si="17"/>
        <v>3</v>
      </c>
      <c r="C1135" s="4" t="s">
        <v>1536</v>
      </c>
      <c r="D1135" s="1" t="str">
        <f>IFERROR(VLOOKUP(A1135,[1]biopep_DB!$F$2:$J$1654,5,0),)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135" s="1" t="str">
        <f>IFERROR(VLOOKUP(A1135,[1]biopep_DB!$F$2:$L$1654,6,0),0)</f>
        <v>10.1002/psc.800; 10.1007/s00894-010-0862-x; 10.1016/j.foodchem.2013.05.140</v>
      </c>
      <c r="F1135" s="1" t="str">
        <f>IFERROR(VLOOKUP(A1135,[1]biopep_DB!$F$2:$L$1654,7,0),0)</f>
        <v>17117396 20941517 23871047</v>
      </c>
      <c r="G1135" s="5">
        <v>359.42</v>
      </c>
      <c r="H1135" s="5">
        <v>5.95</v>
      </c>
      <c r="I1135" s="5">
        <v>-0.04</v>
      </c>
      <c r="J1135" s="6">
        <v>-0.1333</v>
      </c>
      <c r="K1135" s="5">
        <v>135.07</v>
      </c>
      <c r="L1135" s="6">
        <v>1</v>
      </c>
      <c r="M1135" s="6">
        <v>-0.9933</v>
      </c>
      <c r="N1135" s="6">
        <v>0</v>
      </c>
      <c r="O1135" s="6">
        <v>0.6667</v>
      </c>
      <c r="P1135" s="6">
        <v>0.3333</v>
      </c>
      <c r="Q1135" s="7"/>
      <c r="R1135" s="7"/>
    </row>
    <row r="1136" spans="1:18">
      <c r="A1136" s="4" t="s">
        <v>1537</v>
      </c>
      <c r="B1136" s="4">
        <f t="shared" si="17"/>
        <v>4</v>
      </c>
      <c r="C1136" s="4" t="s">
        <v>1362</v>
      </c>
      <c r="D1136" s="1" t="str">
        <f>IFERROR(VLOOKUP(A1136,[1]biopep_DB!$F$2:$J$1654,5,0),)</f>
        <v/>
      </c>
      <c r="E1136" s="1" t="str">
        <f>IFERROR(VLOOKUP(A1136,[1]biopep_DB!$F$2:$L$1654,6,0),0)</f>
        <v/>
      </c>
      <c r="F1136" s="1" t="str">
        <f>IFERROR(VLOOKUP(A1136,[1]biopep_DB!$F$2:$L$1654,7,0),0)</f>
        <v/>
      </c>
      <c r="G1136" s="5">
        <v>488.53</v>
      </c>
      <c r="H1136" s="5">
        <v>4.6</v>
      </c>
      <c r="I1136" s="5">
        <v>-1.03</v>
      </c>
      <c r="J1136" s="6">
        <v>-0.975</v>
      </c>
      <c r="K1136" s="5">
        <v>147.25</v>
      </c>
      <c r="L1136" s="6">
        <v>0.75</v>
      </c>
      <c r="M1136" s="6">
        <v>-0.335</v>
      </c>
      <c r="N1136" s="6">
        <v>0.25</v>
      </c>
      <c r="O1136" s="6">
        <v>0.5</v>
      </c>
      <c r="P1136" s="6">
        <v>0.25</v>
      </c>
      <c r="Q1136" s="7"/>
      <c r="R1136" s="7"/>
    </row>
    <row r="1137" spans="1:18">
      <c r="A1137" s="4" t="s">
        <v>1538</v>
      </c>
      <c r="B1137" s="4">
        <f t="shared" si="17"/>
        <v>8</v>
      </c>
      <c r="C1137" s="4"/>
      <c r="G1137" s="5">
        <v>920.06</v>
      </c>
      <c r="H1137" s="5">
        <v>6.43</v>
      </c>
      <c r="I1137" s="5">
        <v>-0.04</v>
      </c>
      <c r="J1137" s="6">
        <v>-0.15</v>
      </c>
      <c r="K1137" s="5">
        <v>68.01</v>
      </c>
      <c r="L1137" s="6">
        <v>0.625</v>
      </c>
      <c r="M1137" s="6">
        <v>-0.965</v>
      </c>
      <c r="N1137" s="6">
        <v>0.25</v>
      </c>
      <c r="O1137" s="6">
        <v>0.375</v>
      </c>
      <c r="P1137" s="6">
        <v>0.375</v>
      </c>
      <c r="Q1137" s="7"/>
      <c r="R1137" s="7"/>
    </row>
    <row r="1138" spans="1:18">
      <c r="A1138" s="4" t="s">
        <v>1539</v>
      </c>
      <c r="B1138" s="4">
        <f t="shared" si="17"/>
        <v>8</v>
      </c>
      <c r="C1138" s="4"/>
      <c r="G1138" s="5">
        <v>837.96</v>
      </c>
      <c r="H1138" s="5">
        <v>5.95</v>
      </c>
      <c r="I1138" s="5">
        <v>-0.04</v>
      </c>
      <c r="J1138" s="6">
        <v>-0.375</v>
      </c>
      <c r="K1138" s="5">
        <v>53.3</v>
      </c>
      <c r="L1138" s="6">
        <v>0.75</v>
      </c>
      <c r="M1138" s="6">
        <v>-0.9025</v>
      </c>
      <c r="N1138" s="6">
        <v>0</v>
      </c>
      <c r="O1138" s="6">
        <v>0.75</v>
      </c>
      <c r="P1138" s="6">
        <v>0.25</v>
      </c>
      <c r="Q1138" s="7"/>
      <c r="R1138" s="7"/>
    </row>
    <row r="1139" spans="1:18">
      <c r="A1139" s="4" t="s">
        <v>1540</v>
      </c>
      <c r="B1139" s="4">
        <f t="shared" si="17"/>
        <v>2</v>
      </c>
      <c r="C1139" s="4" t="s">
        <v>36</v>
      </c>
      <c r="D1139" s="1" t="str">
        <f>IFERROR(VLOOKUP(A1139,[1]biopep_DB!$F$2:$J$1654,5,0),)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1139" s="1" t="str">
        <f>IFERROR(VLOOKUP(A1139,[1]biopep_DB!$F$2:$L$1654,6,0),0)</f>
        <v>10.1021/jf051263l; 10.1002/psc.892; 10.1007/s00894-010-0862-x; 10.1016/j.jprot.2013.06.023; 10.1016/j.foodchem.2013.05.140</v>
      </c>
      <c r="F1139" s="1" t="str">
        <f>IFERROR(VLOOKUP(A1139,[1]biopep_DB!$F$2:$L$1654,7,0),0)</f>
        <v>6243277 16448176 17654623 20941517 23806758 23871047</v>
      </c>
      <c r="G1139" s="5">
        <v>172.18</v>
      </c>
      <c r="H1139" s="5">
        <v>5.95</v>
      </c>
      <c r="I1139" s="5">
        <v>-0.04</v>
      </c>
      <c r="J1139" s="6">
        <v>-1</v>
      </c>
      <c r="K1139" s="5">
        <v>5</v>
      </c>
      <c r="L1139" s="6">
        <v>0.5</v>
      </c>
      <c r="M1139" s="6">
        <v>-0.47</v>
      </c>
      <c r="N1139" s="6">
        <v>0</v>
      </c>
      <c r="O1139" s="6">
        <v>1</v>
      </c>
      <c r="P1139" s="6">
        <v>0</v>
      </c>
      <c r="Q1139" s="7"/>
      <c r="R1139" s="7"/>
    </row>
    <row r="1140" spans="1:18">
      <c r="A1140" s="4" t="s">
        <v>1541</v>
      </c>
      <c r="B1140" s="4">
        <f t="shared" si="17"/>
        <v>3</v>
      </c>
      <c r="C1140" s="4"/>
      <c r="D1140" s="1" t="str">
        <f>IFERROR(VLOOKUP(A1140,[1]biopep_DB!$F$2:$J$1654,5,0),)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v>
      </c>
      <c r="E1140" s="1" t="str">
        <f>IFERROR(VLOOKUP(A1140,[1]biopep_DB!$F$2:$L$1654,6,0),0)</f>
        <v>10.1002/psc.800; 10.1007/s00894-010-0862-x</v>
      </c>
      <c r="F1140" s="1" t="str">
        <f>IFERROR(VLOOKUP(A1140,[1]biopep_DB!$F$2:$L$1654,7,0),0)</f>
        <v>17117396 20941517</v>
      </c>
      <c r="G1140" s="5">
        <v>229.23</v>
      </c>
      <c r="H1140" s="5">
        <v>5.95</v>
      </c>
      <c r="I1140" s="5">
        <v>-0.04</v>
      </c>
      <c r="J1140" s="6">
        <v>-0.8</v>
      </c>
      <c r="K1140" s="5">
        <v>47.8</v>
      </c>
      <c r="L1140" s="6">
        <v>0.3333</v>
      </c>
      <c r="M1140" s="6">
        <v>-0.6267</v>
      </c>
      <c r="N1140" s="6">
        <v>0</v>
      </c>
      <c r="O1140" s="6">
        <v>1</v>
      </c>
      <c r="P1140" s="6">
        <v>0</v>
      </c>
      <c r="Q1140" s="7"/>
      <c r="R1140" s="7"/>
    </row>
    <row r="1141" spans="1:18">
      <c r="A1141" s="4" t="s">
        <v>1542</v>
      </c>
      <c r="B1141" s="4">
        <f t="shared" si="17"/>
        <v>3</v>
      </c>
      <c r="C1141" s="4"/>
      <c r="D1141" s="1" t="str">
        <f>IFERROR(VLOOKUP(A1141,[1]biopep_DB!$F$2:$J$1654,5,0),)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141" s="1" t="str">
        <f>IFERROR(VLOOKUP(A1141,[1]biopep_DB!$F$2:$L$1654,6,0),0)</f>
        <v>10.1002/psc.800; 10.1007/s00894-010-0862-x; 10.1016/j.foodchem.2013.05.140</v>
      </c>
      <c r="F1141" s="1" t="str">
        <f>IFERROR(VLOOKUP(A1141,[1]biopep_DB!$F$2:$L$1654,7,0),0)</f>
        <v>17117396 20941517 23871047</v>
      </c>
      <c r="G1141" s="5">
        <v>285.34</v>
      </c>
      <c r="H1141" s="5">
        <v>5.95</v>
      </c>
      <c r="I1141" s="5">
        <v>-0.04</v>
      </c>
      <c r="J1141" s="6">
        <v>0.8333</v>
      </c>
      <c r="K1141" s="5">
        <v>-21.63</v>
      </c>
      <c r="L1141" s="6">
        <v>0.6667</v>
      </c>
      <c r="M1141" s="6">
        <v>-1.9533</v>
      </c>
      <c r="N1141" s="6">
        <v>0</v>
      </c>
      <c r="O1141" s="6">
        <v>0.6667</v>
      </c>
      <c r="P1141" s="6">
        <v>0.3333</v>
      </c>
      <c r="Q1141" s="7"/>
      <c r="R1141" s="7"/>
    </row>
    <row r="1142" spans="1:18">
      <c r="A1142" s="4" t="s">
        <v>1543</v>
      </c>
      <c r="B1142" s="4">
        <f t="shared" si="17"/>
        <v>3</v>
      </c>
      <c r="C1142" s="4" t="s">
        <v>1544</v>
      </c>
      <c r="D1142" s="1" t="str">
        <f>IFERROR(VLOOKUP(A1142,[1]biopep_DB!$F$2:$J$1654,5,0),)</f>
        <v>Structure and activity of angiotensin I converting enzyme inhibitory peptides derived from Alaskan pollack skin.</v>
      </c>
      <c r="E1142" s="1" t="str">
        <f>IFERROR(VLOOKUP(A1142,[1]biopep_DB!$F$2:$L$1654,6,0),0)</f>
        <v>10.5483/bmbrep.2002.35.2.239</v>
      </c>
      <c r="F1142" s="1" t="str">
        <f>IFERROR(VLOOKUP(A1142,[1]biopep_DB!$F$2:$L$1654,7,0),0)</f>
        <v>12297036</v>
      </c>
      <c r="G1142" s="5">
        <v>285.34</v>
      </c>
      <c r="H1142" s="5">
        <v>5.95</v>
      </c>
      <c r="I1142" s="5">
        <v>-0.04</v>
      </c>
      <c r="J1142" s="6">
        <v>0.6</v>
      </c>
      <c r="K1142" s="5">
        <v>6.67</v>
      </c>
      <c r="L1142" s="6">
        <v>0.6667</v>
      </c>
      <c r="M1142" s="6">
        <v>-1.9533</v>
      </c>
      <c r="N1142" s="6">
        <v>0.3333</v>
      </c>
      <c r="O1142" s="6">
        <v>0.6667</v>
      </c>
      <c r="P1142" s="6">
        <v>0.3333</v>
      </c>
      <c r="Q1142" s="7"/>
      <c r="R1142" s="7"/>
    </row>
    <row r="1143" spans="1:18">
      <c r="A1143" s="4" t="s">
        <v>1545</v>
      </c>
      <c r="B1143" s="4">
        <f t="shared" si="17"/>
        <v>3</v>
      </c>
      <c r="C1143" s="4"/>
      <c r="D1143" s="1" t="str">
        <f>IFERROR(VLOOKUP(A1143,[1]biopep_DB!$F$2:$J$1654,5,0),)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143" s="1" t="str">
        <f>IFERROR(VLOOKUP(A1143,[1]biopep_DB!$F$2:$L$1654,6,0),0)</f>
        <v>10.1002/psc.800; 10.1007/s00894-010-0862-x; 10.1016/j.foodchem.2013.05.140</v>
      </c>
      <c r="F1143" s="1" t="str">
        <f>IFERROR(VLOOKUP(A1143,[1]biopep_DB!$F$2:$L$1654,7,0),0)</f>
        <v>17117396 20941517 23871047</v>
      </c>
      <c r="G1143" s="5">
        <v>269.3</v>
      </c>
      <c r="H1143" s="5">
        <v>5.95</v>
      </c>
      <c r="I1143" s="5">
        <v>-0.04</v>
      </c>
      <c r="J1143" s="6">
        <v>-1.2</v>
      </c>
      <c r="K1143" s="5">
        <v>6.67</v>
      </c>
      <c r="L1143" s="6">
        <v>0.6667</v>
      </c>
      <c r="M1143" s="6">
        <v>-0.3133</v>
      </c>
      <c r="N1143" s="6">
        <v>0</v>
      </c>
      <c r="O1143" s="6">
        <v>1</v>
      </c>
      <c r="P1143" s="6">
        <v>0</v>
      </c>
      <c r="Q1143" s="7"/>
      <c r="R1143" s="7"/>
    </row>
    <row r="1144" spans="1:18">
      <c r="A1144" s="4" t="s">
        <v>1546</v>
      </c>
      <c r="B1144" s="4">
        <f t="shared" si="17"/>
        <v>6</v>
      </c>
      <c r="C1144" s="4"/>
      <c r="D1144" s="1" t="str">
        <f>IFERROR(VLOOKUP(A1144,[1]biopep_DB!$F$2:$J$1654,5,0),)</f>
        <v>Enterococcus faecalis strains from food, environmental, and clinical origin produce ACE-inhibitory peptides and other bioactive peptides during growth in bovine skim milk.</v>
      </c>
      <c r="E1144" s="1" t="str">
        <f>IFERROR(VLOOKUP(A1144,[1]biopep_DB!$F$2:$L$1654,6,0),0)</f>
        <v>10.1016/j.ijfoodmicro.2013.06.019</v>
      </c>
      <c r="F1144" s="1" t="str">
        <f>IFERROR(VLOOKUP(A1144,[1]biopep_DB!$F$2:$L$1654,7,0),0)</f>
        <v>23845432</v>
      </c>
      <c r="G1144" s="5">
        <v>633.7</v>
      </c>
      <c r="H1144" s="5">
        <v>7.17</v>
      </c>
      <c r="I1144" s="5">
        <v>0.05</v>
      </c>
      <c r="J1144" s="6">
        <v>-0.9667</v>
      </c>
      <c r="K1144" s="5">
        <v>68.37</v>
      </c>
      <c r="L1144" s="6">
        <v>0.5</v>
      </c>
      <c r="M1144" s="6">
        <v>-0.5417</v>
      </c>
      <c r="N1144" s="6">
        <v>0</v>
      </c>
      <c r="O1144" s="6">
        <v>0.6667</v>
      </c>
      <c r="P1144" s="6">
        <v>0.1667</v>
      </c>
      <c r="Q1144" s="7"/>
      <c r="R1144" s="7"/>
    </row>
    <row r="1145" spans="1:18">
      <c r="A1145" s="4" t="s">
        <v>1547</v>
      </c>
      <c r="B1145" s="4">
        <f t="shared" si="17"/>
        <v>5</v>
      </c>
      <c r="C1145" s="4" t="s">
        <v>62</v>
      </c>
      <c r="D1145" s="1" t="str">
        <f>IFERROR(VLOOKUP(A1145,[1]biopep_DB!$F$2:$J$1654,5,0),)</f>
        <v>Putting microbes to work: dairy fermentation, cell factories and bioactive peptides. Part I: overview.</v>
      </c>
      <c r="E1145" s="1" t="str">
        <f>IFERROR(VLOOKUP(A1145,[1]biopep_DB!$F$2:$L$1654,6,0),0)</f>
        <v>10.1002/biot.200600246</v>
      </c>
      <c r="F1145" s="1" t="str">
        <f>IFERROR(VLOOKUP(A1145,[1]biopep_DB!$F$2:$L$1654,7,0),0)</f>
        <v>17407210</v>
      </c>
      <c r="G1145" s="5">
        <v>479.57</v>
      </c>
      <c r="H1145" s="5">
        <v>5.95</v>
      </c>
      <c r="I1145" s="5">
        <v>-0.04</v>
      </c>
      <c r="J1145" s="6">
        <v>-0.14</v>
      </c>
      <c r="K1145" s="5">
        <v>2.24</v>
      </c>
      <c r="L1145" s="6">
        <v>0.8</v>
      </c>
      <c r="M1145" s="6">
        <v>-1.172</v>
      </c>
      <c r="N1145" s="6">
        <v>0</v>
      </c>
      <c r="O1145" s="6">
        <v>0.8</v>
      </c>
      <c r="P1145" s="6">
        <v>0.2</v>
      </c>
      <c r="Q1145" s="7"/>
      <c r="R1145" s="7"/>
    </row>
    <row r="1146" spans="1:18">
      <c r="A1146" s="4" t="s">
        <v>1548</v>
      </c>
      <c r="B1146" s="4">
        <f t="shared" si="17"/>
        <v>9</v>
      </c>
      <c r="C1146" s="4" t="s">
        <v>1549</v>
      </c>
      <c r="D1146" s="1" t="str">
        <f>IFERROR(VLOOKUP(A1146,[1]biopep_DB!$F$2:$J$1654,5,0),)</f>
        <v>A new QSAR model, for angiotensin I-converting enzyme inhibitory oligopeptides.; Review on the angiotensin-I-converting enzyme (ACE) inhibitor peptides from marine proteins.</v>
      </c>
      <c r="E1146" s="1" t="str">
        <f>IFERROR(VLOOKUP(A1146,[1]biopep_DB!$F$2:$L$1654,6,0),0)</f>
        <v>10.1016/j.foodchem.2012.09.092; 10.1007/s12010-012-0024-y</v>
      </c>
      <c r="F1146" s="1" t="str">
        <f>IFERROR(VLOOKUP(A1146,[1]biopep_DB!$F$2:$L$1654,7,0),0)</f>
        <v>23194537 23271625</v>
      </c>
      <c r="G1146" s="5">
        <v>807.93</v>
      </c>
      <c r="H1146" s="5">
        <v>5.95</v>
      </c>
      <c r="I1146" s="5">
        <v>-0.04</v>
      </c>
      <c r="J1146" s="6">
        <v>0.1</v>
      </c>
      <c r="K1146" s="5">
        <v>-0.54</v>
      </c>
      <c r="L1146" s="6">
        <v>0.5556</v>
      </c>
      <c r="M1146" s="6">
        <v>-1.3778</v>
      </c>
      <c r="N1146" s="6">
        <v>0.2222</v>
      </c>
      <c r="O1146" s="6">
        <v>0.6667</v>
      </c>
      <c r="P1146" s="6">
        <v>0.3333</v>
      </c>
      <c r="Q1146" s="7"/>
      <c r="R1146" s="7"/>
    </row>
    <row r="1147" spans="1:18">
      <c r="A1147" s="4" t="s">
        <v>1550</v>
      </c>
      <c r="B1147" s="4">
        <f t="shared" si="17"/>
        <v>3</v>
      </c>
      <c r="C1147" s="4" t="s">
        <v>51</v>
      </c>
      <c r="D1147" s="1" t="str">
        <f>IFERROR(VLOOKUP(A1147,[1]biopep_DB!$F$2:$J$1654,5,0),)</f>
        <v>Quantitative structure-activity relationship study of bitter di- and tri-peptides including relationship with angiotensin I-converting enzyme inhibitory activity.; Angiotensin I-converting enzyme inhibitory peptides generated from in vitro gastrointestinal digestion of pork meat.; QSAR study on angiotensin-converting enzyme inhibitor oligopeptides based on a novel set of sequence information descriptors.; What are the ideal properties for functional food peptides with antihypertensive effect? A computational peptidology approach.; Isolation and characterization of peptides with antihypertensive activity in foodstuffs.</v>
      </c>
      <c r="E1147" s="1" t="str">
        <f>IFERROR(VLOOKUP(A1147,[1]biopep_DB!$F$2:$L$1654,6,0),0)</f>
        <v>10.1002/psc.800; 10.1021/jf904204n; 10.1007/s00894-010-0862-x; 10.1016/j.foodchem.2013.05.140; 10.1080/10408398.2012.664829</v>
      </c>
      <c r="F1147" s="1" t="str">
        <f>IFERROR(VLOOKUP(A1147,[1]biopep_DB!$F$2:$L$1654,7,0),0)</f>
        <v>17117396 20151679 20941517 23871047 24915368</v>
      </c>
      <c r="G1147" s="5">
        <v>328.37</v>
      </c>
      <c r="H1147" s="5">
        <v>10.18</v>
      </c>
      <c r="I1147" s="5">
        <v>0.96</v>
      </c>
      <c r="J1147" s="6">
        <v>-2.1667</v>
      </c>
      <c r="K1147" s="5">
        <v>6.67</v>
      </c>
      <c r="L1147" s="6">
        <v>0.3333</v>
      </c>
      <c r="M1147" s="6">
        <v>0.5933</v>
      </c>
      <c r="N1147" s="6">
        <v>0</v>
      </c>
      <c r="O1147" s="6">
        <v>0.6667</v>
      </c>
      <c r="P1147" s="6">
        <v>0</v>
      </c>
      <c r="Q1147" s="7"/>
      <c r="R1147" s="7"/>
    </row>
    <row r="1148" spans="1:18">
      <c r="A1148" s="4" t="s">
        <v>1551</v>
      </c>
      <c r="B1148" s="4">
        <f t="shared" si="17"/>
        <v>7</v>
      </c>
      <c r="C1148" s="4" t="s">
        <v>1007</v>
      </c>
      <c r="D1148" s="1" t="str">
        <f>IFERROR(VLOOKUP(A1148,[1]biopep_DB!$F$2:$J$1654,5,0),)</f>
        <v>A new QSAR model, for angiotensin I-converting enzyme inhibitory oligopeptides.</v>
      </c>
      <c r="E1148" s="1" t="str">
        <f>IFERROR(VLOOKUP(A1148,[1]biopep_DB!$F$2:$L$1654,6,0),0)</f>
        <v>10.1016/j.foodchem.2012.09.092</v>
      </c>
      <c r="F1148" s="1" t="str">
        <f>IFERROR(VLOOKUP(A1148,[1]biopep_DB!$F$2:$L$1654,7,0),0)</f>
        <v>23194537</v>
      </c>
      <c r="G1148" s="5">
        <v>718.84</v>
      </c>
      <c r="H1148" s="5">
        <v>9.18</v>
      </c>
      <c r="I1148" s="5">
        <v>0.96</v>
      </c>
      <c r="J1148" s="6">
        <v>0.3143</v>
      </c>
      <c r="K1148" s="5">
        <v>-25.03</v>
      </c>
      <c r="L1148" s="6">
        <v>0.5714</v>
      </c>
      <c r="M1148" s="6">
        <v>-1.1329</v>
      </c>
      <c r="N1148" s="6">
        <v>0.2857</v>
      </c>
      <c r="O1148" s="6">
        <v>0.2857</v>
      </c>
      <c r="P1148" s="6">
        <v>0.4286</v>
      </c>
      <c r="Q1148" s="7"/>
      <c r="R1148" s="7"/>
    </row>
    <row r="1149" spans="1:18">
      <c r="A1149" s="4" t="s">
        <v>1552</v>
      </c>
      <c r="B1149" s="4">
        <f t="shared" si="17"/>
        <v>2</v>
      </c>
      <c r="C1149" s="4" t="s">
        <v>62</v>
      </c>
      <c r="D1149" s="1" t="str">
        <f>IFERROR(VLOOKUP(A1149,[1]biopep_DB!$F$2:$J$1654,5,0),)</f>
        <v>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
      <c r="E1149" s="1" t="str">
        <f>IFERROR(VLOOKUP(A1149,[1]biopep_DB!$F$2:$L$1654,6,0),0)</f>
        <v>10.1007/s00216-008-1990-3; 10.1016/j.jprot.2013.06.023</v>
      </c>
      <c r="F1149" s="1" t="str">
        <f>IFERROR(VLOOKUP(A1149,[1]biopep_DB!$F$2:$L$1654,7,0),0)</f>
        <v>18392815 23806758</v>
      </c>
      <c r="G1149" s="5">
        <v>252.27</v>
      </c>
      <c r="H1149" s="5">
        <v>7.17</v>
      </c>
      <c r="I1149" s="5">
        <v>0.05</v>
      </c>
      <c r="J1149" s="6">
        <v>-2.4</v>
      </c>
      <c r="K1149" s="5">
        <v>5</v>
      </c>
      <c r="L1149" s="6">
        <v>0.5</v>
      </c>
      <c r="M1149" s="6">
        <v>0.495</v>
      </c>
      <c r="N1149" s="6">
        <v>0</v>
      </c>
      <c r="O1149" s="6">
        <v>0.5</v>
      </c>
      <c r="P1149" s="6">
        <v>0</v>
      </c>
      <c r="Q1149" s="7"/>
      <c r="R1149" s="7"/>
    </row>
    <row r="1150" spans="1:18">
      <c r="A1150" s="4" t="s">
        <v>1553</v>
      </c>
      <c r="B1150" s="4">
        <f t="shared" si="17"/>
        <v>6</v>
      </c>
      <c r="C1150" s="4" t="s">
        <v>682</v>
      </c>
      <c r="D1150" s="1" t="str">
        <f>IFERROR(VLOOKUP(A1150,[1]biopep_DB!$F$2:$J$1654,5,0),)</f>
        <v>Inhibition of angiotensin-converting enzyme by synthetic peptide fragments of various beta-caseins.</v>
      </c>
      <c r="E1150" s="1" t="str">
        <f>IFERROR(VLOOKUP(A1150,[1]biopep_DB!$F$2:$L$1654,6,0),0)</f>
        <v/>
      </c>
      <c r="F1150" s="1" t="str">
        <f>IFERROR(VLOOKUP(A1150,[1]biopep_DB!$F$2:$L$1654,7,0),0)</f>
        <v>1368548</v>
      </c>
      <c r="G1150" s="5">
        <v>753.84</v>
      </c>
      <c r="H1150" s="5">
        <v>7.17</v>
      </c>
      <c r="I1150" s="5">
        <v>0.04</v>
      </c>
      <c r="J1150" s="6">
        <v>-1.1167</v>
      </c>
      <c r="K1150" s="5">
        <v>28.9</v>
      </c>
      <c r="L1150" s="6">
        <v>0.5</v>
      </c>
      <c r="M1150" s="6">
        <v>-0.405</v>
      </c>
      <c r="N1150" s="6">
        <v>0</v>
      </c>
      <c r="O1150" s="6">
        <v>0.3333</v>
      </c>
      <c r="P1150" s="6">
        <v>0.3333</v>
      </c>
      <c r="Q1150" s="7"/>
      <c r="R1150" s="7"/>
    </row>
    <row r="1151" spans="1:18">
      <c r="A1151" s="4" t="s">
        <v>1554</v>
      </c>
      <c r="B1151" s="4">
        <f t="shared" si="17"/>
        <v>2</v>
      </c>
      <c r="C1151" s="4"/>
      <c r="D1151" s="1" t="str">
        <f>IFERROR(VLOOKUP(A1151,[1]biopep_DB!$F$2:$J$1654,5,0),)</f>
        <v>Three-dimensional holograph vector of atomic interaction field (3D-HoVAIF): a novel rotation-translation invariant 3D structure descriptor and its applications to peptides.</v>
      </c>
      <c r="E1151" s="1" t="str">
        <f>IFERROR(VLOOKUP(A1151,[1]biopep_DB!$F$2:$L$1654,6,0),0)</f>
        <v>10.1002/psc.892</v>
      </c>
      <c r="F1151" s="1" t="str">
        <f>IFERROR(VLOOKUP(A1151,[1]biopep_DB!$F$2:$L$1654,7,0),0)</f>
        <v>17654623</v>
      </c>
      <c r="G1151" s="5">
        <v>228.29</v>
      </c>
      <c r="H1151" s="5">
        <v>5.95</v>
      </c>
      <c r="I1151" s="5">
        <v>-0.04</v>
      </c>
      <c r="J1151" s="6">
        <v>1.45</v>
      </c>
      <c r="K1151" s="5">
        <v>5</v>
      </c>
      <c r="L1151" s="6">
        <v>1</v>
      </c>
      <c r="M1151" s="6">
        <v>-2.46</v>
      </c>
      <c r="N1151" s="6">
        <v>0</v>
      </c>
      <c r="O1151" s="6">
        <v>0.5</v>
      </c>
      <c r="P1151" s="6">
        <v>0.5</v>
      </c>
      <c r="Q1151" s="7"/>
      <c r="R1151" s="7"/>
    </row>
    <row r="1152" spans="1:18">
      <c r="A1152" s="4" t="s">
        <v>1555</v>
      </c>
      <c r="B1152" s="4">
        <f t="shared" si="17"/>
        <v>3</v>
      </c>
      <c r="C1152" s="4"/>
      <c r="D1152" s="1" t="str">
        <f>IFERROR(VLOOKUP(A1152,[1]biopep_DB!$F$2:$J$1654,5,0),)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152" s="1" t="str">
        <f>IFERROR(VLOOKUP(A1152,[1]biopep_DB!$F$2:$L$1654,6,0),0)</f>
        <v>10.1002/psc.800; 10.1007/s00894-010-0862-x; 10.1016/j.foodchem.2013.05.140</v>
      </c>
      <c r="F1152" s="1" t="str">
        <f>IFERROR(VLOOKUP(A1152,[1]biopep_DB!$F$2:$L$1654,7,0),0)</f>
        <v>17117396 20941517 23871047</v>
      </c>
      <c r="G1152" s="5">
        <v>325.4</v>
      </c>
      <c r="H1152" s="5">
        <v>5.95</v>
      </c>
      <c r="I1152" s="5">
        <v>-0.04</v>
      </c>
      <c r="J1152" s="6">
        <v>0.4333</v>
      </c>
      <c r="K1152" s="5">
        <v>-2.93</v>
      </c>
      <c r="L1152" s="6">
        <v>1</v>
      </c>
      <c r="M1152" s="6">
        <v>-1.64</v>
      </c>
      <c r="N1152" s="6">
        <v>0</v>
      </c>
      <c r="O1152" s="6">
        <v>0.6667</v>
      </c>
      <c r="P1152" s="6">
        <v>0.3333</v>
      </c>
      <c r="Q1152" s="7"/>
      <c r="R1152" s="7"/>
    </row>
    <row r="1153" spans="1:18">
      <c r="A1153" s="4" t="s">
        <v>1556</v>
      </c>
      <c r="B1153" s="4">
        <f t="shared" si="17"/>
        <v>2</v>
      </c>
      <c r="C1153" s="4"/>
      <c r="D1153" s="1" t="str">
        <f>IFERROR(VLOOKUP(A1153,[1]biopep_DB!$F$2:$J$1654,5,0),)</f>
        <v>Quantitative structure-activity relationship study of bitter di- and tri-peptides including relationship with angiotensin I-converting enzyme inhibitory activity.</v>
      </c>
      <c r="E1153" s="1" t="str">
        <f>IFERROR(VLOOKUP(A1153,[1]biopep_DB!$F$2:$L$1654,6,0),0)</f>
        <v>10.1002/psc.800</v>
      </c>
      <c r="F1153" s="1" t="str">
        <f>IFERROR(VLOOKUP(A1153,[1]biopep_DB!$F$2:$L$1654,7,0),0)</f>
        <v>17117396</v>
      </c>
      <c r="G1153" s="5">
        <v>243.3</v>
      </c>
      <c r="H1153" s="5">
        <v>9.18</v>
      </c>
      <c r="I1153" s="5">
        <v>0.96</v>
      </c>
      <c r="J1153" s="6">
        <v>-2.75</v>
      </c>
      <c r="K1153" s="5">
        <v>5</v>
      </c>
      <c r="L1153" s="6">
        <v>0.5</v>
      </c>
      <c r="M1153" s="6">
        <v>0.79</v>
      </c>
      <c r="N1153" s="6">
        <v>0.5</v>
      </c>
      <c r="O1153" s="6">
        <v>0.5</v>
      </c>
      <c r="P1153" s="6">
        <v>0</v>
      </c>
      <c r="Q1153" s="7"/>
      <c r="R1153" s="7"/>
    </row>
    <row r="1154" spans="1:18">
      <c r="A1154" s="4" t="s">
        <v>1557</v>
      </c>
      <c r="B1154" s="4">
        <f t="shared" si="17"/>
        <v>5</v>
      </c>
      <c r="C1154" s="4" t="s">
        <v>1558</v>
      </c>
      <c r="D1154" s="1" t="str">
        <f>IFERROR(VLOOKUP(A1154,[1]biopep_DB!$F$2:$J$1654,5,0),)</f>
        <v>A new QSAR model, for angiotensin I-converting enzyme inhibitory oligopeptides.</v>
      </c>
      <c r="E1154" s="1" t="str">
        <f>IFERROR(VLOOKUP(A1154,[1]biopep_DB!$F$2:$L$1654,6,0),0)</f>
        <v>10.1016/j.foodchem.2012.09.092</v>
      </c>
      <c r="F1154" s="1" t="str">
        <f>IFERROR(VLOOKUP(A1154,[1]biopep_DB!$F$2:$L$1654,7,0),0)</f>
        <v>23194537</v>
      </c>
      <c r="G1154" s="5">
        <v>524.65</v>
      </c>
      <c r="H1154" s="5">
        <v>9.18</v>
      </c>
      <c r="I1154" s="5">
        <v>0.96</v>
      </c>
      <c r="J1154" s="6">
        <v>-0.16</v>
      </c>
      <c r="K1154" s="5">
        <v>2.24</v>
      </c>
      <c r="L1154" s="6">
        <v>0.8</v>
      </c>
      <c r="M1154" s="6">
        <v>-1.03</v>
      </c>
      <c r="N1154" s="6">
        <v>0.4</v>
      </c>
      <c r="O1154" s="6">
        <v>0.4</v>
      </c>
      <c r="P1154" s="6">
        <v>0.2</v>
      </c>
      <c r="Q1154" s="7"/>
      <c r="R1154" s="7"/>
    </row>
    <row r="1155" spans="1:18">
      <c r="A1155" s="4" t="s">
        <v>1559</v>
      </c>
      <c r="B1155" s="4">
        <f t="shared" si="17"/>
        <v>7</v>
      </c>
      <c r="C1155" s="4" t="s">
        <v>1560</v>
      </c>
      <c r="D1155" s="1" t="str">
        <f>IFERROR(VLOOKUP(A1155,[1]biopep_DB!$F$2:$J$1654,5,0),)</f>
        <v>Identification of angiotensin I-converting enzyme inhibitory peptides from koumiss, a traditional fermented mare's milk.</v>
      </c>
      <c r="E1155" s="1" t="str">
        <f>IFERROR(VLOOKUP(A1155,[1]biopep_DB!$F$2:$L$1654,6,0),0)</f>
        <v>10.3168/jds.2009-2672</v>
      </c>
      <c r="F1155" s="1" t="str">
        <f>IFERROR(VLOOKUP(A1155,[1]biopep_DB!$F$2:$L$1654,7,0),0)</f>
        <v>20172208</v>
      </c>
      <c r="G1155" s="5">
        <v>870.95</v>
      </c>
      <c r="H1155" s="5">
        <v>6.49</v>
      </c>
      <c r="I1155" s="5">
        <v>-0.04</v>
      </c>
      <c r="J1155" s="6">
        <v>-2.3857</v>
      </c>
      <c r="K1155" s="5">
        <v>36.09</v>
      </c>
      <c r="L1155" s="6">
        <v>0.2857</v>
      </c>
      <c r="M1155" s="6">
        <v>0.6171</v>
      </c>
      <c r="N1155" s="6">
        <v>0.4286</v>
      </c>
      <c r="O1155" s="6">
        <v>0.4286</v>
      </c>
      <c r="P1155" s="6">
        <v>0.1429</v>
      </c>
      <c r="Q1155" s="7"/>
      <c r="R1155" s="7"/>
    </row>
    <row r="1156" spans="1:18">
      <c r="A1156" s="4" t="s">
        <v>1561</v>
      </c>
      <c r="B1156" s="4">
        <f t="shared" si="17"/>
        <v>18</v>
      </c>
      <c r="C1156" s="4" t="s">
        <v>62</v>
      </c>
      <c r="D1156" s="1" t="str">
        <f>IFERROR(VLOOKUP(A1156,[1]biopep_DB!$F$2:$J$1654,5,0),)</f>
        <v>Putting microbes to work: dairy fermentation, cell factories and bioactive peptides. Part I: overview.; The potential role of milk-derived peptides in cardiovascular disease.</v>
      </c>
      <c r="E1156" s="1" t="str">
        <f>IFERROR(VLOOKUP(A1156,[1]biopep_DB!$F$2:$L$1654,6,0),0)</f>
        <v>10.1002/biot.200600246; 10.1039/c1fo10017c</v>
      </c>
      <c r="F1156" s="1" t="str">
        <f>IFERROR(VLOOKUP(A1156,[1]biopep_DB!$F$2:$L$1654,7,0),0)</f>
        <v>17407210 21779574</v>
      </c>
      <c r="G1156" s="5">
        <v>2169.54</v>
      </c>
      <c r="H1156" s="5">
        <v>8.83</v>
      </c>
      <c r="I1156" s="5">
        <v>1.05</v>
      </c>
      <c r="J1156" s="6">
        <v>-1.2111</v>
      </c>
      <c r="K1156" s="5">
        <v>118.07</v>
      </c>
      <c r="L1156" s="6">
        <v>0.5556</v>
      </c>
      <c r="M1156" s="6">
        <v>-0.1633</v>
      </c>
      <c r="N1156" s="6">
        <v>0.3333</v>
      </c>
      <c r="O1156" s="6">
        <v>0.3333</v>
      </c>
      <c r="P1156" s="6">
        <v>0.2778</v>
      </c>
      <c r="Q1156" s="7"/>
      <c r="R1156" s="7"/>
    </row>
    <row r="1157" spans="1:18">
      <c r="A1157" s="4" t="s">
        <v>1562</v>
      </c>
      <c r="B1157" s="4">
        <f t="shared" si="17"/>
        <v>4</v>
      </c>
      <c r="C1157" s="4" t="s">
        <v>1563</v>
      </c>
      <c r="D1157" s="1" t="str">
        <f>IFERROR(VLOOKUP(A1157,[1]biopep_DB!$F$2:$J$1654,5,0),)</f>
        <v/>
      </c>
      <c r="E1157" s="1" t="str">
        <f>IFERROR(VLOOKUP(A1157,[1]biopep_DB!$F$2:$L$1654,6,0),0)</f>
        <v/>
      </c>
      <c r="F1157" s="1" t="str">
        <f>IFERROR(VLOOKUP(A1157,[1]biopep_DB!$F$2:$L$1654,7,0),0)</f>
        <v/>
      </c>
      <c r="G1157" s="5">
        <v>477.56</v>
      </c>
      <c r="H1157" s="5">
        <v>9.18</v>
      </c>
      <c r="I1157" s="5">
        <v>1.04</v>
      </c>
      <c r="J1157" s="6">
        <v>-2.575</v>
      </c>
      <c r="K1157" s="5">
        <v>0.3</v>
      </c>
      <c r="L1157" s="6">
        <v>0.5</v>
      </c>
      <c r="M1157" s="6">
        <v>0.6425</v>
      </c>
      <c r="N1157" s="6">
        <v>0.25</v>
      </c>
      <c r="O1157" s="6">
        <v>0.5</v>
      </c>
      <c r="P1157" s="6">
        <v>0</v>
      </c>
      <c r="Q1157" s="7"/>
      <c r="R1157" s="7"/>
    </row>
    <row r="1158" spans="1:18">
      <c r="A1158" s="4" t="s">
        <v>1564</v>
      </c>
      <c r="B1158" s="4">
        <f t="shared" ref="B1158:B1221" si="18">LEN(A1158)</f>
        <v>12</v>
      </c>
      <c r="C1158" s="4" t="s">
        <v>1565</v>
      </c>
      <c r="D1158" s="1" t="str">
        <f>IFERROR(VLOOKUP(A1158,[1]biopep_DB!$F$2:$J$1654,5,0),)</f>
        <v/>
      </c>
      <c r="E1158" s="1" t="str">
        <f>IFERROR(VLOOKUP(A1158,[1]biopep_DB!$F$2:$L$1654,6,0),0)</f>
        <v/>
      </c>
      <c r="F1158" s="1" t="str">
        <f>IFERROR(VLOOKUP(A1158,[1]biopep_DB!$F$2:$L$1654,7,0),0)</f>
        <v/>
      </c>
      <c r="G1158" s="5">
        <v>1370.66</v>
      </c>
      <c r="H1158" s="5">
        <v>9</v>
      </c>
      <c r="I1158" s="5">
        <v>0.96</v>
      </c>
      <c r="J1158" s="6">
        <v>-0.2417</v>
      </c>
      <c r="K1158" s="5">
        <v>-11.27</v>
      </c>
      <c r="L1158" s="6">
        <v>0.5833</v>
      </c>
      <c r="M1158" s="6">
        <v>-0.8875</v>
      </c>
      <c r="N1158" s="6">
        <v>0.5833</v>
      </c>
      <c r="O1158" s="6">
        <v>0.1667</v>
      </c>
      <c r="P1158" s="6">
        <v>0.25</v>
      </c>
      <c r="Q1158" s="7"/>
      <c r="R1158" s="7"/>
    </row>
    <row r="1159" spans="1:18">
      <c r="A1159" s="4" t="s">
        <v>1566</v>
      </c>
      <c r="B1159" s="4">
        <f t="shared" si="18"/>
        <v>2</v>
      </c>
      <c r="C1159" s="4" t="s">
        <v>1567</v>
      </c>
      <c r="D1159" s="1" t="str">
        <f>IFERROR(VLOOKUP(A1159,[1]biopep_DB!$F$2:$J$1654,5,0),)</f>
        <v>Structure and activity of angiotensin I converting enzyme inhibitory peptides derived from Alaskan pollack skin.; Three-dimensional holograph vector of atomic interaction field (3D-HoVAIF): a novel rotation-translation invariant 3D structure descriptor and its applications to peptides.; Peptides with angiotensin I converting enzyme (ACE) inhibitory activity generated from porcine skeletal muscle proteins by the action of meat-borne Lactobacillus.</v>
      </c>
      <c r="E1159" s="1" t="str">
        <f>IFERROR(VLOOKUP(A1159,[1]biopep_DB!$F$2:$L$1654,6,0),0)</f>
        <v>10.5483/bmbrep.2002.35.2.239; 10.1002/psc.892; 10.1016/j.jprot.2013.06.023</v>
      </c>
      <c r="F1159" s="1" t="str">
        <f>IFERROR(VLOOKUP(A1159,[1]biopep_DB!$F$2:$L$1654,7,0),0)</f>
        <v>12297036 17654623 23806758</v>
      </c>
      <c r="G1159" s="5">
        <v>228.29</v>
      </c>
      <c r="H1159" s="5">
        <v>5.95</v>
      </c>
      <c r="I1159" s="5">
        <v>-0.04</v>
      </c>
      <c r="J1159" s="6">
        <v>1.1</v>
      </c>
      <c r="K1159" s="5">
        <v>5</v>
      </c>
      <c r="L1159" s="6">
        <v>1</v>
      </c>
      <c r="M1159" s="6">
        <v>-2.46</v>
      </c>
      <c r="N1159" s="6">
        <v>0.5</v>
      </c>
      <c r="O1159" s="6">
        <v>0.5</v>
      </c>
      <c r="P1159" s="6">
        <v>0.5</v>
      </c>
      <c r="Q1159" s="7"/>
      <c r="R1159" s="7"/>
    </row>
    <row r="1160" spans="1:18">
      <c r="A1160" s="4" t="s">
        <v>1568</v>
      </c>
      <c r="B1160" s="4">
        <f t="shared" si="18"/>
        <v>3</v>
      </c>
      <c r="C1160" s="4" t="s">
        <v>1569</v>
      </c>
      <c r="D1160" s="1" t="str">
        <f>IFERROR(VLOOKUP(A1160,[1]biopep_DB!$F$2:$J$1654,5,0),)</f>
        <v>Structure and activity of angiotensin I converting enzyme inhibitory peptides derived from Alaskan pollack skin.</v>
      </c>
      <c r="E1160" s="1" t="str">
        <f>IFERROR(VLOOKUP(A1160,[1]biopep_DB!$F$2:$L$1654,6,0),0)</f>
        <v>10.5483/bmbrep.2002.35.2.239</v>
      </c>
      <c r="F1160" s="1" t="str">
        <f>IFERROR(VLOOKUP(A1160,[1]biopep_DB!$F$2:$L$1654,7,0),0)</f>
        <v>12297036</v>
      </c>
      <c r="G1160" s="5">
        <v>285.34</v>
      </c>
      <c r="H1160" s="5">
        <v>5.95</v>
      </c>
      <c r="I1160" s="5">
        <v>-0.04</v>
      </c>
      <c r="J1160" s="6">
        <v>0.6</v>
      </c>
      <c r="K1160" s="5">
        <v>6.67</v>
      </c>
      <c r="L1160" s="6">
        <v>0.6667</v>
      </c>
      <c r="M1160" s="6">
        <v>-1.9533</v>
      </c>
      <c r="N1160" s="6">
        <v>0.3333</v>
      </c>
      <c r="O1160" s="6">
        <v>0.6667</v>
      </c>
      <c r="P1160" s="6">
        <v>0.3333</v>
      </c>
      <c r="Q1160" s="7"/>
      <c r="R1160" s="7"/>
    </row>
    <row r="1161" spans="1:18">
      <c r="A1161" s="4" t="s">
        <v>1570</v>
      </c>
      <c r="B1161" s="4">
        <f t="shared" si="18"/>
        <v>5</v>
      </c>
      <c r="C1161" s="4" t="s">
        <v>1571</v>
      </c>
      <c r="D1161" s="1" t="str">
        <f>IFERROR(VLOOKUP(A1161,[1]biopep_DB!$F$2:$J$1654,5,0),)</f>
        <v>Inhibition of angiotensin-converting enzyme by synthetic peptide fragments of various beta-caseins.; The potential role of milk-derived peptides in cardiovascular disease.; A new QSAR model, for angiotensin I-converting enzyme inhibitory oligopeptides.</v>
      </c>
      <c r="E1161" s="1" t="str">
        <f>IFERROR(VLOOKUP(A1161,[1]biopep_DB!$F$2:$L$1654,6,0),0)</f>
        <v>10.1039/c1fo10017c; 10.1016/j.foodchem.2012.09.092</v>
      </c>
      <c r="F1161" s="1" t="str">
        <f>IFERROR(VLOOKUP(A1161,[1]biopep_DB!$F$2:$L$1654,7,0),0)</f>
        <v>1368548 21779574 23194537</v>
      </c>
      <c r="G1161" s="5">
        <v>601.73</v>
      </c>
      <c r="H1161" s="5">
        <v>5.95</v>
      </c>
      <c r="I1161" s="5">
        <v>-0.04</v>
      </c>
      <c r="J1161" s="6">
        <v>0.76</v>
      </c>
      <c r="K1161" s="5">
        <v>32.68</v>
      </c>
      <c r="L1161" s="6">
        <v>0.8</v>
      </c>
      <c r="M1161" s="6">
        <v>-1.94</v>
      </c>
      <c r="N1161" s="6">
        <v>0.2</v>
      </c>
      <c r="O1161" s="6">
        <v>0.4</v>
      </c>
      <c r="P1161" s="6">
        <v>0.6</v>
      </c>
      <c r="Q1161" s="7"/>
      <c r="R1161" s="7"/>
    </row>
    <row r="1162" spans="1:18">
      <c r="A1162" s="4" t="s">
        <v>1572</v>
      </c>
      <c r="B1162" s="4">
        <f t="shared" si="18"/>
        <v>3</v>
      </c>
      <c r="C1162" s="4" t="s">
        <v>1573</v>
      </c>
      <c r="D1162" s="1" t="str">
        <f>IFERROR(VLOOKUP(A1162,[1]biopep_DB!$F$2:$J$1654,5,0),)</f>
        <v>Bioactive peptides in amaranth (Amaranthus hypochondriacus) seed.; Peptides with angiotensin I converting enzyme (ACE) inhibitory activity generated from porcine skeletal muscle proteins by the action of meat-borne Lactobacillus.</v>
      </c>
      <c r="E1162" s="1" t="str">
        <f>IFERROR(VLOOKUP(A1162,[1]biopep_DB!$F$2:$L$1654,6,0),0)</f>
        <v>10.1021/jf072911z; 10.1016/j.jprot.2013.06.023</v>
      </c>
      <c r="F1162" s="1" t="str">
        <f>IFERROR(VLOOKUP(A1162,[1]biopep_DB!$F$2:$L$1654,7,0),0)</f>
        <v>18211015 23806758</v>
      </c>
      <c r="G1162" s="5">
        <v>325.4</v>
      </c>
      <c r="H1162" s="5">
        <v>5.95</v>
      </c>
      <c r="I1162" s="5">
        <v>-0.04</v>
      </c>
      <c r="J1162" s="6">
        <v>0.2</v>
      </c>
      <c r="K1162" s="5">
        <v>70.87</v>
      </c>
      <c r="L1162" s="6">
        <v>1</v>
      </c>
      <c r="M1162" s="6">
        <v>-1.64</v>
      </c>
      <c r="N1162" s="6">
        <v>0.3333</v>
      </c>
      <c r="O1162" s="6">
        <v>0.6667</v>
      </c>
      <c r="P1162" s="6">
        <v>0.3333</v>
      </c>
      <c r="Q1162" s="7"/>
      <c r="R1162" s="7"/>
    </row>
    <row r="1163" spans="1:18">
      <c r="A1163" s="4" t="s">
        <v>1574</v>
      </c>
      <c r="B1163" s="4">
        <f t="shared" si="18"/>
        <v>5</v>
      </c>
      <c r="C1163" s="4" t="s">
        <v>1575</v>
      </c>
      <c r="D1163" s="1" t="str">
        <f>IFERROR(VLOOKUP(A1163,[1]biopep_DB!$F$2:$J$1654,5,0),)</f>
        <v>The potential role of milk-derived peptides in cardiovascular disease.; Isolation and characterization of peptides with antihypertensive activity in foodstuffs.</v>
      </c>
      <c r="E1163" s="1" t="str">
        <f>IFERROR(VLOOKUP(A1163,[1]biopep_DB!$F$2:$L$1654,6,0),0)</f>
        <v>10.1039/c1fo10017c; 10.1080/10408398.2012.664829</v>
      </c>
      <c r="F1163" s="1" t="str">
        <f>IFERROR(VLOOKUP(A1163,[1]biopep_DB!$F$2:$L$1654,7,0),0)</f>
        <v>21779574 24915368</v>
      </c>
      <c r="G1163" s="5">
        <v>551.72</v>
      </c>
      <c r="H1163" s="5">
        <v>5.95</v>
      </c>
      <c r="I1163" s="5">
        <v>-0.04</v>
      </c>
      <c r="J1163" s="6">
        <v>1.64</v>
      </c>
      <c r="K1163" s="5">
        <v>46.52</v>
      </c>
      <c r="L1163" s="6">
        <v>1</v>
      </c>
      <c r="M1163" s="6">
        <v>-2.952</v>
      </c>
      <c r="N1163" s="6">
        <v>0.6</v>
      </c>
      <c r="O1163" s="6">
        <v>0.4</v>
      </c>
      <c r="P1163" s="6">
        <v>0.6</v>
      </c>
      <c r="Q1163" s="7"/>
      <c r="R1163" s="7"/>
    </row>
    <row r="1164" spans="1:18">
      <c r="A1164" s="4" t="s">
        <v>1576</v>
      </c>
      <c r="B1164" s="4">
        <f t="shared" si="18"/>
        <v>6</v>
      </c>
      <c r="C1164" s="4"/>
      <c r="D1164" s="1" t="str">
        <f>IFERROR(VLOOKUP(A1164,[1]biopep_DB!$F$2:$J$1654,5,0),)</f>
        <v/>
      </c>
      <c r="E1164" s="1" t="str">
        <f>IFERROR(VLOOKUP(A1164,[1]biopep_DB!$F$2:$L$1654,6,0),0)</f>
        <v/>
      </c>
      <c r="F1164" s="1" t="str">
        <f>IFERROR(VLOOKUP(A1164,[1]biopep_DB!$F$2:$L$1654,7,0),0)</f>
        <v/>
      </c>
      <c r="G1164" s="5">
        <v>655.74</v>
      </c>
      <c r="H1164" s="5">
        <v>5.95</v>
      </c>
      <c r="I1164" s="5">
        <v>-0.04</v>
      </c>
      <c r="J1164" s="6">
        <v>-0.7167</v>
      </c>
      <c r="K1164" s="5">
        <v>-4.23</v>
      </c>
      <c r="L1164" s="6">
        <v>0.5</v>
      </c>
      <c r="M1164" s="6">
        <v>-0.5067</v>
      </c>
      <c r="N1164" s="6">
        <v>0.1667</v>
      </c>
      <c r="O1164" s="6">
        <v>0.3333</v>
      </c>
      <c r="P1164" s="6">
        <v>0.5</v>
      </c>
      <c r="Q1164" s="7"/>
      <c r="R1164" s="7"/>
    </row>
    <row r="1165" spans="1:18">
      <c r="A1165" s="4" t="s">
        <v>1577</v>
      </c>
      <c r="B1165" s="4">
        <f t="shared" si="18"/>
        <v>3</v>
      </c>
      <c r="C1165" s="4" t="s">
        <v>36</v>
      </c>
      <c r="D1165" s="1" t="str">
        <f>IFERROR(VLOOKUP(A1165,[1]biopep_DB!$F$2:$J$1654,5,0),)</f>
        <v>Structural requirements of Angiotensin I-converting enzyme inhibitory peptides: quantitative structure-activity relationship study of di- and tripeptides.</v>
      </c>
      <c r="E1165" s="1" t="str">
        <f>IFERROR(VLOOKUP(A1165,[1]biopep_DB!$F$2:$L$1654,6,0),0)</f>
        <v>10.1021/jf051263l</v>
      </c>
      <c r="F1165" s="1" t="str">
        <f>IFERROR(VLOOKUP(A1165,[1]biopep_DB!$F$2:$L$1654,7,0),0)</f>
        <v>16448176</v>
      </c>
      <c r="G1165" s="5">
        <v>414.5</v>
      </c>
      <c r="H1165" s="5">
        <v>5.95</v>
      </c>
      <c r="I1165" s="5">
        <v>-0.04</v>
      </c>
      <c r="J1165" s="6">
        <v>0.4333</v>
      </c>
      <c r="K1165" s="5">
        <v>85.6</v>
      </c>
      <c r="L1165" s="6">
        <v>1</v>
      </c>
      <c r="M1165" s="6">
        <v>-2.4167</v>
      </c>
      <c r="N1165" s="6">
        <v>0.3333</v>
      </c>
      <c r="O1165" s="6">
        <v>0.3333</v>
      </c>
      <c r="P1165" s="6">
        <v>0.6667</v>
      </c>
      <c r="Q1165" s="7"/>
      <c r="R1165" s="7"/>
    </row>
    <row r="1166" spans="1:18">
      <c r="A1166" s="4" t="s">
        <v>1578</v>
      </c>
      <c r="B1166" s="4">
        <f t="shared" si="18"/>
        <v>5</v>
      </c>
      <c r="C1166" s="4"/>
      <c r="D1166" s="1" t="str">
        <f>IFERROR(VLOOKUP(A1166,[1]biopep_DB!$F$2:$J$1654,5,0),)</f>
        <v/>
      </c>
      <c r="E1166" s="1" t="str">
        <f>IFERROR(VLOOKUP(A1166,[1]biopep_DB!$F$2:$L$1654,6,0),0)</f>
        <v/>
      </c>
      <c r="G1166" s="5">
        <v>554.66</v>
      </c>
      <c r="H1166" s="5">
        <v>5.95</v>
      </c>
      <c r="I1166" s="5">
        <v>-0.04</v>
      </c>
      <c r="J1166" s="6">
        <v>-1.28</v>
      </c>
      <c r="K1166" s="5">
        <v>25.68</v>
      </c>
      <c r="L1166" s="6">
        <v>0.8</v>
      </c>
      <c r="M1166" s="6">
        <v>-0.146</v>
      </c>
      <c r="N1166" s="6">
        <v>0.2</v>
      </c>
      <c r="O1166" s="6">
        <v>0.8</v>
      </c>
      <c r="P1166" s="6">
        <v>0</v>
      </c>
      <c r="Q1166" s="7"/>
      <c r="R1166" s="7"/>
    </row>
    <row r="1167" spans="1:18">
      <c r="A1167" s="4" t="s">
        <v>1579</v>
      </c>
      <c r="B1167" s="4">
        <f t="shared" si="18"/>
        <v>7</v>
      </c>
      <c r="C1167" s="4" t="s">
        <v>1580</v>
      </c>
      <c r="D1167" s="1" t="str">
        <f>IFERROR(VLOOKUP(A1167,[1]biopep_DB!$F$2:$J$1654,5,0),)</f>
        <v/>
      </c>
      <c r="E1167" s="1" t="str">
        <f>IFERROR(VLOOKUP(A1167,[1]biopep_DB!$F$2:$L$1654,6,0),0)</f>
        <v/>
      </c>
      <c r="F1167" s="1" t="str">
        <f>IFERROR(VLOOKUP(A1167,[1]biopep_DB!$F$2:$L$1654,7,0),0)</f>
        <v/>
      </c>
      <c r="G1167" s="5">
        <v>843.93</v>
      </c>
      <c r="H1167" s="5">
        <v>9.18</v>
      </c>
      <c r="I1167" s="5">
        <v>0.96</v>
      </c>
      <c r="J1167" s="6">
        <v>-2.1143</v>
      </c>
      <c r="K1167" s="5">
        <v>59.14</v>
      </c>
      <c r="L1167" s="6">
        <v>0.4286</v>
      </c>
      <c r="M1167" s="6">
        <v>0.4571</v>
      </c>
      <c r="N1167" s="6">
        <v>0.1429</v>
      </c>
      <c r="O1167" s="6">
        <v>0.5714</v>
      </c>
      <c r="P1167" s="6">
        <v>0.1429</v>
      </c>
      <c r="Q1167" s="7"/>
      <c r="R1167" s="7"/>
    </row>
    <row r="1168" spans="1:18">
      <c r="A1168" s="4" t="s">
        <v>1581</v>
      </c>
      <c r="B1168" s="4">
        <f t="shared" si="18"/>
        <v>8</v>
      </c>
      <c r="C1168" s="4" t="s">
        <v>1582</v>
      </c>
      <c r="D1168" s="1" t="str">
        <f>IFERROR(VLOOKUP(A1168,[1]biopep_DB!$F$2:$J$1654,5,0),)</f>
        <v/>
      </c>
      <c r="E1168" s="1" t="str">
        <f>IFERROR(VLOOKUP(A1168,[1]biopep_DB!$F$2:$L$1654,6,0),0)</f>
        <v/>
      </c>
      <c r="F1168" s="1" t="str">
        <f>IFERROR(VLOOKUP(A1168,[1]biopep_DB!$F$2:$L$1654,7,0),0)</f>
        <v/>
      </c>
      <c r="G1168" s="5">
        <v>962.06</v>
      </c>
      <c r="H1168" s="5">
        <v>9</v>
      </c>
      <c r="I1168" s="5">
        <v>0.96</v>
      </c>
      <c r="J1168" s="6">
        <v>-1.775</v>
      </c>
      <c r="K1168" s="5">
        <v>-12.48</v>
      </c>
      <c r="L1168" s="6">
        <v>0.25</v>
      </c>
      <c r="M1168" s="6">
        <v>0.235</v>
      </c>
      <c r="N1168" s="6">
        <v>0.125</v>
      </c>
      <c r="O1168" s="6">
        <v>0.5</v>
      </c>
      <c r="P1168" s="6">
        <v>0.25</v>
      </c>
      <c r="Q1168" s="7"/>
      <c r="R1168" s="7"/>
    </row>
    <row r="1169" spans="1:18">
      <c r="A1169" s="4" t="s">
        <v>1583</v>
      </c>
      <c r="B1169" s="4">
        <f t="shared" si="18"/>
        <v>5</v>
      </c>
      <c r="C1169" s="4" t="s">
        <v>559</v>
      </c>
      <c r="D1169" s="1" t="str">
        <f>IFERROR(VLOOKUP(A1169,[1]biopep_DB!$F$2:$J$1654,5,0),)</f>
        <v>Inhibition of angiotensin-converting enzyme by synthetic peptide fragments of human kappa-casein.; A new QSAR model, for angiotensin I-converting enzyme inhibitory oligopeptides.</v>
      </c>
      <c r="E1169" s="1" t="str">
        <f>IFERROR(VLOOKUP(A1169,[1]biopep_DB!$F$2:$L$1654,6,0),0)</f>
        <v>10.1016/j.foodchem.2012.09.092</v>
      </c>
      <c r="F1169" s="1" t="str">
        <f>IFERROR(VLOOKUP(A1169,[1]biopep_DB!$F$2:$L$1654,7,0),0)</f>
        <v>1368540 23194537</v>
      </c>
      <c r="G1169" s="5">
        <v>550.56</v>
      </c>
      <c r="H1169" s="5">
        <v>7.17</v>
      </c>
      <c r="I1169" s="5">
        <v>0.05</v>
      </c>
      <c r="J1169" s="6">
        <v>-2.14</v>
      </c>
      <c r="K1169" s="5">
        <v>2.24</v>
      </c>
      <c r="L1169" s="6">
        <v>0.4</v>
      </c>
      <c r="M1169" s="6">
        <v>0.69</v>
      </c>
      <c r="N1169" s="6">
        <v>0</v>
      </c>
      <c r="O1169" s="6">
        <v>0.8</v>
      </c>
      <c r="P1169" s="6">
        <v>0</v>
      </c>
      <c r="Q1169" s="7"/>
      <c r="R1169" s="7"/>
    </row>
    <row r="1170" spans="1:18">
      <c r="A1170" s="4" t="s">
        <v>1584</v>
      </c>
      <c r="B1170" s="4">
        <f t="shared" si="18"/>
        <v>2</v>
      </c>
      <c r="C1170" s="4" t="s">
        <v>62</v>
      </c>
      <c r="D1170" s="1" t="str">
        <f>IFERROR(VLOOKUP(A1170,[1]biopep_DB!$F$2:$J$1654,5,0),)</f>
        <v>Quantitative structure-activity relationship study of bitter di- and tri-peptides including relationship with angiotensin I-converting enzyme inhibitory activity.; 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
      <c r="E1170" s="1" t="str">
        <f>IFERROR(VLOOKUP(A1170,[1]biopep_DB!$F$2:$L$1654,6,0),0)</f>
        <v>10.1002/psc.800; 10.1007/s00216-008-1990-3; 10.1016/j.jprot.2013.06.023</v>
      </c>
      <c r="F1170" s="1" t="str">
        <f>IFERROR(VLOOKUP(A1170,[1]biopep_DB!$F$2:$L$1654,7,0),0)</f>
        <v>17117396 18392815 23806758</v>
      </c>
      <c r="G1170" s="5">
        <v>212.25</v>
      </c>
      <c r="H1170" s="5">
        <v>5.95</v>
      </c>
      <c r="I1170" s="5">
        <v>-0.04</v>
      </c>
      <c r="J1170" s="6">
        <v>-1.6</v>
      </c>
      <c r="K1170" s="5">
        <v>101.3</v>
      </c>
      <c r="L1170" s="6">
        <v>1</v>
      </c>
      <c r="M1170" s="6">
        <v>0</v>
      </c>
      <c r="N1170" s="6">
        <v>0</v>
      </c>
      <c r="O1170" s="6">
        <v>1</v>
      </c>
      <c r="P1170" s="6">
        <v>0</v>
      </c>
      <c r="Q1170" s="7"/>
      <c r="R1170" s="7"/>
    </row>
    <row r="1171" spans="1:18">
      <c r="A1171" s="4" t="s">
        <v>1585</v>
      </c>
      <c r="B1171" s="4">
        <f t="shared" si="18"/>
        <v>5</v>
      </c>
      <c r="C1171" s="4" t="s">
        <v>1586</v>
      </c>
      <c r="D1171" s="1" t="str">
        <f>IFERROR(VLOOKUP(A1171,[1]biopep_DB!$F$2:$J$1654,5,0),)</f>
        <v>The potential role of milk-derived peptides in cardiovascular disease.</v>
      </c>
      <c r="E1171" s="1" t="str">
        <f>IFERROR(VLOOKUP(A1171,[1]biopep_DB!$F$2:$L$1654,6,0),0)</f>
        <v>10.1039/c1fo10017c</v>
      </c>
      <c r="F1171" s="1" t="str">
        <f>IFERROR(VLOOKUP(A1171,[1]biopep_DB!$F$2:$L$1654,7,0),0)</f>
        <v>21779574</v>
      </c>
      <c r="G1171" s="5">
        <v>568.62</v>
      </c>
      <c r="H1171" s="5">
        <v>4.05</v>
      </c>
      <c r="I1171" s="5">
        <v>-1.04</v>
      </c>
      <c r="J1171" s="6">
        <v>-1.14</v>
      </c>
      <c r="K1171" s="5">
        <v>119.8</v>
      </c>
      <c r="L1171" s="6">
        <v>0.6</v>
      </c>
      <c r="M1171" s="6">
        <v>-0.332</v>
      </c>
      <c r="N1171" s="6">
        <v>0.2</v>
      </c>
      <c r="O1171" s="6">
        <v>0.6</v>
      </c>
      <c r="P1171" s="6">
        <v>0.2</v>
      </c>
      <c r="Q1171" s="7"/>
      <c r="R1171" s="7"/>
    </row>
    <row r="1172" spans="1:18">
      <c r="A1172" s="4" t="s">
        <v>1587</v>
      </c>
      <c r="B1172" s="4">
        <f t="shared" si="18"/>
        <v>3</v>
      </c>
      <c r="C1172" s="4"/>
      <c r="D1172" s="1" t="str">
        <f>IFERROR(VLOOKUP(A1172,[1]biopep_DB!$F$2:$J$1654,5,0),)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172" s="1" t="str">
        <f>IFERROR(VLOOKUP(A1172,[1]biopep_DB!$F$2:$L$1654,6,0),0)</f>
        <v>10.1002/psc.800; 10.1007/s00894-010-0862-x; 10.1016/j.foodchem.2013.05.140</v>
      </c>
      <c r="F1172" s="1" t="str">
        <f>IFERROR(VLOOKUP(A1172,[1]biopep_DB!$F$2:$L$1654,7,0),0)</f>
        <v>17117396 20941517 23871047</v>
      </c>
      <c r="G1172" s="5">
        <v>359.42</v>
      </c>
      <c r="H1172" s="5">
        <v>5.95</v>
      </c>
      <c r="I1172" s="5">
        <v>-0.04</v>
      </c>
      <c r="J1172" s="6">
        <v>-0.1333</v>
      </c>
      <c r="K1172" s="5">
        <v>135.07</v>
      </c>
      <c r="L1172" s="6">
        <v>1</v>
      </c>
      <c r="M1172" s="6">
        <v>-0.9933</v>
      </c>
      <c r="N1172" s="6">
        <v>0</v>
      </c>
      <c r="O1172" s="6">
        <v>0.6667</v>
      </c>
      <c r="P1172" s="6">
        <v>0.3333</v>
      </c>
      <c r="Q1172" s="7"/>
      <c r="R1172" s="7"/>
    </row>
    <row r="1173" spans="1:18">
      <c r="A1173" s="4" t="s">
        <v>1588</v>
      </c>
      <c r="B1173" s="4">
        <f t="shared" si="18"/>
        <v>8</v>
      </c>
      <c r="C1173" s="4"/>
      <c r="G1173" s="5">
        <v>926.07</v>
      </c>
      <c r="H1173" s="5">
        <v>4.05</v>
      </c>
      <c r="I1173" s="5">
        <v>-1.04</v>
      </c>
      <c r="J1173" s="6">
        <v>-0.125</v>
      </c>
      <c r="K1173" s="5">
        <v>143.45</v>
      </c>
      <c r="L1173" s="6">
        <v>0.75</v>
      </c>
      <c r="M1173" s="6">
        <v>-1.1175</v>
      </c>
      <c r="N1173" s="6">
        <v>0.25</v>
      </c>
      <c r="O1173" s="6">
        <v>0.375</v>
      </c>
      <c r="P1173" s="6">
        <v>0.375</v>
      </c>
      <c r="Q1173" s="7"/>
      <c r="R1173" s="7"/>
    </row>
    <row r="1174" spans="1:18">
      <c r="A1174" s="4" t="s">
        <v>1589</v>
      </c>
      <c r="B1174" s="4">
        <f t="shared" si="18"/>
        <v>3</v>
      </c>
      <c r="C1174" s="4"/>
      <c r="D1174" s="1" t="str">
        <f>IFERROR(VLOOKUP(A1174,[1]biopep_DB!$F$2:$J$1654,5,0),)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174" s="1" t="str">
        <f>IFERROR(VLOOKUP(A1174,[1]biopep_DB!$F$2:$L$1654,6,0),0)</f>
        <v>10.1002/psc.800; 10.1007/s00894-010-0862-x; 10.1016/j.foodchem.2013.05.140</v>
      </c>
      <c r="F1174" s="1" t="str">
        <f>IFERROR(VLOOKUP(A1174,[1]biopep_DB!$F$2:$L$1654,7,0),0)</f>
        <v>17117396 20941517 23871047</v>
      </c>
      <c r="G1174" s="5">
        <v>269.3</v>
      </c>
      <c r="H1174" s="5">
        <v>5.95</v>
      </c>
      <c r="I1174" s="5">
        <v>-0.04</v>
      </c>
      <c r="J1174" s="6">
        <v>-1.2</v>
      </c>
      <c r="K1174" s="5">
        <v>70.87</v>
      </c>
      <c r="L1174" s="6">
        <v>0.6667</v>
      </c>
      <c r="M1174" s="6">
        <v>-0.3133</v>
      </c>
      <c r="N1174" s="6">
        <v>0</v>
      </c>
      <c r="O1174" s="6">
        <v>1</v>
      </c>
      <c r="P1174" s="6">
        <v>0</v>
      </c>
      <c r="Q1174" s="7"/>
      <c r="R1174" s="7"/>
    </row>
    <row r="1175" spans="1:18">
      <c r="A1175" s="4" t="s">
        <v>1590</v>
      </c>
      <c r="B1175" s="4">
        <f t="shared" si="18"/>
        <v>7</v>
      </c>
      <c r="C1175" s="4" t="s">
        <v>25</v>
      </c>
      <c r="D1175" s="1" t="str">
        <f>IFERROR(VLOOKUP(A1175,[1]biopep_DB!$F$2:$J$1654,5,0),)</f>
        <v/>
      </c>
      <c r="E1175" s="1" t="str">
        <f>IFERROR(VLOOKUP(A1175,[1]biopep_DB!$F$2:$L$1654,6,0),0)</f>
        <v/>
      </c>
      <c r="F1175" s="1" t="str">
        <f>IFERROR(VLOOKUP(A1175,[1]biopep_DB!$F$2:$L$1654,7,0),0)</f>
        <v/>
      </c>
      <c r="G1175" s="5">
        <v>850.96</v>
      </c>
      <c r="H1175" s="5">
        <v>7.17</v>
      </c>
      <c r="I1175" s="5">
        <v>0.04</v>
      </c>
      <c r="J1175" s="6">
        <v>-1.1857</v>
      </c>
      <c r="K1175" s="5">
        <v>53.71</v>
      </c>
      <c r="L1175" s="6">
        <v>0.5714</v>
      </c>
      <c r="M1175" s="6">
        <v>-0.3471</v>
      </c>
      <c r="N1175" s="6">
        <v>0</v>
      </c>
      <c r="O1175" s="6">
        <v>0.4286</v>
      </c>
      <c r="P1175" s="6">
        <v>0.2857</v>
      </c>
      <c r="Q1175" s="7"/>
      <c r="R1175" s="7"/>
    </row>
    <row r="1176" spans="1:18">
      <c r="A1176" s="4" t="s">
        <v>1591</v>
      </c>
      <c r="B1176" s="4">
        <f t="shared" si="18"/>
        <v>3</v>
      </c>
      <c r="C1176" s="4" t="s">
        <v>36</v>
      </c>
      <c r="D1176" s="1" t="str">
        <f>IFERROR(VLOOKUP(A1176,[1]biopep_DB!$F$2:$J$1654,5,0),)</f>
        <v>Structural requirements of Angiotensin I-converting enzyme inhibitory peptides: quantitative structure-activity relationship study of di- and tripeptides.; Angiotensin-I converting enzyme inhibitory peptide derived from porcine skeletal muscle myosin and its antihypertensive activity in spontaneously hypertensive rats.</v>
      </c>
      <c r="E1176" s="1" t="str">
        <f>IFERROR(VLOOKUP(A1176,[1]biopep_DB!$F$2:$L$1654,6,0),0)</f>
        <v>10.1021/jf051263l; 10.1111/j.1750-3841.2007.00571.x</v>
      </c>
      <c r="F1176" s="1" t="str">
        <f>IFERROR(VLOOKUP(A1176,[1]biopep_DB!$F$2:$L$1654,7,0),0)</f>
        <v>16448176 18034756</v>
      </c>
      <c r="G1176" s="5">
        <v>340.42</v>
      </c>
      <c r="H1176" s="5">
        <v>9.18</v>
      </c>
      <c r="I1176" s="5">
        <v>0.96</v>
      </c>
      <c r="J1176" s="6">
        <v>-2.3667</v>
      </c>
      <c r="K1176" s="5">
        <v>70.87</v>
      </c>
      <c r="L1176" s="6">
        <v>0.6667</v>
      </c>
      <c r="M1176" s="6">
        <v>0.5267</v>
      </c>
      <c r="N1176" s="6">
        <v>0.3333</v>
      </c>
      <c r="O1176" s="6">
        <v>0.6667</v>
      </c>
      <c r="P1176" s="6">
        <v>0</v>
      </c>
      <c r="Q1176" s="7"/>
      <c r="R1176" s="7"/>
    </row>
    <row r="1177" spans="1:18">
      <c r="A1177" s="4" t="s">
        <v>1592</v>
      </c>
      <c r="B1177" s="4">
        <f t="shared" si="18"/>
        <v>3</v>
      </c>
      <c r="C1177" s="4" t="s">
        <v>311</v>
      </c>
      <c r="D1177" s="1" t="str">
        <f>IFERROR(VLOOKUP(A1177,[1]biopep_DB!$F$2:$J$1654,5,0),)</f>
        <v>Ala-Val-Phe and Val-Phe: ACE inhibitory peptides derived from insect protein with antihypertensive activity in spontaneously hypertensive rats.</v>
      </c>
      <c r="E1177" s="1" t="str">
        <f>IFERROR(VLOOKUP(A1177,[1]biopep_DB!$F$2:$L$1654,6,0),0)</f>
        <v>10.1016/j.peptides.2009.05.029</v>
      </c>
      <c r="F1177" s="1" t="str">
        <f>IFERROR(VLOOKUP(A1177,[1]biopep_DB!$F$2:$L$1654,7,0),0)</f>
        <v>19524628</v>
      </c>
      <c r="G1177" s="5">
        <v>325.4</v>
      </c>
      <c r="H1177" s="5">
        <v>5.95</v>
      </c>
      <c r="I1177" s="5">
        <v>-0.04</v>
      </c>
      <c r="J1177" s="6">
        <v>0.2</v>
      </c>
      <c r="K1177" s="5">
        <v>70.87</v>
      </c>
      <c r="L1177" s="6">
        <v>1</v>
      </c>
      <c r="M1177" s="6">
        <v>-1.64</v>
      </c>
      <c r="N1177" s="6">
        <v>0.3333</v>
      </c>
      <c r="O1177" s="6">
        <v>0.6667</v>
      </c>
      <c r="P1177" s="6">
        <v>0.3333</v>
      </c>
      <c r="Q1177" s="7"/>
      <c r="R1177" s="7"/>
    </row>
    <row r="1178" spans="1:18">
      <c r="A1178" s="4" t="s">
        <v>1593</v>
      </c>
      <c r="B1178" s="4">
        <f t="shared" si="18"/>
        <v>8</v>
      </c>
      <c r="C1178" s="4"/>
      <c r="D1178" s="1" t="str">
        <f>IFERROR(VLOOKUP(A1178,[1]biopep_DB!$F$2:$J$1654,5,0),)</f>
        <v/>
      </c>
      <c r="E1178" s="1" t="str">
        <f>IFERROR(VLOOKUP(A1178,[1]biopep_DB!$F$2:$L$1654,6,0),0)</f>
        <v/>
      </c>
      <c r="F1178" s="1" t="str">
        <f>IFERROR(VLOOKUP(A1178,[1]biopep_DB!$F$2:$L$1654,7,0),0)</f>
        <v/>
      </c>
      <c r="G1178" s="5">
        <v>851.99</v>
      </c>
      <c r="H1178" s="5">
        <v>5.95</v>
      </c>
      <c r="I1178" s="5">
        <v>-0.04</v>
      </c>
      <c r="J1178" s="6">
        <v>-0.2125</v>
      </c>
      <c r="K1178" s="5">
        <v>47.48</v>
      </c>
      <c r="L1178" s="6">
        <v>0.625</v>
      </c>
      <c r="M1178" s="6">
        <v>-0.885</v>
      </c>
      <c r="N1178" s="6">
        <v>0.125</v>
      </c>
      <c r="O1178" s="6">
        <v>0.375</v>
      </c>
      <c r="P1178" s="6">
        <v>0.5</v>
      </c>
      <c r="Q1178" s="7"/>
      <c r="R1178" s="7"/>
    </row>
    <row r="1179" spans="1:18">
      <c r="A1179" s="4" t="s">
        <v>1594</v>
      </c>
      <c r="B1179" s="4">
        <f t="shared" si="18"/>
        <v>3</v>
      </c>
      <c r="C1179" s="4"/>
      <c r="D1179" s="1" t="str">
        <f>IFERROR(VLOOKUP(A1179,[1]biopep_DB!$F$2:$J$1654,5,0),)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179" s="1" t="str">
        <f>IFERROR(VLOOKUP(A1179,[1]biopep_DB!$F$2:$L$1654,6,0),0)</f>
        <v>10.1002/psc.800; 10.1007/s00894-010-0862-x; 10.1016/j.foodchem.2013.05.140</v>
      </c>
      <c r="F1179" s="1" t="str">
        <f>IFERROR(VLOOKUP(A1179,[1]biopep_DB!$F$2:$L$1654,7,0),0)</f>
        <v>17117396 20941517 23871047</v>
      </c>
      <c r="G1179" s="5">
        <v>309.36</v>
      </c>
      <c r="H1179" s="5">
        <v>5.95</v>
      </c>
      <c r="I1179" s="5">
        <v>-0.04</v>
      </c>
      <c r="J1179" s="6">
        <v>-1.6</v>
      </c>
      <c r="K1179" s="5">
        <v>135.07</v>
      </c>
      <c r="L1179" s="6">
        <v>1</v>
      </c>
      <c r="M1179" s="6">
        <v>0</v>
      </c>
      <c r="N1179" s="6">
        <v>0</v>
      </c>
      <c r="O1179" s="6">
        <v>1</v>
      </c>
      <c r="P1179" s="6">
        <v>0</v>
      </c>
      <c r="Q1179" s="7"/>
      <c r="R1179" s="7"/>
    </row>
    <row r="1180" spans="1:18">
      <c r="A1180" s="4" t="s">
        <v>1595</v>
      </c>
      <c r="B1180" s="4">
        <f t="shared" si="18"/>
        <v>6</v>
      </c>
      <c r="C1180" s="4" t="s">
        <v>25</v>
      </c>
      <c r="D1180" s="1" t="str">
        <f>IFERROR(VLOOKUP(A1180,[1]biopep_DB!$F$2:$J$1654,5,0),)</f>
        <v>A new QSAR model, for angiotensin I-converting enzyme inhibitory oligopeptides.</v>
      </c>
      <c r="E1180" s="1" t="str">
        <f>IFERROR(VLOOKUP(A1180,[1]biopep_DB!$F$2:$L$1654,6,0),0)</f>
        <v>10.1016/j.foodchem.2012.09.092</v>
      </c>
      <c r="F1180" s="1" t="str">
        <f>IFERROR(VLOOKUP(A1180,[1]biopep_DB!$F$2:$L$1654,7,0),0)</f>
        <v>23194537</v>
      </c>
      <c r="G1180" s="5">
        <v>658.79</v>
      </c>
      <c r="H1180" s="5">
        <v>7.17</v>
      </c>
      <c r="I1180" s="5">
        <v>0.05</v>
      </c>
      <c r="J1180" s="6">
        <v>0</v>
      </c>
      <c r="K1180" s="5">
        <v>104.63</v>
      </c>
      <c r="L1180" s="6">
        <v>0.8333</v>
      </c>
      <c r="M1180" s="6">
        <v>-1.3283</v>
      </c>
      <c r="N1180" s="6">
        <v>0.1667</v>
      </c>
      <c r="O1180" s="6">
        <v>0.5</v>
      </c>
      <c r="P1180" s="6">
        <v>0.3333</v>
      </c>
      <c r="Q1180" s="7"/>
      <c r="R1180" s="7"/>
    </row>
    <row r="1181" spans="1:18">
      <c r="A1181" s="4" t="s">
        <v>1596</v>
      </c>
      <c r="B1181" s="4">
        <f t="shared" si="18"/>
        <v>18</v>
      </c>
      <c r="C1181" s="4" t="s">
        <v>1597</v>
      </c>
      <c r="D1181" s="1" t="str">
        <f>IFERROR(VLOOKUP(A1181,[1]biopep_DB!$F$2:$J$1654,5,0),)</f>
        <v>Antihypertensive effect of the peptides derived from casein by an extracellular proteinase from Lactobacillus helveticus CP790.</v>
      </c>
      <c r="E1181" s="1" t="str">
        <f>IFERROR(VLOOKUP(A1181,[1]biopep_DB!$F$2:$L$1654,6,0),0)</f>
        <v>10.3168/jds.S0022-0302(94)77026-0</v>
      </c>
      <c r="F1181" s="1" t="str">
        <f>IFERROR(VLOOKUP(A1181,[1]biopep_DB!$F$2:$L$1654,7,0),0)</f>
        <v>8201050</v>
      </c>
      <c r="G1181" s="5">
        <v>1904.21</v>
      </c>
      <c r="H1181" s="5">
        <v>9.18</v>
      </c>
      <c r="I1181" s="5">
        <v>0.96</v>
      </c>
      <c r="J1181" s="6">
        <v>0</v>
      </c>
      <c r="K1181" s="5">
        <v>128.45</v>
      </c>
      <c r="L1181" s="6">
        <v>0.5556</v>
      </c>
      <c r="M1181" s="6">
        <v>-0.9922</v>
      </c>
      <c r="N1181" s="6">
        <v>0.2222</v>
      </c>
      <c r="O1181" s="6">
        <v>0.4444</v>
      </c>
      <c r="P1181" s="6">
        <v>0.3333</v>
      </c>
      <c r="Q1181" s="7"/>
      <c r="R1181" s="7"/>
    </row>
    <row r="1182" spans="1:18">
      <c r="A1182" s="4" t="s">
        <v>1598</v>
      </c>
      <c r="B1182" s="4">
        <f t="shared" si="18"/>
        <v>2</v>
      </c>
      <c r="C1182" s="4" t="s">
        <v>62</v>
      </c>
      <c r="D1182" s="1" t="str">
        <f>IFERROR(VLOOKUP(A1182,[1]biopep_DB!$F$2:$J$1654,5,0),)</f>
        <v>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
      <c r="E1182" s="1" t="str">
        <f>IFERROR(VLOOKUP(A1182,[1]biopep_DB!$F$2:$L$1654,6,0),0)</f>
        <v>10.1007/s00216-008-1990-3; 10.1016/j.jprot.2013.06.023</v>
      </c>
      <c r="F1182" s="1" t="str">
        <f>IFERROR(VLOOKUP(A1182,[1]biopep_DB!$F$2:$L$1654,7,0),0)</f>
        <v>18392815 23806758</v>
      </c>
      <c r="G1182" s="5">
        <v>243.26</v>
      </c>
      <c r="H1182" s="5">
        <v>5.95</v>
      </c>
      <c r="I1182" s="5">
        <v>-0.04</v>
      </c>
      <c r="J1182" s="6">
        <v>-2.55</v>
      </c>
      <c r="K1182" s="5">
        <v>101.3</v>
      </c>
      <c r="L1182" s="6">
        <v>0.5</v>
      </c>
      <c r="M1182" s="6">
        <v>0.68</v>
      </c>
      <c r="N1182" s="6">
        <v>0</v>
      </c>
      <c r="O1182" s="6">
        <v>0.5</v>
      </c>
      <c r="P1182" s="6">
        <v>0</v>
      </c>
      <c r="Q1182" s="7"/>
      <c r="R1182" s="7"/>
    </row>
    <row r="1183" spans="1:18">
      <c r="A1183" s="4" t="s">
        <v>1599</v>
      </c>
      <c r="B1183" s="4">
        <f t="shared" si="18"/>
        <v>5</v>
      </c>
      <c r="C1183" s="4" t="s">
        <v>1600</v>
      </c>
      <c r="D1183" s="1" t="str">
        <f>IFERROR(VLOOKUP(A1183,[1]biopep_DB!$F$2:$J$1654,5,0),)</f>
        <v>A new QSAR model, for angiotensin I-converting enzyme inhibitory oligopeptides.</v>
      </c>
      <c r="E1183" s="1" t="str">
        <f>IFERROR(VLOOKUP(A1183,[1]biopep_DB!$F$2:$L$1654,6,0),0)</f>
        <v>10.1016/j.foodchem.2012.09.092</v>
      </c>
      <c r="F1183" s="1" t="str">
        <f>IFERROR(VLOOKUP(A1183,[1]biopep_DB!$F$2:$L$1654,7,0),0)</f>
        <v>23194537</v>
      </c>
      <c r="G1183" s="5">
        <v>558.63</v>
      </c>
      <c r="H1183" s="5">
        <v>5.95</v>
      </c>
      <c r="I1183" s="5">
        <v>-0.04</v>
      </c>
      <c r="J1183" s="6">
        <v>-0.42</v>
      </c>
      <c r="K1183" s="5">
        <v>85.04</v>
      </c>
      <c r="L1183" s="6">
        <v>0.8</v>
      </c>
      <c r="M1183" s="6">
        <v>-0.686</v>
      </c>
      <c r="N1183" s="6">
        <v>0.2</v>
      </c>
      <c r="O1183" s="6">
        <v>0.4</v>
      </c>
      <c r="P1183" s="6">
        <v>0.2</v>
      </c>
      <c r="Q1183" s="7"/>
      <c r="R1183" s="7"/>
    </row>
    <row r="1184" spans="1:18">
      <c r="A1184" s="4" t="s">
        <v>1601</v>
      </c>
      <c r="B1184" s="4">
        <f t="shared" si="18"/>
        <v>6</v>
      </c>
      <c r="C1184" s="4" t="s">
        <v>1602</v>
      </c>
      <c r="D1184" s="1" t="str">
        <f>IFERROR(VLOOKUP(A1184,[1]biopep_DB!$F$2:$J$1654,5,0),)</f>
        <v>Inhibition of angiotensin-converting enzyme by synthetic peptide fragments of various beta-caseins.; A new QSAR model, for angiotensin I-converting enzyme inhibitory oligopeptides.</v>
      </c>
      <c r="E1184" s="1" t="str">
        <f>IFERROR(VLOOKUP(A1184,[1]biopep_DB!$F$2:$L$1654,6,0),0)</f>
        <v>10.1016/j.foodchem.2012.09.092</v>
      </c>
      <c r="F1184" s="1" t="str">
        <f>IFERROR(VLOOKUP(A1184,[1]biopep_DB!$F$2:$L$1654,7,0),0)</f>
        <v>1368548 23194537</v>
      </c>
      <c r="G1184" s="5">
        <v>681.78</v>
      </c>
      <c r="H1184" s="5">
        <v>4.05</v>
      </c>
      <c r="I1184" s="5">
        <v>-1.04</v>
      </c>
      <c r="J1184" s="6">
        <v>-0.3667</v>
      </c>
      <c r="K1184" s="5">
        <v>104.63</v>
      </c>
      <c r="L1184" s="6">
        <v>0.6667</v>
      </c>
      <c r="M1184" s="6">
        <v>-0.9933</v>
      </c>
      <c r="N1184" s="6">
        <v>0.3333</v>
      </c>
      <c r="O1184" s="6">
        <v>0.3333</v>
      </c>
      <c r="P1184" s="6">
        <v>0.3333</v>
      </c>
      <c r="Q1184" s="7"/>
      <c r="R1184" s="7"/>
    </row>
    <row r="1185" spans="1:18">
      <c r="A1185" s="4" t="s">
        <v>1603</v>
      </c>
      <c r="B1185" s="4">
        <f t="shared" si="18"/>
        <v>6</v>
      </c>
      <c r="C1185" s="4" t="s">
        <v>1604</v>
      </c>
      <c r="D1185" s="1" t="str">
        <f>IFERROR(VLOOKUP(A1185,[1]biopep_DB!$F$2:$J$1654,5,0),)</f>
        <v>Inhibition of angiotensin-converting enzyme by synthetic peptide fragments of various beta-caseins.; A new QSAR model, for angiotensin I-converting enzyme inhibitory oligopeptides.</v>
      </c>
      <c r="E1185" s="1" t="str">
        <f>IFERROR(VLOOKUP(A1185,[1]biopep_DB!$F$2:$L$1654,6,0),0)</f>
        <v>10.1016/j.foodchem.2012.09.092</v>
      </c>
      <c r="F1185" s="1" t="str">
        <f>IFERROR(VLOOKUP(A1185,[1]biopep_DB!$F$2:$L$1654,7,0),0)</f>
        <v>1368548 23194537</v>
      </c>
      <c r="G1185" s="5">
        <v>680.79</v>
      </c>
      <c r="H1185" s="5">
        <v>5.95</v>
      </c>
      <c r="I1185" s="5">
        <v>-0.04</v>
      </c>
      <c r="J1185" s="6">
        <v>-0.3167</v>
      </c>
      <c r="K1185" s="5">
        <v>177.87</v>
      </c>
      <c r="L1185" s="6">
        <v>0.6667</v>
      </c>
      <c r="M1185" s="6">
        <v>-1.1433</v>
      </c>
      <c r="N1185" s="6">
        <v>0.1667</v>
      </c>
      <c r="O1185" s="6">
        <v>0.5</v>
      </c>
      <c r="P1185" s="6">
        <v>0.3333</v>
      </c>
      <c r="Q1185" s="7"/>
      <c r="R1185" s="7"/>
    </row>
    <row r="1186" spans="1:18">
      <c r="A1186" s="4" t="s">
        <v>1605</v>
      </c>
      <c r="B1186" s="4">
        <f t="shared" si="18"/>
        <v>10</v>
      </c>
      <c r="C1186" s="4"/>
      <c r="G1186" s="5">
        <v>1108.24</v>
      </c>
      <c r="H1186" s="5">
        <v>5.95</v>
      </c>
      <c r="I1186" s="5">
        <v>-0.04</v>
      </c>
      <c r="J1186" s="6">
        <v>-0.84</v>
      </c>
      <c r="K1186" s="5">
        <v>81.04</v>
      </c>
      <c r="L1186" s="6">
        <v>0.5</v>
      </c>
      <c r="M1186" s="6">
        <v>-0.498</v>
      </c>
      <c r="N1186" s="6">
        <v>0.1</v>
      </c>
      <c r="O1186" s="6">
        <v>0.4</v>
      </c>
      <c r="P1186" s="6">
        <v>0.4</v>
      </c>
      <c r="Q1186" s="7"/>
      <c r="R1186" s="7"/>
    </row>
    <row r="1187" spans="1:18">
      <c r="A1187" s="4" t="s">
        <v>1606</v>
      </c>
      <c r="B1187" s="4">
        <f t="shared" si="18"/>
        <v>5</v>
      </c>
      <c r="C1187" s="4" t="s">
        <v>1607</v>
      </c>
      <c r="D1187" s="1" t="str">
        <f>IFERROR(VLOOKUP(A1187,[1]biopep_DB!$F$2:$J$1654,5,0),)</f>
        <v>Inhibition of angiotensin-converting enzyme by synthetic peptide fragments of various beta-caseins.; A new QSAR model, for angiotensin I-converting enzyme inhibitory oligopeptides.</v>
      </c>
      <c r="E1187" s="1" t="str">
        <f>IFERROR(VLOOKUP(A1187,[1]biopep_DB!$F$2:$L$1654,6,0),0)</f>
        <v>10.1016/j.foodchem.2012.09.092</v>
      </c>
      <c r="F1187" s="1" t="str">
        <f>IFERROR(VLOOKUP(A1187,[1]biopep_DB!$F$2:$L$1654,7,0),0)</f>
        <v>1368548 23194537</v>
      </c>
      <c r="G1187" s="5">
        <v>550.65</v>
      </c>
      <c r="H1187" s="5">
        <v>5.95</v>
      </c>
      <c r="I1187" s="5">
        <v>-0.04</v>
      </c>
      <c r="J1187" s="6">
        <v>-0.76</v>
      </c>
      <c r="K1187" s="5">
        <v>79.28</v>
      </c>
      <c r="L1187" s="6">
        <v>0.8</v>
      </c>
      <c r="M1187" s="6">
        <v>-0.712</v>
      </c>
      <c r="N1187" s="6">
        <v>0</v>
      </c>
      <c r="O1187" s="6">
        <v>0.6</v>
      </c>
      <c r="P1187" s="6">
        <v>0.2</v>
      </c>
      <c r="Q1187" s="7"/>
      <c r="R1187" s="7"/>
    </row>
    <row r="1188" spans="1:18">
      <c r="A1188" s="4" t="s">
        <v>1608</v>
      </c>
      <c r="B1188" s="4">
        <f t="shared" si="18"/>
        <v>7</v>
      </c>
      <c r="C1188" s="4" t="s">
        <v>98</v>
      </c>
      <c r="D1188" s="1" t="str">
        <f>IFERROR(VLOOKUP(A1188,[1]biopep_DB!$F$2:$J$1654,5,0),)</f>
        <v>Inhibition of angiotensin-converting enzyme by synthetic peptide fragments of various beta-caseins.</v>
      </c>
      <c r="E1188" s="1" t="str">
        <f>IFERROR(VLOOKUP(A1188,[1]biopep_DB!$F$2:$L$1654,6,0),0)</f>
        <v/>
      </c>
      <c r="F1188" s="1" t="str">
        <f>IFERROR(VLOOKUP(A1188,[1]biopep_DB!$F$2:$L$1654,7,0),0)</f>
        <v>1368548</v>
      </c>
      <c r="G1188" s="5">
        <v>826.98</v>
      </c>
      <c r="H1188" s="5">
        <v>5.95</v>
      </c>
      <c r="I1188" s="5">
        <v>-0.04</v>
      </c>
      <c r="J1188" s="6">
        <v>-0.1857</v>
      </c>
      <c r="K1188" s="5">
        <v>81.23</v>
      </c>
      <c r="L1188" s="6">
        <v>0.7143</v>
      </c>
      <c r="M1188" s="6">
        <v>-1.1914</v>
      </c>
      <c r="N1188" s="6">
        <v>0.1429</v>
      </c>
      <c r="O1188" s="6">
        <v>0.4286</v>
      </c>
      <c r="P1188" s="6">
        <v>0.4286</v>
      </c>
      <c r="Q1188" s="7"/>
      <c r="R1188" s="7"/>
    </row>
    <row r="1189" spans="1:18">
      <c r="A1189" s="4" t="s">
        <v>1609</v>
      </c>
      <c r="B1189" s="4">
        <f t="shared" si="18"/>
        <v>3</v>
      </c>
      <c r="C1189" s="4" t="s">
        <v>1610</v>
      </c>
      <c r="D1189" s="1" t="str">
        <f>IFERROR(VLOOKUP(A1189,[1]biopep_DB!$F$2:$J$1654,5,0),)</f>
        <v>Bioactive peptides in amaranth (Amaranthus hypochondriacus) seed.; Evaluation of the allergenicity of goat milk, cow milk, and their lactosera in a guinea pig model.</v>
      </c>
      <c r="E1189" s="1" t="str">
        <f>IFERROR(VLOOKUP(A1189,[1]biopep_DB!$F$2:$L$1654,6,0),0)</f>
        <v>10.1021/jf072911z; 10.3168/jds.2008-1125</v>
      </c>
      <c r="F1189" s="1" t="str">
        <f>IFERROR(VLOOKUP(A1189,[1]biopep_DB!$F$2:$L$1654,7,0),0)</f>
        <v>18211015 19233776</v>
      </c>
      <c r="G1189" s="5">
        <v>399.45</v>
      </c>
      <c r="H1189" s="5">
        <v>10.18</v>
      </c>
      <c r="I1189" s="5">
        <v>0.96</v>
      </c>
      <c r="J1189" s="6">
        <v>-3.2</v>
      </c>
      <c r="K1189" s="5">
        <v>70.87</v>
      </c>
      <c r="L1189" s="6">
        <v>0.3333</v>
      </c>
      <c r="M1189" s="6">
        <v>1.36</v>
      </c>
      <c r="N1189" s="6">
        <v>0</v>
      </c>
      <c r="O1189" s="6">
        <v>0.3333</v>
      </c>
      <c r="P1189" s="6">
        <v>0</v>
      </c>
      <c r="Q1189" s="7"/>
      <c r="R1189" s="7"/>
    </row>
    <row r="1190" spans="1:18">
      <c r="A1190" s="4" t="s">
        <v>1611</v>
      </c>
      <c r="B1190" s="4">
        <f t="shared" si="18"/>
        <v>6</v>
      </c>
      <c r="C1190" s="4"/>
      <c r="D1190" s="1" t="str">
        <f>IFERROR(VLOOKUP(A1190,[1]biopep_DB!$F$2:$J$1654,5,0),)</f>
        <v>Enterococcus faecalis strains from food, environmental, and clinical origin produce ACE-inhibitory peptides and other bioactive peptides during growth in bovine skim milk.</v>
      </c>
      <c r="E1190" s="1" t="str">
        <f>IFERROR(VLOOKUP(A1190,[1]biopep_DB!$F$2:$L$1654,6,0),0)</f>
        <v>10.1016/j.ijfoodmicro.2013.06.019</v>
      </c>
      <c r="F1190" s="1" t="str">
        <f>IFERROR(VLOOKUP(A1190,[1]biopep_DB!$F$2:$L$1654,7,0),0)</f>
        <v>23845432</v>
      </c>
      <c r="G1190" s="5">
        <v>742.84</v>
      </c>
      <c r="H1190" s="5">
        <v>6.27</v>
      </c>
      <c r="I1190" s="5">
        <v>-0.04</v>
      </c>
      <c r="J1190" s="6">
        <v>-2.1333</v>
      </c>
      <c r="K1190" s="5">
        <v>113.67</v>
      </c>
      <c r="L1190" s="6">
        <v>0.5</v>
      </c>
      <c r="M1190" s="6">
        <v>0.5683</v>
      </c>
      <c r="N1190" s="6">
        <v>0.1667</v>
      </c>
      <c r="O1190" s="6">
        <v>0.5</v>
      </c>
      <c r="P1190" s="6">
        <v>0</v>
      </c>
      <c r="Q1190" s="7"/>
      <c r="R1190" s="7"/>
    </row>
    <row r="1191" spans="1:18">
      <c r="A1191" s="4" t="s">
        <v>1612</v>
      </c>
      <c r="B1191" s="4">
        <f t="shared" si="18"/>
        <v>7</v>
      </c>
      <c r="C1191" s="4" t="s">
        <v>1613</v>
      </c>
      <c r="D1191" s="1" t="str">
        <f>IFERROR(VLOOKUP(A1191,[1]biopep_DB!$F$2:$J$1654,5,0),)</f>
        <v>A new QSAR model, for angiotensin I-converting enzyme inhibitory oligopeptides.</v>
      </c>
      <c r="E1191" s="1" t="str">
        <f>IFERROR(VLOOKUP(A1191,[1]biopep_DB!$F$2:$L$1654,6,0),0)</f>
        <v>10.1016/j.foodchem.2012.09.092</v>
      </c>
      <c r="F1191" s="1" t="str">
        <f>IFERROR(VLOOKUP(A1191,[1]biopep_DB!$F$2:$L$1654,7,0),0)</f>
        <v>23194537</v>
      </c>
      <c r="G1191" s="5">
        <v>738.87</v>
      </c>
      <c r="H1191" s="5">
        <v>5.95</v>
      </c>
      <c r="I1191" s="5">
        <v>-0.04</v>
      </c>
      <c r="J1191" s="6">
        <v>0.2857</v>
      </c>
      <c r="K1191" s="5">
        <v>63.6</v>
      </c>
      <c r="L1191" s="6">
        <v>0.7143</v>
      </c>
      <c r="M1191" s="6">
        <v>-1.4329</v>
      </c>
      <c r="N1191" s="6">
        <v>0.4286</v>
      </c>
      <c r="O1191" s="6">
        <v>0.2857</v>
      </c>
      <c r="P1191" s="6">
        <v>0.4286</v>
      </c>
      <c r="Q1191" s="7"/>
      <c r="R1191" s="7"/>
    </row>
    <row r="1192" spans="1:18">
      <c r="A1192" s="4" t="s">
        <v>1614</v>
      </c>
      <c r="B1192" s="4">
        <f t="shared" si="18"/>
        <v>2</v>
      </c>
      <c r="C1192" s="4" t="s">
        <v>36</v>
      </c>
      <c r="D1192" s="1" t="str">
        <f>IFERROR(VLOOKUP(A1192,[1]biopep_DB!$F$2:$J$1654,5,0),)</f>
        <v>Structure and activity of angiotensin I converting enzyme inhibitory peptides from sake and sake lees.;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Bioactive peptides in amaranth (Amaranthus hypochondriacus) seed.</v>
      </c>
      <c r="E1192" s="1" t="str">
        <f>IFERROR(VLOOKUP(A1192,[1]biopep_DB!$F$2:$L$1654,6,0),0)</f>
        <v>10.1271/bbb.58.1767; 10.1021/jf051263l; 10.1002/psc.800; 10.1021/jf072911z</v>
      </c>
      <c r="F1192" s="1" t="str">
        <f>IFERROR(VLOOKUP(A1192,[1]biopep_DB!$F$2:$L$1654,7,0),0)</f>
        <v>7765503 16448176 17117396 18211015</v>
      </c>
      <c r="G1192" s="5">
        <v>271.32</v>
      </c>
      <c r="H1192" s="5">
        <v>10.18</v>
      </c>
      <c r="I1192" s="5">
        <v>0.96</v>
      </c>
      <c r="J1192" s="6">
        <v>-3.05</v>
      </c>
      <c r="K1192" s="5">
        <v>-32.7</v>
      </c>
      <c r="L1192" s="6">
        <v>0.5</v>
      </c>
      <c r="M1192" s="6">
        <v>1.36</v>
      </c>
      <c r="N1192" s="6">
        <v>0</v>
      </c>
      <c r="O1192" s="6">
        <v>0.5</v>
      </c>
      <c r="P1192" s="6">
        <v>0</v>
      </c>
      <c r="Q1192" s="7"/>
      <c r="R1192" s="7"/>
    </row>
    <row r="1193" spans="1:18">
      <c r="A1193" s="4" t="s">
        <v>1615</v>
      </c>
      <c r="B1193" s="4">
        <f t="shared" si="18"/>
        <v>5</v>
      </c>
      <c r="C1193" s="4" t="s">
        <v>1616</v>
      </c>
      <c r="D1193" s="1" t="str">
        <f>IFERROR(VLOOKUP(A1193,[1]biopep_DB!$F$2:$J$1654,5,0),)</f>
        <v>A new QSAR model, for angiotensin I-converting enzyme inhibitory oligopeptides.</v>
      </c>
      <c r="E1193" s="1" t="str">
        <f>IFERROR(VLOOKUP(A1193,[1]biopep_DB!$F$2:$L$1654,6,0),0)</f>
        <v>10.1016/j.foodchem.2012.09.092</v>
      </c>
      <c r="F1193" s="1" t="str">
        <f>IFERROR(VLOOKUP(A1193,[1]biopep_DB!$F$2:$L$1654,7,0),0)</f>
        <v>23194537</v>
      </c>
      <c r="G1193" s="5">
        <v>593.64</v>
      </c>
      <c r="H1193" s="5">
        <v>10.18</v>
      </c>
      <c r="I1193" s="5">
        <v>1.05</v>
      </c>
      <c r="J1193" s="6">
        <v>-2.64</v>
      </c>
      <c r="K1193" s="5">
        <v>31.44</v>
      </c>
      <c r="L1193" s="6">
        <v>0.2</v>
      </c>
      <c r="M1193" s="6">
        <v>0.826</v>
      </c>
      <c r="N1193" s="6">
        <v>0</v>
      </c>
      <c r="O1193" s="6">
        <v>0.4</v>
      </c>
      <c r="P1193" s="6">
        <v>0</v>
      </c>
      <c r="Q1193" s="7"/>
      <c r="R1193" s="7"/>
    </row>
    <row r="1194" spans="1:18">
      <c r="A1194" s="4" t="s">
        <v>1617</v>
      </c>
      <c r="B1194" s="4">
        <f t="shared" si="18"/>
        <v>10</v>
      </c>
      <c r="C1194" s="4" t="s">
        <v>1618</v>
      </c>
      <c r="D1194" s="1" t="str">
        <f>IFERROR(VLOOKUP(A1194,[1]biopep_DB!$F$2:$J$1654,5,0),)</f>
        <v/>
      </c>
      <c r="E1194" s="1" t="str">
        <f>IFERROR(VLOOKUP(A1194,[1]biopep_DB!$F$2:$L$1654,6,0),0)</f>
        <v/>
      </c>
      <c r="F1194" s="1" t="str">
        <f>IFERROR(VLOOKUP(A1194,[1]biopep_DB!$F$2:$L$1654,7,0),0)</f>
        <v/>
      </c>
      <c r="G1194" s="5">
        <v>1162.36</v>
      </c>
      <c r="H1194" s="5">
        <v>9.37</v>
      </c>
      <c r="I1194" s="5">
        <v>1.95</v>
      </c>
      <c r="J1194" s="6">
        <v>-1.33</v>
      </c>
      <c r="K1194" s="5">
        <v>25.57</v>
      </c>
      <c r="L1194" s="6">
        <v>0.2</v>
      </c>
      <c r="M1194" s="6">
        <v>0.268</v>
      </c>
      <c r="N1194" s="6">
        <v>0.4</v>
      </c>
      <c r="O1194" s="6">
        <v>0.2</v>
      </c>
      <c r="P1194" s="6">
        <v>0.3</v>
      </c>
      <c r="Q1194" s="7"/>
      <c r="R1194" s="7"/>
    </row>
    <row r="1195" spans="1:18">
      <c r="A1195" s="4" t="s">
        <v>1619</v>
      </c>
      <c r="B1195" s="4">
        <f t="shared" si="18"/>
        <v>4</v>
      </c>
      <c r="C1195" s="4" t="s">
        <v>1613</v>
      </c>
      <c r="D1195" s="1" t="str">
        <f>IFERROR(VLOOKUP(A1195,[1]biopep_DB!$F$2:$J$1654,5,0),)</f>
        <v/>
      </c>
      <c r="E1195" s="1" t="str">
        <f>IFERROR(VLOOKUP(A1195,[1]biopep_DB!$F$2:$L$1654,6,0),0)</f>
        <v/>
      </c>
      <c r="F1195" s="1" t="str">
        <f>IFERROR(VLOOKUP(A1195,[1]biopep_DB!$F$2:$L$1654,7,0),0)</f>
        <v/>
      </c>
      <c r="G1195" s="5">
        <v>517.62</v>
      </c>
      <c r="H1195" s="5">
        <v>10.18</v>
      </c>
      <c r="I1195" s="5">
        <v>0.96</v>
      </c>
      <c r="J1195" s="6">
        <v>0.225</v>
      </c>
      <c r="K1195" s="5">
        <v>-11.35</v>
      </c>
      <c r="L1195" s="6">
        <v>0.75</v>
      </c>
      <c r="M1195" s="6">
        <v>-1.075</v>
      </c>
      <c r="N1195" s="6">
        <v>0</v>
      </c>
      <c r="O1195" s="6">
        <v>0.25</v>
      </c>
      <c r="P1195" s="6">
        <v>0.5</v>
      </c>
      <c r="Q1195" s="7"/>
      <c r="R1195" s="7"/>
    </row>
    <row r="1196" spans="1:18">
      <c r="A1196" s="4" t="s">
        <v>1620</v>
      </c>
      <c r="B1196" s="4">
        <f t="shared" si="18"/>
        <v>3</v>
      </c>
      <c r="C1196" s="4" t="s">
        <v>36</v>
      </c>
      <c r="D1196" s="1" t="str">
        <f>IFERROR(VLOOKUP(A1196,[1]biopep_DB!$F$2:$J$1654,5,0),)</f>
        <v>Structure and activity of angiotensin I converting enzyme inhibitory peptides from sake and sake lees.; Structural requirements of Angiotensin I-converting enzyme inhibitory peptides: quantitative structure-activity relationship study of di- and tripeptides.; Bioactive peptides in amaranth (Amaranthus hypochondriacus) seed.</v>
      </c>
      <c r="E1196" s="1" t="str">
        <f>IFERROR(VLOOKUP(A1196,[1]biopep_DB!$F$2:$L$1654,6,0),0)</f>
        <v>10.1271/bbb.58.1767; 10.1021/jf051263l; 10.1021/jf072911z</v>
      </c>
      <c r="F1196" s="1" t="str">
        <f>IFERROR(VLOOKUP(A1196,[1]biopep_DB!$F$2:$L$1654,7,0),0)</f>
        <v>7765503 16448176 18211015</v>
      </c>
      <c r="G1196" s="5">
        <v>434.49</v>
      </c>
      <c r="H1196" s="5">
        <v>9.18</v>
      </c>
      <c r="I1196" s="5">
        <v>0.96</v>
      </c>
      <c r="J1196" s="6">
        <v>-2.4667</v>
      </c>
      <c r="K1196" s="5">
        <v>-43.6</v>
      </c>
      <c r="L1196" s="6">
        <v>0.3333</v>
      </c>
      <c r="M1196" s="6">
        <v>0.9533</v>
      </c>
      <c r="N1196" s="6">
        <v>0</v>
      </c>
      <c r="O1196" s="6">
        <v>0.3333</v>
      </c>
      <c r="P1196" s="6">
        <v>0.3333</v>
      </c>
      <c r="Q1196" s="7"/>
      <c r="R1196" s="7"/>
    </row>
    <row r="1197" spans="1:18">
      <c r="A1197" s="4" t="s">
        <v>1621</v>
      </c>
      <c r="B1197" s="4">
        <f t="shared" si="18"/>
        <v>5</v>
      </c>
      <c r="C1197" s="4" t="s">
        <v>1622</v>
      </c>
      <c r="D1197" s="1" t="str">
        <f>IFERROR(VLOOKUP(A1197,[1]biopep_DB!$F$2:$J$1654,5,0),)</f>
        <v>Inhibition of angiotensin-converting enzyme by synthetic peptide fragments of various beta-caseins.; A new QSAR model, for angiotensin I-converting enzyme inhibitory oligopeptides.</v>
      </c>
      <c r="E1197" s="1" t="str">
        <f>IFERROR(VLOOKUP(A1197,[1]biopep_DB!$F$2:$L$1654,6,0),0)</f>
        <v>10.1016/j.foodchem.2012.09.092</v>
      </c>
      <c r="F1197" s="1" t="str">
        <f>IFERROR(VLOOKUP(A1197,[1]biopep_DB!$F$2:$L$1654,7,0),0)</f>
        <v>1368548 23194537</v>
      </c>
      <c r="G1197" s="5">
        <v>574.63</v>
      </c>
      <c r="H1197" s="5">
        <v>5.95</v>
      </c>
      <c r="I1197" s="5">
        <v>-0.04</v>
      </c>
      <c r="J1197" s="6">
        <v>-0.94</v>
      </c>
      <c r="K1197" s="5">
        <v>85.04</v>
      </c>
      <c r="L1197" s="6">
        <v>0.6</v>
      </c>
      <c r="M1197" s="6">
        <v>-0.156</v>
      </c>
      <c r="N1197" s="6">
        <v>0</v>
      </c>
      <c r="O1197" s="6">
        <v>0.6</v>
      </c>
      <c r="P1197" s="6">
        <v>0.2</v>
      </c>
      <c r="Q1197" s="7"/>
      <c r="R1197" s="7"/>
    </row>
    <row r="1198" spans="1:18">
      <c r="A1198" s="4" t="s">
        <v>1623</v>
      </c>
      <c r="B1198" s="4">
        <f t="shared" si="18"/>
        <v>11</v>
      </c>
      <c r="C1198" s="4" t="s">
        <v>812</v>
      </c>
      <c r="D1198" s="1" t="str">
        <f>IFERROR(VLOOKUP(A1198,[1]biopep_DB!$F$2:$J$1654,5,0),)</f>
        <v>Inhibition of angiotensin-converting enzyme by synthetic peptide fragments of various beta-caseins.</v>
      </c>
      <c r="E1198" s="1" t="str">
        <f>IFERROR(VLOOKUP(A1198,[1]biopep_DB!$F$2:$L$1654,6,0),0)</f>
        <v/>
      </c>
      <c r="F1198" s="1" t="str">
        <f>IFERROR(VLOOKUP(A1198,[1]biopep_DB!$F$2:$L$1654,7,0),0)</f>
        <v>1368548</v>
      </c>
      <c r="G1198" s="5">
        <v>1286.47</v>
      </c>
      <c r="H1198" s="5">
        <v>5.95</v>
      </c>
      <c r="I1198" s="5">
        <v>-0.04</v>
      </c>
      <c r="J1198" s="6">
        <v>-0.4</v>
      </c>
      <c r="K1198" s="5">
        <v>90.35</v>
      </c>
      <c r="L1198" s="6">
        <v>0.6364</v>
      </c>
      <c r="M1198" s="6">
        <v>-0.8291</v>
      </c>
      <c r="N1198" s="6">
        <v>0.0909</v>
      </c>
      <c r="O1198" s="6">
        <v>0.4545</v>
      </c>
      <c r="P1198" s="6">
        <v>0.3636</v>
      </c>
      <c r="Q1198" s="7"/>
      <c r="R1198" s="7"/>
    </row>
    <row r="1199" spans="1:18">
      <c r="A1199" s="4" t="s">
        <v>1624</v>
      </c>
      <c r="B1199" s="4">
        <f t="shared" si="18"/>
        <v>6</v>
      </c>
      <c r="C1199" s="4" t="s">
        <v>1300</v>
      </c>
      <c r="D1199" s="1" t="str">
        <f>IFERROR(VLOOKUP(A1199,[1]biopep_DB!$F$2:$J$1654,5,0),)</f>
        <v>Angiotensin converting enzyme inhibitory peptides derived from food proteins: biochemistry, bioactivity and production.; A new QSAR model, for angiotensin I-converting enzyme inhibitory oligopeptides.</v>
      </c>
      <c r="E1199" s="1" t="str">
        <f>IFERROR(VLOOKUP(A1199,[1]biopep_DB!$F$2:$L$1654,6,0),0)</f>
        <v>10.2174/138161207780363068; 10.1016/j.foodchem.2012.09.092</v>
      </c>
      <c r="F1199" s="1" t="str">
        <f>IFERROR(VLOOKUP(A1199,[1]biopep_DB!$F$2:$L$1654,7,0),0)</f>
        <v>17430180 23194537</v>
      </c>
      <c r="G1199" s="5">
        <v>713.73</v>
      </c>
      <c r="H1199" s="5">
        <v>5.95</v>
      </c>
      <c r="I1199" s="5">
        <v>-0.04</v>
      </c>
      <c r="J1199" s="6">
        <v>-1.4833</v>
      </c>
      <c r="K1199" s="5">
        <v>48.43</v>
      </c>
      <c r="L1199" s="6">
        <v>0.1667</v>
      </c>
      <c r="M1199" s="6">
        <v>0.2567</v>
      </c>
      <c r="N1199" s="6">
        <v>0</v>
      </c>
      <c r="O1199" s="6">
        <v>0.5</v>
      </c>
      <c r="P1199" s="6">
        <v>0.3333</v>
      </c>
      <c r="Q1199" s="7"/>
      <c r="R1199" s="7"/>
    </row>
    <row r="1200" spans="1:18">
      <c r="A1200" s="4" t="s">
        <v>1625</v>
      </c>
      <c r="B1200" s="4">
        <f t="shared" si="18"/>
        <v>8</v>
      </c>
      <c r="C1200" s="4" t="s">
        <v>1626</v>
      </c>
      <c r="D1200" s="1" t="str">
        <f>IFERROR(VLOOKUP(A1200,[1]biopep_DB!$F$2:$J$1654,5,0),)</f>
        <v/>
      </c>
      <c r="E1200" s="1" t="str">
        <f>IFERROR(VLOOKUP(A1200,[1]biopep_DB!$F$2:$L$1654,6,0),0)</f>
        <v/>
      </c>
      <c r="F1200" s="1" t="str">
        <f>IFERROR(VLOOKUP(A1200,[1]biopep_DB!$F$2:$L$1654,7,0),0)</f>
        <v/>
      </c>
      <c r="G1200" s="5">
        <v>930.06</v>
      </c>
      <c r="H1200" s="5">
        <v>9.01</v>
      </c>
      <c r="I1200" s="5">
        <v>0.96</v>
      </c>
      <c r="J1200" s="6">
        <v>-1.3125</v>
      </c>
      <c r="K1200" s="5">
        <v>-1.36</v>
      </c>
      <c r="L1200" s="6">
        <v>0.375</v>
      </c>
      <c r="M1200" s="6">
        <v>-0.3137</v>
      </c>
      <c r="N1200" s="6">
        <v>0.25</v>
      </c>
      <c r="O1200" s="6">
        <v>0.5</v>
      </c>
      <c r="P1200" s="6">
        <v>0.25</v>
      </c>
      <c r="Q1200" s="7"/>
      <c r="R1200" s="7"/>
    </row>
    <row r="1201" spans="1:18">
      <c r="A1201" s="4" t="s">
        <v>1627</v>
      </c>
      <c r="B1201" s="4">
        <f t="shared" si="18"/>
        <v>5</v>
      </c>
      <c r="C1201" s="4" t="s">
        <v>1628</v>
      </c>
      <c r="D1201" s="1" t="str">
        <f>IFERROR(VLOOKUP(A1201,[1]biopep_DB!$F$2:$J$1654,5,0),)</f>
        <v>Novel angiotensin I-converting enzyme inhibitory peptides derived from edible mushroom Agaricus bisporus (J.E. Lange) Imbach identified by LC-MS/MS.</v>
      </c>
      <c r="E1201" s="1" t="str">
        <f>IFERROR(VLOOKUP(A1201,[1]biopep_DB!$F$2:$L$1654,6,0),0)</f>
        <v>10.1016/j.foodchem.2013.10.053</v>
      </c>
      <c r="F1201" s="1" t="str">
        <f>IFERROR(VLOOKUP(A1201,[1]biopep_DB!$F$2:$L$1654,7,0),0)</f>
        <v>24262574</v>
      </c>
      <c r="G1201" s="5">
        <v>531.56</v>
      </c>
      <c r="H1201" s="5">
        <v>9.18</v>
      </c>
      <c r="I1201" s="5">
        <v>0.96</v>
      </c>
      <c r="J1201" s="6">
        <v>-2.12</v>
      </c>
      <c r="K1201" s="5">
        <v>132.4</v>
      </c>
      <c r="L1201" s="6">
        <v>0.2</v>
      </c>
      <c r="M1201" s="6">
        <v>0.976</v>
      </c>
      <c r="N1201" s="6">
        <v>0.2</v>
      </c>
      <c r="O1201" s="6">
        <v>0.8</v>
      </c>
      <c r="P1201" s="6">
        <v>0</v>
      </c>
      <c r="Q1201" s="7"/>
      <c r="R1201" s="7"/>
    </row>
    <row r="1202" spans="1:18">
      <c r="A1202" s="4" t="s">
        <v>1629</v>
      </c>
      <c r="B1202" s="4">
        <f t="shared" si="18"/>
        <v>3</v>
      </c>
      <c r="C1202" s="4" t="s">
        <v>36</v>
      </c>
      <c r="D1202" s="1" t="str">
        <f>IFERROR(VLOOKUP(A1202,[1]biopep_DB!$F$2:$J$1654,5,0),)</f>
        <v>Structural requirements of Angiotensin I-converting enzyme inhibitory peptides: quantitative structure-activity relationship study of di- and tripeptides.; Isolation and characterization of peptides with antihypertensive activity in foodstuffs.</v>
      </c>
      <c r="E1202" s="1" t="str">
        <f>IFERROR(VLOOKUP(A1202,[1]biopep_DB!$F$2:$L$1654,6,0),0)</f>
        <v>10.1021/jf051263l; 10.1080/10408398.2012.664829</v>
      </c>
      <c r="F1202" s="1" t="str">
        <f>IFERROR(VLOOKUP(A1202,[1]biopep_DB!$F$2:$L$1654,7,0),0)</f>
        <v>16448176 24915368</v>
      </c>
      <c r="G1202" s="5">
        <v>365.38</v>
      </c>
      <c r="H1202" s="5">
        <v>5.95</v>
      </c>
      <c r="I1202" s="5">
        <v>-0.04</v>
      </c>
      <c r="J1202" s="6">
        <v>-1.2333</v>
      </c>
      <c r="K1202" s="5">
        <v>70.87</v>
      </c>
      <c r="L1202" s="6">
        <v>0.3333</v>
      </c>
      <c r="M1202" s="6">
        <v>0.3267</v>
      </c>
      <c r="N1202" s="6">
        <v>0</v>
      </c>
      <c r="O1202" s="6">
        <v>0.6667</v>
      </c>
      <c r="P1202" s="6">
        <v>0.3333</v>
      </c>
      <c r="Q1202" s="7"/>
      <c r="R1202" s="7"/>
    </row>
    <row r="1203" spans="1:18">
      <c r="A1203" s="4" t="s">
        <v>1630</v>
      </c>
      <c r="B1203" s="4">
        <f t="shared" si="18"/>
        <v>2</v>
      </c>
      <c r="C1203" s="4" t="s">
        <v>62</v>
      </c>
      <c r="D1203" s="1" t="str">
        <f>IFERROR(VLOOKUP(A1203,[1]biopep_DB!$F$2:$J$1654,5,0),)</f>
        <v>Peptides with angiotensin I converting enzyme (ACE) inhibitory activity generated from porcine skeletal muscle proteins by the action of meat-borne Lactobacillus.</v>
      </c>
      <c r="E1203" s="1" t="str">
        <f>IFERROR(VLOOKUP(A1203,[1]biopep_DB!$F$2:$L$1654,6,0),0)</f>
        <v>10.1016/j.jprot.2013.06.023</v>
      </c>
      <c r="F1203" s="1" t="str">
        <f>IFERROR(VLOOKUP(A1203,[1]biopep_DB!$F$2:$L$1654,7,0),0)</f>
        <v>23806758</v>
      </c>
      <c r="G1203" s="5">
        <v>216.23</v>
      </c>
      <c r="H1203" s="5">
        <v>5.95</v>
      </c>
      <c r="I1203" s="5">
        <v>-0.04</v>
      </c>
      <c r="J1203" s="6">
        <v>-1.15</v>
      </c>
      <c r="K1203" s="5">
        <v>5</v>
      </c>
      <c r="L1203" s="6">
        <v>0.5</v>
      </c>
      <c r="M1203" s="6">
        <v>0.13</v>
      </c>
      <c r="N1203" s="6">
        <v>0</v>
      </c>
      <c r="O1203" s="6">
        <v>0.5</v>
      </c>
      <c r="P1203" s="6">
        <v>0.5</v>
      </c>
      <c r="Q1203" s="7"/>
      <c r="R1203" s="7"/>
    </row>
    <row r="1204" spans="1:18">
      <c r="A1204" s="4" t="s">
        <v>1631</v>
      </c>
      <c r="B1204" s="4">
        <f t="shared" si="18"/>
        <v>6</v>
      </c>
      <c r="C1204" s="4" t="s">
        <v>711</v>
      </c>
      <c r="D1204" s="1" t="str">
        <f>IFERROR(VLOOKUP(A1204,[1]biopep_DB!$F$2:$J$1654,5,0),)</f>
        <v>Potent synthetic analogues of angiotensin-converting enzyme inhibitor derived from Tuna muscle.</v>
      </c>
      <c r="E1204" s="1" t="str">
        <f>IFERROR(VLOOKUP(A1204,[1]biopep_DB!$F$2:$L$1654,6,0),0)</f>
        <v/>
      </c>
      <c r="F1204" s="1" t="str">
        <f>IFERROR(VLOOKUP(A1204,[1]biopep_DB!$F$2:$L$1654,7,0),0)</f>
        <v>1368734</v>
      </c>
      <c r="G1204" s="5">
        <v>733.85</v>
      </c>
      <c r="H1204" s="5">
        <v>5.95</v>
      </c>
      <c r="I1204" s="5">
        <v>-0.04</v>
      </c>
      <c r="J1204" s="6">
        <v>0.9833</v>
      </c>
      <c r="K1204" s="5">
        <v>28.9</v>
      </c>
      <c r="L1204" s="6">
        <v>0.8333</v>
      </c>
      <c r="M1204" s="6">
        <v>-1.9633</v>
      </c>
      <c r="N1204" s="6">
        <v>0.1667</v>
      </c>
      <c r="O1204" s="6">
        <v>0.1667</v>
      </c>
      <c r="P1204" s="6">
        <v>0.6667</v>
      </c>
      <c r="Q1204" s="7"/>
      <c r="R1204" s="7"/>
    </row>
    <row r="1205" spans="1:18">
      <c r="A1205" s="4" t="s">
        <v>1632</v>
      </c>
      <c r="B1205" s="4">
        <f t="shared" si="18"/>
        <v>6</v>
      </c>
      <c r="C1205" s="4" t="s">
        <v>711</v>
      </c>
      <c r="D1205" s="1" t="str">
        <f>IFERROR(VLOOKUP(A1205,[1]biopep_DB!$F$2:$J$1654,5,0),)</f>
        <v>Potent synthetic analogues of angiotensin-converting enzyme inhibitor derived from Tuna muscle.</v>
      </c>
      <c r="E1205" s="1" t="str">
        <f>IFERROR(VLOOKUP(A1205,[1]biopep_DB!$F$2:$L$1654,6,0),0)</f>
        <v/>
      </c>
      <c r="F1205" s="1" t="str">
        <f>IFERROR(VLOOKUP(A1205,[1]biopep_DB!$F$2:$L$1654,7,0),0)</f>
        <v>1368734</v>
      </c>
      <c r="G1205" s="5">
        <v>725.75</v>
      </c>
      <c r="H1205" s="5">
        <v>5.08</v>
      </c>
      <c r="I1205" s="5">
        <v>-0.95</v>
      </c>
      <c r="J1205" s="6">
        <v>-1.35</v>
      </c>
      <c r="K1205" s="5">
        <v>8.33</v>
      </c>
      <c r="L1205" s="6">
        <v>0.5</v>
      </c>
      <c r="M1205" s="6">
        <v>-0.2017</v>
      </c>
      <c r="N1205" s="6">
        <v>0.1667</v>
      </c>
      <c r="O1205" s="6">
        <v>0.3333</v>
      </c>
      <c r="P1205" s="6">
        <v>0.3333</v>
      </c>
      <c r="Q1205" s="7"/>
      <c r="R1205" s="7"/>
    </row>
    <row r="1206" spans="1:18">
      <c r="A1206" s="4" t="s">
        <v>1633</v>
      </c>
      <c r="B1206" s="4">
        <f t="shared" si="18"/>
        <v>6</v>
      </c>
      <c r="C1206" s="4" t="s">
        <v>711</v>
      </c>
      <c r="D1206" s="1" t="str">
        <f>IFERROR(VLOOKUP(A1206,[1]biopep_DB!$F$2:$J$1654,5,0),)</f>
        <v>Potent synthetic analogues of angiotensin-converting enzyme inhibitor derived from Tuna muscle.</v>
      </c>
      <c r="E1206" s="1" t="str">
        <f>IFERROR(VLOOKUP(A1206,[1]biopep_DB!$F$2:$L$1654,6,0),0)</f>
        <v/>
      </c>
      <c r="F1206" s="1" t="str">
        <f>IFERROR(VLOOKUP(A1206,[1]biopep_DB!$F$2:$L$1654,7,0),0)</f>
        <v>1368734</v>
      </c>
      <c r="G1206" s="5">
        <v>667.71</v>
      </c>
      <c r="H1206" s="5">
        <v>7.17</v>
      </c>
      <c r="I1206" s="5">
        <v>0.05</v>
      </c>
      <c r="J1206" s="6">
        <v>-0.8333</v>
      </c>
      <c r="K1206" s="5">
        <v>-23.1</v>
      </c>
      <c r="L1206" s="6">
        <v>0.5</v>
      </c>
      <c r="M1206" s="6">
        <v>-0.6383</v>
      </c>
      <c r="N1206" s="6">
        <v>0.1667</v>
      </c>
      <c r="O1206" s="6">
        <v>0.3333</v>
      </c>
      <c r="P1206" s="6">
        <v>0.3333</v>
      </c>
      <c r="Q1206" s="7"/>
      <c r="R1206" s="7"/>
    </row>
    <row r="1207" spans="1:18">
      <c r="A1207" s="4" t="s">
        <v>1634</v>
      </c>
      <c r="B1207" s="4">
        <f t="shared" si="18"/>
        <v>6</v>
      </c>
      <c r="C1207" s="4" t="s">
        <v>1635</v>
      </c>
      <c r="D1207" s="1" t="str">
        <f>IFERROR(VLOOKUP(A1207,[1]biopep_DB!$F$2:$J$1654,5,0),)</f>
        <v>Potent synthetic analogues of angiotensin-converting enzyme inhibitor derived from Tuna muscle.; A new QSAR model, for angiotensin I-converting enzyme inhibitory oligopeptides.</v>
      </c>
      <c r="E1207" s="1" t="str">
        <f>IFERROR(VLOOKUP(A1207,[1]biopep_DB!$F$2:$L$1654,6,0),0)</f>
        <v>10.1016/j.foodchem.2012.09.092</v>
      </c>
      <c r="F1207" s="1" t="str">
        <f>IFERROR(VLOOKUP(A1207,[1]biopep_DB!$F$2:$L$1654,7,0),0)</f>
        <v>1368734 23194537</v>
      </c>
      <c r="G1207" s="5">
        <v>723.82</v>
      </c>
      <c r="H1207" s="5">
        <v>7.17</v>
      </c>
      <c r="I1207" s="5">
        <v>0.05</v>
      </c>
      <c r="J1207" s="6">
        <v>-0.0167</v>
      </c>
      <c r="K1207" s="5">
        <v>81.57</v>
      </c>
      <c r="L1207" s="6">
        <v>0.6667</v>
      </c>
      <c r="M1207" s="6">
        <v>-1.3017</v>
      </c>
      <c r="N1207" s="6">
        <v>0.1667</v>
      </c>
      <c r="O1207" s="6">
        <v>0.1667</v>
      </c>
      <c r="P1207" s="6">
        <v>0.5</v>
      </c>
      <c r="Q1207" s="7"/>
      <c r="R1207" s="7"/>
    </row>
    <row r="1208" spans="1:18">
      <c r="A1208" s="4" t="s">
        <v>1636</v>
      </c>
      <c r="B1208" s="4">
        <f t="shared" si="18"/>
        <v>6</v>
      </c>
      <c r="C1208" s="4" t="s">
        <v>1637</v>
      </c>
      <c r="D1208" s="1" t="str">
        <f>IFERROR(VLOOKUP(A1208,[1]biopep_DB!$F$2:$J$1654,5,0),)</f>
        <v>Potent synthetic analogues of angiotensin-converting enzyme inhibitor derived from Tuna muscle.; A new QSAR model, for angiotensin I-converting enzyme inhibitory oligopeptides.</v>
      </c>
      <c r="E1208" s="1" t="str">
        <f>IFERROR(VLOOKUP(A1208,[1]biopep_DB!$F$2:$L$1654,6,0),0)</f>
        <v>10.1016/j.foodchem.2012.09.092</v>
      </c>
      <c r="F1208" s="1" t="str">
        <f>IFERROR(VLOOKUP(A1208,[1]biopep_DB!$F$2:$L$1654,7,0),0)</f>
        <v>1368734 23194537</v>
      </c>
      <c r="G1208" s="5">
        <v>767.83</v>
      </c>
      <c r="H1208" s="5">
        <v>5.08</v>
      </c>
      <c r="I1208" s="5">
        <v>-0.95</v>
      </c>
      <c r="J1208" s="6">
        <v>-0.9</v>
      </c>
      <c r="K1208" s="5">
        <v>81.57</v>
      </c>
      <c r="L1208" s="6">
        <v>0.5</v>
      </c>
      <c r="M1208" s="6">
        <v>-0.72</v>
      </c>
      <c r="N1208" s="6">
        <v>0</v>
      </c>
      <c r="O1208" s="6">
        <v>0.3333</v>
      </c>
      <c r="P1208" s="6">
        <v>0.5</v>
      </c>
      <c r="Q1208" s="7"/>
      <c r="R1208" s="7"/>
    </row>
    <row r="1209" spans="1:18">
      <c r="A1209" s="4" t="s">
        <v>1638</v>
      </c>
      <c r="B1209" s="4">
        <f t="shared" si="18"/>
        <v>5</v>
      </c>
      <c r="C1209" s="4" t="s">
        <v>711</v>
      </c>
      <c r="D1209" s="1" t="str">
        <f>IFERROR(VLOOKUP(A1209,[1]biopep_DB!$F$2:$J$1654,5,0),)</f>
        <v>Potent synthetic analogues of angiotensin-converting enzyme inhibitor derived from Tuna muscle.</v>
      </c>
      <c r="E1209" s="1" t="str">
        <f>IFERROR(VLOOKUP(A1209,[1]biopep_DB!$F$2:$L$1654,6,0),0)</f>
        <v/>
      </c>
      <c r="F1209" s="1" t="str">
        <f>IFERROR(VLOOKUP(A1209,[1]biopep_DB!$F$2:$L$1654,7,0),0)</f>
        <v>1368734</v>
      </c>
      <c r="G1209" s="5">
        <v>594.7</v>
      </c>
      <c r="H1209" s="5">
        <v>9.18</v>
      </c>
      <c r="I1209" s="5">
        <v>1.04</v>
      </c>
      <c r="J1209" s="6">
        <v>-0.98</v>
      </c>
      <c r="K1209" s="5">
        <v>78.9</v>
      </c>
      <c r="L1209" s="6">
        <v>0.4</v>
      </c>
      <c r="M1209" s="6">
        <v>-0.418</v>
      </c>
      <c r="N1209" s="6">
        <v>0.2</v>
      </c>
      <c r="O1209" s="6">
        <v>0.2</v>
      </c>
      <c r="P1209" s="6">
        <v>0.4</v>
      </c>
      <c r="Q1209" s="7"/>
      <c r="R1209" s="7"/>
    </row>
    <row r="1210" spans="1:18">
      <c r="A1210" s="4" t="s">
        <v>1639</v>
      </c>
      <c r="B1210" s="4">
        <f t="shared" si="18"/>
        <v>6</v>
      </c>
      <c r="C1210" s="4" t="s">
        <v>461</v>
      </c>
      <c r="D1210" s="1" t="str">
        <f>IFERROR(VLOOKUP(A1210,[1]biopep_DB!$F$2:$J$1654,5,0),)</f>
        <v>Potent synthetic analogues of angiotensin-converting enzyme inhibitor derived from Tuna muscle.; A new QSAR model, for angiotensin I-converting enzyme inhibitory oligopeptides.</v>
      </c>
      <c r="E1210" s="1" t="str">
        <f>IFERROR(VLOOKUP(A1210,[1]biopep_DB!$F$2:$L$1654,6,0),0)</f>
        <v>10.1016/j.foodchem.2012.09.092</v>
      </c>
      <c r="F1210" s="1" t="str">
        <f>IFERROR(VLOOKUP(A1210,[1]biopep_DB!$F$2:$L$1654,7,0),0)</f>
        <v>1368734 23194537</v>
      </c>
      <c r="G1210" s="5">
        <v>780.91</v>
      </c>
      <c r="H1210" s="5">
        <v>9.18</v>
      </c>
      <c r="I1210" s="5">
        <v>1.04</v>
      </c>
      <c r="J1210" s="6">
        <v>-0.9667</v>
      </c>
      <c r="K1210" s="5">
        <v>67.42</v>
      </c>
      <c r="L1210" s="6">
        <v>0.5</v>
      </c>
      <c r="M1210" s="6">
        <v>-0.7367</v>
      </c>
      <c r="N1210" s="6">
        <v>0.1667</v>
      </c>
      <c r="O1210" s="6">
        <v>0.1667</v>
      </c>
      <c r="P1210" s="6">
        <v>0.5</v>
      </c>
      <c r="Q1210" s="7"/>
      <c r="R1210" s="7"/>
    </row>
    <row r="1211" spans="1:18">
      <c r="A1211" s="4" t="s">
        <v>1640</v>
      </c>
      <c r="B1211" s="4">
        <f t="shared" si="18"/>
        <v>7</v>
      </c>
      <c r="C1211" s="4" t="s">
        <v>1641</v>
      </c>
      <c r="D1211" s="1" t="str">
        <f>IFERROR(VLOOKUP(A1211,[1]biopep_DB!$F$2:$J$1654,5,0),)</f>
        <v>Potent synthetic analogues of angiotensin-converting enzyme inhibitor derived from Tuna muscle.</v>
      </c>
      <c r="E1211" s="1" t="str">
        <f>IFERROR(VLOOKUP(A1211,[1]biopep_DB!$F$2:$L$1654,6,0),0)</f>
        <v/>
      </c>
      <c r="F1211" s="1" t="str">
        <f>IFERROR(VLOOKUP(A1211,[1]biopep_DB!$F$2:$L$1654,7,0),0)</f>
        <v>1368734</v>
      </c>
      <c r="G1211" s="5">
        <v>896</v>
      </c>
      <c r="H1211" s="5">
        <v>7.18</v>
      </c>
      <c r="I1211" s="5">
        <v>0.05</v>
      </c>
      <c r="J1211" s="6">
        <v>-1.3286</v>
      </c>
      <c r="K1211" s="5">
        <v>59.21</v>
      </c>
      <c r="L1211" s="6">
        <v>0.4286</v>
      </c>
      <c r="M1211" s="6">
        <v>-0.3914</v>
      </c>
      <c r="N1211" s="6">
        <v>0.1429</v>
      </c>
      <c r="O1211" s="6">
        <v>0.2857</v>
      </c>
      <c r="P1211" s="6">
        <v>0.4286</v>
      </c>
      <c r="Q1211" s="7"/>
      <c r="R1211" s="7"/>
    </row>
    <row r="1212" spans="1:18">
      <c r="A1212" s="4" t="s">
        <v>1642</v>
      </c>
      <c r="B1212" s="4">
        <f t="shared" si="18"/>
        <v>7</v>
      </c>
      <c r="C1212" s="4" t="s">
        <v>1643</v>
      </c>
      <c r="D1212" s="1" t="str">
        <f>IFERROR(VLOOKUP(A1212,[1]biopep_DB!$F$2:$J$1654,5,0),)</f>
        <v>Potent synthetic analogues of angiotensin-converting enzyme inhibitor derived from Tuna muscle.; A new QSAR model, for angiotensin I-converting enzyme inhibitory oligopeptides.</v>
      </c>
      <c r="E1212" s="1" t="str">
        <f>IFERROR(VLOOKUP(A1212,[1]biopep_DB!$F$2:$L$1654,6,0),0)</f>
        <v>10.1016/j.foodchem.2012.09.092</v>
      </c>
      <c r="F1212" s="1" t="str">
        <f>IFERROR(VLOOKUP(A1212,[1]biopep_DB!$F$2:$L$1654,7,0),0)</f>
        <v>1368734 23194537</v>
      </c>
      <c r="G1212" s="5">
        <v>837.96</v>
      </c>
      <c r="H1212" s="5">
        <v>9.18</v>
      </c>
      <c r="I1212" s="5">
        <v>1.04</v>
      </c>
      <c r="J1212" s="6">
        <v>-0.8857</v>
      </c>
      <c r="K1212" s="5">
        <v>44.4</v>
      </c>
      <c r="L1212" s="6">
        <v>0.4286</v>
      </c>
      <c r="M1212" s="6">
        <v>-0.7657</v>
      </c>
      <c r="N1212" s="6">
        <v>0.1429</v>
      </c>
      <c r="O1212" s="6">
        <v>0.2857</v>
      </c>
      <c r="P1212" s="6">
        <v>0.4286</v>
      </c>
      <c r="Q1212" s="7"/>
      <c r="R1212" s="7"/>
    </row>
    <row r="1213" spans="1:18">
      <c r="A1213" s="4" t="s">
        <v>1644</v>
      </c>
      <c r="B1213" s="4">
        <f t="shared" si="18"/>
        <v>8</v>
      </c>
      <c r="C1213" s="4" t="s">
        <v>1645</v>
      </c>
      <c r="D1213" s="1" t="str">
        <f>IFERROR(VLOOKUP(A1213,[1]biopep_DB!$F$2:$J$1654,5,0),)</f>
        <v>Isolation of angiotensin-converting enzyme inhibitor from tuna muscle.; Review on the angiotensin-I-converting enzyme (ACE) inhibitor peptides from marine proteins.</v>
      </c>
      <c r="E1213" s="1" t="str">
        <f>IFERROR(VLOOKUP(A1213,[1]biopep_DB!$F$2:$L$1654,6,0),0)</f>
        <v>10.1016/s0006-291x(88)81089-1; 10.1007/s12010-012-0024-y</v>
      </c>
      <c r="F1213" s="1" t="str">
        <f>IFERROR(VLOOKUP(A1213,[1]biopep_DB!$F$2:$L$1654,7,0),0)</f>
        <v>3415688 23271625</v>
      </c>
      <c r="G1213" s="5">
        <v>953.05</v>
      </c>
      <c r="H1213" s="5">
        <v>7.18</v>
      </c>
      <c r="I1213" s="5">
        <v>0.05</v>
      </c>
      <c r="J1213" s="6">
        <v>-1.2125</v>
      </c>
      <c r="K1213" s="5">
        <v>40.1</v>
      </c>
      <c r="L1213" s="6">
        <v>0.375</v>
      </c>
      <c r="M1213" s="6">
        <v>-0.46</v>
      </c>
      <c r="N1213" s="6">
        <v>0.125</v>
      </c>
      <c r="O1213" s="6">
        <v>0.375</v>
      </c>
      <c r="P1213" s="6">
        <v>0.375</v>
      </c>
      <c r="Q1213" s="7"/>
      <c r="R1213" s="7"/>
    </row>
    <row r="1214" spans="1:18">
      <c r="A1214" s="4" t="s">
        <v>1646</v>
      </c>
      <c r="B1214" s="4">
        <f t="shared" si="18"/>
        <v>7</v>
      </c>
      <c r="C1214" s="4" t="s">
        <v>1647</v>
      </c>
      <c r="D1214" s="1" t="str">
        <f>IFERROR(VLOOKUP(A1214,[1]biopep_DB!$F$2:$J$1654,5,0),)</f>
        <v>A new QSAR model, for angiotensin I-converting enzyme inhibitory oligopeptides.</v>
      </c>
      <c r="E1214" s="1" t="str">
        <f>IFERROR(VLOOKUP(A1214,[1]biopep_DB!$F$2:$L$1654,6,0),0)</f>
        <v>10.1016/j.foodchem.2012.09.092</v>
      </c>
      <c r="F1214" s="1" t="str">
        <f>IFERROR(VLOOKUP(A1214,[1]biopep_DB!$F$2:$L$1654,7,0),0)</f>
        <v>23194537</v>
      </c>
      <c r="G1214" s="5">
        <v>895.02</v>
      </c>
      <c r="H1214" s="5">
        <v>9.18</v>
      </c>
      <c r="I1214" s="5">
        <v>1.04</v>
      </c>
      <c r="J1214" s="6">
        <v>-1.3286</v>
      </c>
      <c r="K1214" s="5">
        <v>76.84</v>
      </c>
      <c r="L1214" s="6">
        <v>0.4286</v>
      </c>
      <c r="M1214" s="6">
        <v>-0.4</v>
      </c>
      <c r="N1214" s="6">
        <v>0.1429</v>
      </c>
      <c r="O1214" s="6">
        <v>0.2857</v>
      </c>
      <c r="P1214" s="6">
        <v>0.4286</v>
      </c>
      <c r="Q1214" s="7"/>
      <c r="R1214" s="7"/>
    </row>
    <row r="1215" spans="1:18">
      <c r="A1215" s="4" t="s">
        <v>1648</v>
      </c>
      <c r="B1215" s="4">
        <f t="shared" si="18"/>
        <v>5</v>
      </c>
      <c r="C1215" s="4" t="s">
        <v>711</v>
      </c>
      <c r="D1215" s="1" t="str">
        <f>IFERROR(VLOOKUP(A1215,[1]biopep_DB!$F$2:$J$1654,5,0),)</f>
        <v>Potent synthetic analogues of angiotensin-converting enzyme inhibitor derived from Tuna muscle.</v>
      </c>
      <c r="E1215" s="1" t="str">
        <f>IFERROR(VLOOKUP(A1215,[1]biopep_DB!$F$2:$L$1654,6,0),0)</f>
        <v/>
      </c>
      <c r="F1215" s="1" t="str">
        <f>IFERROR(VLOOKUP(A1215,[1]biopep_DB!$F$2:$L$1654,7,0),0)</f>
        <v>1368734</v>
      </c>
      <c r="G1215" s="5">
        <v>652.74</v>
      </c>
      <c r="H1215" s="5">
        <v>7.17</v>
      </c>
      <c r="I1215" s="5">
        <v>0.05</v>
      </c>
      <c r="J1215" s="6">
        <v>-0.38</v>
      </c>
      <c r="K1215" s="5">
        <v>95.88</v>
      </c>
      <c r="L1215" s="6">
        <v>0.6</v>
      </c>
      <c r="M1215" s="6">
        <v>-1.2</v>
      </c>
      <c r="N1215" s="6">
        <v>0</v>
      </c>
      <c r="O1215" s="6">
        <v>0.2</v>
      </c>
      <c r="P1215" s="6">
        <v>0.6</v>
      </c>
      <c r="Q1215" s="7"/>
      <c r="R1215" s="7"/>
    </row>
    <row r="1216" spans="1:18">
      <c r="A1216" s="4" t="s">
        <v>1649</v>
      </c>
      <c r="B1216" s="4">
        <f t="shared" si="18"/>
        <v>6</v>
      </c>
      <c r="C1216" s="4" t="s">
        <v>711</v>
      </c>
      <c r="D1216" s="1" t="str">
        <f>IFERROR(VLOOKUP(A1216,[1]biopep_DB!$F$2:$J$1654,5,0),)</f>
        <v>Potent synthetic analogues of angiotensin-converting enzyme inhibitor derived from Tuna muscle.</v>
      </c>
      <c r="E1216" s="1" t="str">
        <f>IFERROR(VLOOKUP(A1216,[1]biopep_DB!$F$2:$L$1654,6,0),0)</f>
        <v/>
      </c>
      <c r="F1216" s="1" t="str">
        <f>IFERROR(VLOOKUP(A1216,[1]biopep_DB!$F$2:$L$1654,7,0),0)</f>
        <v>1368734</v>
      </c>
      <c r="G1216" s="5">
        <v>738.83</v>
      </c>
      <c r="H1216" s="5">
        <v>9.18</v>
      </c>
      <c r="I1216" s="5">
        <v>1.04</v>
      </c>
      <c r="J1216" s="6">
        <v>-1.4167</v>
      </c>
      <c r="K1216" s="5">
        <v>47.8</v>
      </c>
      <c r="L1216" s="6">
        <v>0.5</v>
      </c>
      <c r="M1216" s="6">
        <v>-0.2183</v>
      </c>
      <c r="N1216" s="6">
        <v>0.3333</v>
      </c>
      <c r="O1216" s="6">
        <v>0.1667</v>
      </c>
      <c r="P1216" s="6">
        <v>0.3333</v>
      </c>
      <c r="Q1216" s="7"/>
      <c r="R1216" s="7"/>
    </row>
    <row r="1217" spans="1:18">
      <c r="A1217" s="4" t="s">
        <v>1650</v>
      </c>
      <c r="B1217" s="4">
        <f t="shared" si="18"/>
        <v>6</v>
      </c>
      <c r="C1217" s="4" t="s">
        <v>91</v>
      </c>
      <c r="D1217" s="1" t="str">
        <f>IFERROR(VLOOKUP(A1217,[1]biopep_DB!$F$2:$J$1654,5,0),)</f>
        <v>Potent synthetic analogues of angiotensin-converting enzyme inhibitor derived from Tuna muscle.; A new QSAR model, for angiotensin I-converting enzyme inhibitory oligopeptides.</v>
      </c>
      <c r="E1217" s="1" t="str">
        <f>IFERROR(VLOOKUP(A1217,[1]biopep_DB!$F$2:$L$1654,6,0),0)</f>
        <v>10.1016/j.foodchem.2012.09.092</v>
      </c>
      <c r="F1217" s="1" t="str">
        <f>IFERROR(VLOOKUP(A1217,[1]biopep_DB!$F$2:$L$1654,7,0),0)</f>
        <v>1368734 23194537</v>
      </c>
      <c r="G1217" s="5">
        <v>709.79</v>
      </c>
      <c r="H1217" s="5">
        <v>7.17</v>
      </c>
      <c r="I1217" s="5">
        <v>0.05</v>
      </c>
      <c r="J1217" s="6">
        <v>-0.0667</v>
      </c>
      <c r="K1217" s="5">
        <v>8.33</v>
      </c>
      <c r="L1217" s="6">
        <v>0.6667</v>
      </c>
      <c r="M1217" s="6">
        <v>-1.155</v>
      </c>
      <c r="N1217" s="6">
        <v>0.1667</v>
      </c>
      <c r="O1217" s="6">
        <v>0.1667</v>
      </c>
      <c r="P1217" s="6">
        <v>0.5</v>
      </c>
      <c r="Q1217" s="7"/>
      <c r="R1217" s="7"/>
    </row>
    <row r="1218" spans="1:18">
      <c r="A1218" s="4" t="s">
        <v>1651</v>
      </c>
      <c r="B1218" s="4">
        <f t="shared" si="18"/>
        <v>5</v>
      </c>
      <c r="C1218" s="4" t="s">
        <v>1580</v>
      </c>
      <c r="D1218" s="1" t="str">
        <f>IFERROR(VLOOKUP(A1218,[1]biopep_DB!$F$2:$J$1654,5,0),)</f>
        <v>Inhibition of angiotensin-converting enzyme by synthetic peptide fragments of human kappa-casein.</v>
      </c>
      <c r="E1218" s="1" t="str">
        <f>IFERROR(VLOOKUP(A1218,[1]biopep_DB!$F$2:$L$1654,6,0),0)</f>
        <v/>
      </c>
      <c r="F1218" s="1" t="str">
        <f>IFERROR(VLOOKUP(A1218,[1]biopep_DB!$F$2:$L$1654,7,0),0)</f>
        <v>1368540</v>
      </c>
      <c r="G1218" s="5">
        <v>481.54</v>
      </c>
      <c r="H1218" s="5">
        <v>5.95</v>
      </c>
      <c r="I1218" s="5">
        <v>-0.04</v>
      </c>
      <c r="J1218" s="6">
        <v>-0.74</v>
      </c>
      <c r="K1218" s="5">
        <v>85.04</v>
      </c>
      <c r="L1218" s="6">
        <v>0.8</v>
      </c>
      <c r="M1218" s="6">
        <v>-0.31</v>
      </c>
      <c r="N1218" s="6">
        <v>0.2</v>
      </c>
      <c r="O1218" s="6">
        <v>0.6</v>
      </c>
      <c r="P1218" s="6">
        <v>0.2</v>
      </c>
      <c r="Q1218" s="7"/>
      <c r="R1218" s="7"/>
    </row>
    <row r="1219" spans="1:18">
      <c r="A1219" s="4" t="s">
        <v>1652</v>
      </c>
      <c r="B1219" s="4">
        <f t="shared" si="18"/>
        <v>5</v>
      </c>
      <c r="C1219" s="4" t="s">
        <v>1653</v>
      </c>
      <c r="D1219" s="1" t="str">
        <f>IFERROR(VLOOKUP(A1219,[1]biopep_DB!$F$2:$J$1654,5,0),)</f>
        <v>Angiotensin I-converting enzyme inhibitory peptides generated from in vitro gastrointestinal digestion of pork meat.; A new QSAR model, for angiotensin I-converting enzyme inhibitory oligopeptides.; Isolation and characterization of peptides with antihypertensive activity in foodstuffs.</v>
      </c>
      <c r="E1219" s="1" t="str">
        <f>IFERROR(VLOOKUP(A1219,[1]biopep_DB!$F$2:$L$1654,6,0),0)</f>
        <v>10.1021/jf904204n; 10.1016/j.foodchem.2012.09.092; 10.1080/10408398.2012.664829</v>
      </c>
      <c r="F1219" s="1" t="str">
        <f>IFERROR(VLOOKUP(A1219,[1]biopep_DB!$F$2:$L$1654,7,0),0)</f>
        <v>20151679 23194537 24915368</v>
      </c>
      <c r="G1219" s="5">
        <v>509.6</v>
      </c>
      <c r="H1219" s="5">
        <v>5.95</v>
      </c>
      <c r="I1219" s="5">
        <v>-0.04</v>
      </c>
      <c r="J1219" s="6">
        <v>-0.26</v>
      </c>
      <c r="K1219" s="5">
        <v>85.04</v>
      </c>
      <c r="L1219" s="6">
        <v>0.8</v>
      </c>
      <c r="M1219" s="6">
        <v>-0.756</v>
      </c>
      <c r="N1219" s="6">
        <v>0</v>
      </c>
      <c r="O1219" s="6">
        <v>0.6</v>
      </c>
      <c r="P1219" s="6">
        <v>0.4</v>
      </c>
      <c r="Q1219" s="7"/>
      <c r="R1219" s="7"/>
    </row>
    <row r="1220" spans="1:18">
      <c r="A1220" s="4" t="s">
        <v>1654</v>
      </c>
      <c r="B1220" s="4">
        <f t="shared" si="18"/>
        <v>9</v>
      </c>
      <c r="C1220" s="4"/>
      <c r="G1220" s="5">
        <v>1033.09</v>
      </c>
      <c r="H1220" s="5">
        <v>4.05</v>
      </c>
      <c r="I1220" s="5">
        <v>-2.04</v>
      </c>
      <c r="J1220" s="6">
        <v>-0.9111</v>
      </c>
      <c r="K1220" s="5">
        <v>137.29</v>
      </c>
      <c r="L1220" s="6">
        <v>0.4444</v>
      </c>
      <c r="M1220" s="6">
        <v>-0.1422</v>
      </c>
      <c r="N1220" s="6">
        <v>0.2222</v>
      </c>
      <c r="O1220" s="6">
        <v>0.3333</v>
      </c>
      <c r="P1220" s="6">
        <v>0.3333</v>
      </c>
      <c r="Q1220" s="7"/>
      <c r="R1220" s="7"/>
    </row>
    <row r="1221" spans="1:18">
      <c r="A1221" s="4" t="s">
        <v>1655</v>
      </c>
      <c r="B1221" s="4">
        <f t="shared" si="18"/>
        <v>15</v>
      </c>
      <c r="C1221" s="4" t="s">
        <v>818</v>
      </c>
      <c r="G1221" s="5">
        <v>1593.77</v>
      </c>
      <c r="H1221" s="5">
        <v>4.05</v>
      </c>
      <c r="I1221" s="5">
        <v>-1.04</v>
      </c>
      <c r="J1221" s="6">
        <v>0.3267</v>
      </c>
      <c r="K1221" s="5">
        <v>57.98</v>
      </c>
      <c r="L1221" s="6">
        <v>0.5333</v>
      </c>
      <c r="M1221" s="6">
        <v>-1.204</v>
      </c>
      <c r="N1221" s="6">
        <v>0.2667</v>
      </c>
      <c r="O1221" s="6">
        <v>0.3333</v>
      </c>
      <c r="P1221" s="6">
        <v>0.4667</v>
      </c>
      <c r="Q1221" s="7"/>
      <c r="R1221" s="7"/>
    </row>
    <row r="1222" spans="1:18">
      <c r="A1222" s="4" t="s">
        <v>1656</v>
      </c>
      <c r="B1222" s="4">
        <f t="shared" ref="B1222:B1285" si="19">LEN(A1222)</f>
        <v>10</v>
      </c>
      <c r="C1222" s="4"/>
      <c r="G1222" s="5">
        <v>1038.24</v>
      </c>
      <c r="H1222" s="5">
        <v>10.18</v>
      </c>
      <c r="I1222" s="5">
        <v>0.96</v>
      </c>
      <c r="J1222" s="6">
        <v>0.49</v>
      </c>
      <c r="K1222" s="5">
        <v>58.29</v>
      </c>
      <c r="L1222" s="6">
        <v>0.7</v>
      </c>
      <c r="M1222" s="6">
        <v>-1.514</v>
      </c>
      <c r="N1222" s="6">
        <v>0.1</v>
      </c>
      <c r="O1222" s="6">
        <v>0.5</v>
      </c>
      <c r="P1222" s="6">
        <v>0.4</v>
      </c>
      <c r="Q1222" s="7"/>
      <c r="R1222" s="7"/>
    </row>
    <row r="1223" spans="1:18">
      <c r="A1223" s="4" t="s">
        <v>1657</v>
      </c>
      <c r="B1223" s="4">
        <f t="shared" si="19"/>
        <v>8</v>
      </c>
      <c r="C1223" s="4"/>
      <c r="G1223" s="5">
        <v>918.01</v>
      </c>
      <c r="H1223" s="5">
        <v>7.17</v>
      </c>
      <c r="I1223" s="5">
        <v>0.05</v>
      </c>
      <c r="J1223" s="6">
        <v>-1.025</v>
      </c>
      <c r="K1223" s="5">
        <v>68.73</v>
      </c>
      <c r="L1223" s="6">
        <v>0.5</v>
      </c>
      <c r="M1223" s="6">
        <v>-0.4212</v>
      </c>
      <c r="N1223" s="6">
        <v>0</v>
      </c>
      <c r="O1223" s="6">
        <v>0.5</v>
      </c>
      <c r="P1223" s="6">
        <v>0.25</v>
      </c>
      <c r="Q1223" s="7"/>
      <c r="R1223" s="7"/>
    </row>
    <row r="1224" spans="1:18">
      <c r="A1224" s="4" t="s">
        <v>1658</v>
      </c>
      <c r="B1224" s="4">
        <f t="shared" si="19"/>
        <v>3</v>
      </c>
      <c r="C1224" s="4"/>
      <c r="D1224" s="1" t="str">
        <f>IFERROR(VLOOKUP(A1224,[1]biopep_DB!$F$2:$J$1654,5,0),)</f>
        <v/>
      </c>
      <c r="G1224" s="5">
        <v>311.38</v>
      </c>
      <c r="H1224" s="5">
        <v>5.95</v>
      </c>
      <c r="I1224" s="5">
        <v>-0.04</v>
      </c>
      <c r="J1224" s="6">
        <v>0.3333</v>
      </c>
      <c r="K1224" s="5">
        <v>135.07</v>
      </c>
      <c r="L1224" s="6">
        <v>1</v>
      </c>
      <c r="M1224" s="6">
        <v>-1.3467</v>
      </c>
      <c r="N1224" s="6">
        <v>0</v>
      </c>
      <c r="O1224" s="6">
        <v>0.6667</v>
      </c>
      <c r="P1224" s="6">
        <v>0.3333</v>
      </c>
      <c r="Q1224" s="7"/>
      <c r="R1224" s="7"/>
    </row>
    <row r="1225" spans="1:18">
      <c r="A1225" s="4" t="s">
        <v>1659</v>
      </c>
      <c r="B1225" s="4">
        <f t="shared" si="19"/>
        <v>5</v>
      </c>
      <c r="C1225" s="4" t="s">
        <v>1613</v>
      </c>
      <c r="D1225" s="1" t="str">
        <f>IFERROR(VLOOKUP(A1225,[1]biopep_DB!$F$2:$J$1654,5,0),)</f>
        <v>Inhibition of angiotensin-converting enzyme by synthetic peptide fragments of various beta-caseins.; A new QSAR model, for angiotensin I-converting enzyme inhibitory oligopeptides.</v>
      </c>
      <c r="E1225" s="1" t="str">
        <f>IFERROR(VLOOKUP(A1225,[1]biopep_DB!$F$2:$L$1654,6,0),0)</f>
        <v>10.1016/j.foodchem.2012.09.092</v>
      </c>
      <c r="F1225" s="1" t="str">
        <f>IFERROR(VLOOKUP(A1225,[1]biopep_DB!$F$2:$L$1654,7,0),0)</f>
        <v>1368548 23194537</v>
      </c>
      <c r="G1225" s="5">
        <v>536.62</v>
      </c>
      <c r="H1225" s="5">
        <v>5.95</v>
      </c>
      <c r="I1225" s="5">
        <v>-0.04</v>
      </c>
      <c r="J1225" s="6">
        <v>-0.82</v>
      </c>
      <c r="K1225" s="5">
        <v>162.08</v>
      </c>
      <c r="L1225" s="6">
        <v>0.8</v>
      </c>
      <c r="M1225" s="6">
        <v>-0.536</v>
      </c>
      <c r="N1225" s="6">
        <v>0</v>
      </c>
      <c r="O1225" s="6">
        <v>0.6</v>
      </c>
      <c r="P1225" s="6">
        <v>0.2</v>
      </c>
      <c r="Q1225" s="7"/>
      <c r="R1225" s="7"/>
    </row>
    <row r="1226" spans="1:18">
      <c r="A1226" s="4" t="s">
        <v>1660</v>
      </c>
      <c r="B1226" s="4">
        <f t="shared" si="19"/>
        <v>15</v>
      </c>
      <c r="C1226" s="4"/>
      <c r="D1226" s="1" t="str">
        <f>IFERROR(VLOOKUP(A1226,[1]biopep_DB!$F$2:$J$1654,5,0),)</f>
        <v>Inhibition of angiotensin-converting enzyme by synthetic peptide fragments of various beta-caseins.</v>
      </c>
      <c r="E1226" s="1" t="str">
        <f>IFERROR(VLOOKUP(A1226,[1]biopep_DB!$F$2:$L$1654,6,0),0)</f>
        <v/>
      </c>
      <c r="F1226" s="1" t="str">
        <f>IFERROR(VLOOKUP(A1226,[1]biopep_DB!$F$2:$L$1654,7,0),0)</f>
        <v>1368548</v>
      </c>
      <c r="G1226" s="5">
        <v>1674.98</v>
      </c>
      <c r="H1226" s="5">
        <v>4.05</v>
      </c>
      <c r="I1226" s="5">
        <v>-1.04</v>
      </c>
      <c r="J1226" s="6">
        <v>0.54</v>
      </c>
      <c r="K1226" s="5">
        <v>28.07</v>
      </c>
      <c r="L1226" s="6">
        <v>0.6667</v>
      </c>
      <c r="M1226" s="6">
        <v>-1.8513</v>
      </c>
      <c r="N1226" s="6">
        <v>0.5333</v>
      </c>
      <c r="O1226" s="6">
        <v>0.2667</v>
      </c>
      <c r="P1226" s="6">
        <v>0.4667</v>
      </c>
      <c r="Q1226" s="7"/>
      <c r="R1226" s="7"/>
    </row>
    <row r="1227" spans="1:18">
      <c r="A1227" s="4" t="s">
        <v>1661</v>
      </c>
      <c r="B1227" s="4">
        <f t="shared" si="19"/>
        <v>6</v>
      </c>
      <c r="C1227" s="4" t="s">
        <v>1370</v>
      </c>
      <c r="D1227" s="1" t="str">
        <f>IFERROR(VLOOKUP(A1227,[1]biopep_DB!$F$2:$J$1654,5,0),)</f>
        <v>Inhibition of angiotensin-converting enzyme by synthetic peptide fragments of various beta-caseins.; A new QSAR model, for angiotensin I-converting enzyme inhibitory oligopeptides.</v>
      </c>
      <c r="E1227" s="1" t="str">
        <f>IFERROR(VLOOKUP(A1227,[1]biopep_DB!$F$2:$L$1654,6,0),0)</f>
        <v>10.1016/j.foodchem.2012.09.092</v>
      </c>
      <c r="F1227" s="1" t="str">
        <f>IFERROR(VLOOKUP(A1227,[1]biopep_DB!$F$2:$L$1654,7,0),0)</f>
        <v>1368548 23194537</v>
      </c>
      <c r="G1227" s="5">
        <v>637.77</v>
      </c>
      <c r="H1227" s="5">
        <v>10.18</v>
      </c>
      <c r="I1227" s="5">
        <v>0.96</v>
      </c>
      <c r="J1227" s="6">
        <v>0.4167</v>
      </c>
      <c r="K1227" s="5">
        <v>72.53</v>
      </c>
      <c r="L1227" s="6">
        <v>0.8333</v>
      </c>
      <c r="M1227" s="6">
        <v>-1.195</v>
      </c>
      <c r="N1227" s="6">
        <v>0.1667</v>
      </c>
      <c r="O1227" s="6">
        <v>0.3333</v>
      </c>
      <c r="P1227" s="6">
        <v>0.3333</v>
      </c>
      <c r="Q1227" s="7"/>
      <c r="R1227" s="7"/>
    </row>
    <row r="1228" spans="1:18">
      <c r="A1228" s="4" t="s">
        <v>1662</v>
      </c>
      <c r="B1228" s="4">
        <f t="shared" si="19"/>
        <v>10</v>
      </c>
      <c r="C1228" s="4"/>
      <c r="D1228" s="1" t="str">
        <f>IFERROR(VLOOKUP(A1228,[1]biopep_DB!$F$2:$J$1654,5,0),)</f>
        <v/>
      </c>
      <c r="E1228" s="1" t="str">
        <f>IFERROR(VLOOKUP(A1228,[1]biopep_DB!$F$2:$L$1654,6,0),0)</f>
        <v/>
      </c>
      <c r="F1228" s="1" t="str">
        <f>IFERROR(VLOOKUP(A1228,[1]biopep_DB!$F$2:$L$1654,7,0),0)</f>
        <v/>
      </c>
      <c r="G1228" s="5">
        <v>1094.35</v>
      </c>
      <c r="H1228" s="5">
        <v>10.18</v>
      </c>
      <c r="I1228" s="5">
        <v>0.96</v>
      </c>
      <c r="J1228" s="6">
        <v>1.05</v>
      </c>
      <c r="K1228" s="5">
        <v>49.8</v>
      </c>
      <c r="L1228" s="6">
        <v>0.8</v>
      </c>
      <c r="M1228" s="6">
        <v>-1.912</v>
      </c>
      <c r="N1228" s="6">
        <v>0</v>
      </c>
      <c r="O1228" s="6">
        <v>0.4</v>
      </c>
      <c r="P1228" s="6">
        <v>0.5</v>
      </c>
      <c r="Q1228" s="7"/>
      <c r="R1228" s="7"/>
    </row>
    <row r="1229" spans="1:18">
      <c r="A1229" s="4" t="s">
        <v>1663</v>
      </c>
      <c r="B1229" s="4">
        <f t="shared" si="19"/>
        <v>9</v>
      </c>
      <c r="C1229" s="4"/>
      <c r="D1229" s="1" t="str">
        <f>IFERROR(VLOOKUP(A1229,[1]biopep_DB!$F$2:$J$1654,5,0),)</f>
        <v/>
      </c>
      <c r="E1229" s="1" t="str">
        <f>IFERROR(VLOOKUP(A1229,[1]biopep_DB!$F$2:$L$1654,6,0),0)</f>
        <v/>
      </c>
      <c r="F1229" s="1" t="str">
        <f>IFERROR(VLOOKUP(A1229,[1]biopep_DB!$F$2:$L$1654,7,0),0)</f>
        <v/>
      </c>
      <c r="G1229" s="5">
        <v>995.21</v>
      </c>
      <c r="H1229" s="5">
        <v>5.95</v>
      </c>
      <c r="I1229" s="5">
        <v>-0.04</v>
      </c>
      <c r="J1229" s="6">
        <v>1.2111</v>
      </c>
      <c r="K1229" s="5">
        <v>130.71</v>
      </c>
      <c r="L1229" s="6">
        <v>0.8889</v>
      </c>
      <c r="M1229" s="6">
        <v>-2.0733</v>
      </c>
      <c r="N1229" s="6">
        <v>0.1111</v>
      </c>
      <c r="O1229" s="6">
        <v>0.3333</v>
      </c>
      <c r="P1229" s="6">
        <v>0.5556</v>
      </c>
      <c r="Q1229" s="7"/>
      <c r="R1229" s="7"/>
    </row>
    <row r="1230" spans="1:18">
      <c r="A1230" s="4" t="s">
        <v>1664</v>
      </c>
      <c r="B1230" s="4">
        <f t="shared" si="19"/>
        <v>12</v>
      </c>
      <c r="C1230" s="4"/>
      <c r="G1230" s="5">
        <v>1320.57</v>
      </c>
      <c r="H1230" s="5">
        <v>4.05</v>
      </c>
      <c r="I1230" s="5">
        <v>-1.04</v>
      </c>
      <c r="J1230" s="6">
        <v>0.8333</v>
      </c>
      <c r="K1230" s="5">
        <v>131.07</v>
      </c>
      <c r="L1230" s="6">
        <v>0.8333</v>
      </c>
      <c r="M1230" s="6">
        <v>-1.755</v>
      </c>
      <c r="N1230" s="6">
        <v>0.1667</v>
      </c>
      <c r="O1230" s="6">
        <v>0.3333</v>
      </c>
      <c r="P1230" s="6">
        <v>0.5</v>
      </c>
      <c r="Q1230" s="7"/>
      <c r="R1230" s="7"/>
    </row>
    <row r="1231" spans="1:18">
      <c r="A1231" s="4" t="s">
        <v>1665</v>
      </c>
      <c r="B1231" s="4">
        <f t="shared" si="19"/>
        <v>2</v>
      </c>
      <c r="C1231" s="4"/>
      <c r="D1231" s="1" t="str">
        <f>IFERROR(VLOOKUP(A1231,[1]biopep_DB!$F$2:$J$1654,5,0),)</f>
        <v>Three-dimensional holograph vector of atomic interaction field (3D-HoVAIF): a novel rotation-translation invariant 3D structure descriptor and its applications to peptides.</v>
      </c>
      <c r="E1231" s="1" t="str">
        <f>IFERROR(VLOOKUP(A1231,[1]biopep_DB!$F$2:$L$1654,6,0),0)</f>
        <v>10.1002/psc.892</v>
      </c>
      <c r="F1231" s="1" t="str">
        <f>IFERROR(VLOOKUP(A1231,[1]biopep_DB!$F$2:$L$1654,7,0),0)</f>
        <v>17654623</v>
      </c>
      <c r="G1231" s="5">
        <v>278.3</v>
      </c>
      <c r="H1231" s="5">
        <v>5.95</v>
      </c>
      <c r="I1231" s="5">
        <v>-0.04</v>
      </c>
      <c r="J1231" s="6">
        <v>-1.45</v>
      </c>
      <c r="K1231" s="5">
        <v>5</v>
      </c>
      <c r="L1231" s="6">
        <v>0.5</v>
      </c>
      <c r="M1231" s="6">
        <v>0.07</v>
      </c>
      <c r="N1231" s="6">
        <v>0</v>
      </c>
      <c r="O1231" s="6">
        <v>0.5</v>
      </c>
      <c r="P1231" s="6">
        <v>0.5</v>
      </c>
      <c r="Q1231" s="7"/>
      <c r="R1231" s="7"/>
    </row>
    <row r="1232" spans="1:18">
      <c r="A1232" s="4" t="s">
        <v>1666</v>
      </c>
      <c r="B1232" s="4">
        <f t="shared" si="19"/>
        <v>3</v>
      </c>
      <c r="C1232" s="4" t="s">
        <v>1667</v>
      </c>
      <c r="D1232" s="1" t="str">
        <f>IFERROR(VLOOKUP(A1232,[1]biopep_DB!$F$2:$J$1654,5,0),)</f>
        <v>Inhibition strength of short peptides derived from an ACE inhibitory peptide.</v>
      </c>
      <c r="E1232" s="1" t="str">
        <f>IFERROR(VLOOKUP(A1232,[1]biopep_DB!$F$2:$L$1654,6,0),0)</f>
        <v>10.1021/jf202902r</v>
      </c>
      <c r="F1232" s="1" t="str">
        <f>IFERROR(VLOOKUP(A1232,[1]biopep_DB!$F$2:$L$1654,7,0),0)</f>
        <v>21923188</v>
      </c>
      <c r="G1232" s="5">
        <v>406.48</v>
      </c>
      <c r="H1232" s="5">
        <v>9.01</v>
      </c>
      <c r="I1232" s="5">
        <v>0.96</v>
      </c>
      <c r="J1232" s="6">
        <v>-2.2667</v>
      </c>
      <c r="K1232" s="5">
        <v>6.67</v>
      </c>
      <c r="L1232" s="6">
        <v>0.3333</v>
      </c>
      <c r="M1232" s="6">
        <v>0.5733</v>
      </c>
      <c r="N1232" s="6">
        <v>0.3333</v>
      </c>
      <c r="O1232" s="6">
        <v>0.3333</v>
      </c>
      <c r="P1232" s="6">
        <v>0.3333</v>
      </c>
      <c r="Q1232" s="7"/>
      <c r="R1232" s="7"/>
    </row>
    <row r="1233" spans="1:18">
      <c r="A1233" s="4" t="s">
        <v>1668</v>
      </c>
      <c r="B1233" s="4">
        <f t="shared" si="19"/>
        <v>4</v>
      </c>
      <c r="C1233" s="4" t="s">
        <v>1669</v>
      </c>
      <c r="D1233" s="1" t="str">
        <f>IFERROR(VLOOKUP(A1233,[1]biopep_DB!$F$2:$J$1654,5,0),)</f>
        <v>Inhibition strength of short peptides derived from an ACE inhibitory peptide.</v>
      </c>
      <c r="E1233" s="1" t="str">
        <f>IFERROR(VLOOKUP(A1233,[1]biopep_DB!$F$2:$L$1654,6,0),0)</f>
        <v>10.1021/jf202902r</v>
      </c>
      <c r="F1233" s="1" t="str">
        <f>IFERROR(VLOOKUP(A1233,[1]biopep_DB!$F$2:$L$1654,7,0),0)</f>
        <v>21923188</v>
      </c>
      <c r="G1233" s="5">
        <v>592.69</v>
      </c>
      <c r="H1233" s="5">
        <v>9.01</v>
      </c>
      <c r="I1233" s="5">
        <v>0.96</v>
      </c>
      <c r="J1233" s="6">
        <v>-1.925</v>
      </c>
      <c r="K1233" s="5">
        <v>7.5</v>
      </c>
      <c r="L1233" s="6">
        <v>0.5</v>
      </c>
      <c r="M1233" s="6">
        <v>-0.1525</v>
      </c>
      <c r="N1233" s="6">
        <v>0.25</v>
      </c>
      <c r="O1233" s="6">
        <v>0.25</v>
      </c>
      <c r="P1233" s="6">
        <v>0.5</v>
      </c>
      <c r="Q1233" s="7"/>
      <c r="R1233" s="7"/>
    </row>
    <row r="1234" spans="1:18">
      <c r="A1234" s="4" t="s">
        <v>1670</v>
      </c>
      <c r="B1234" s="4">
        <f t="shared" si="19"/>
        <v>6</v>
      </c>
      <c r="C1234" s="4" t="s">
        <v>1671</v>
      </c>
      <c r="D1234" s="1" t="str">
        <f>IFERROR(VLOOKUP(A1234,[1]biopep_DB!$F$2:$J$1654,5,0),)</f>
        <v>Inhibition strength of short peptides derived from an ACE inhibitory peptide.</v>
      </c>
      <c r="E1234" s="1" t="str">
        <f>IFERROR(VLOOKUP(A1234,[1]biopep_DB!$F$2:$L$1654,6,0),0)</f>
        <v>10.1021/jf202902r</v>
      </c>
      <c r="F1234" s="1" t="str">
        <f>IFERROR(VLOOKUP(A1234,[1]biopep_DB!$F$2:$L$1654,7,0),0)</f>
        <v>21923188</v>
      </c>
      <c r="G1234" s="5">
        <v>802.96</v>
      </c>
      <c r="H1234" s="5">
        <v>9.01</v>
      </c>
      <c r="I1234" s="5">
        <v>0.96</v>
      </c>
      <c r="J1234" s="6">
        <v>-0.9167</v>
      </c>
      <c r="K1234" s="5">
        <v>61</v>
      </c>
      <c r="L1234" s="6">
        <v>0.6667</v>
      </c>
      <c r="M1234" s="6">
        <v>-0.9217</v>
      </c>
      <c r="N1234" s="6">
        <v>0.3333</v>
      </c>
      <c r="O1234" s="6">
        <v>0.3333</v>
      </c>
      <c r="P1234" s="6">
        <v>0.5</v>
      </c>
      <c r="Q1234" s="7"/>
      <c r="R1234" s="7"/>
    </row>
    <row r="1235" spans="1:18">
      <c r="A1235" s="4" t="s">
        <v>1672</v>
      </c>
      <c r="B1235" s="4">
        <f t="shared" si="19"/>
        <v>3</v>
      </c>
      <c r="C1235" s="4" t="s">
        <v>36</v>
      </c>
      <c r="D1235" s="1" t="str">
        <f>IFERROR(VLOOKUP(A1235,[1]biopep_DB!$F$2:$J$1654,5,0),)</f>
        <v>Structural requirements of Angiotensin I-converting enzyme inhibitory peptides: quantitative structure-activity relationship study of di- and tripeptides.; Evaluation of the allergenicity of goat milk, cow milk, and their lactosera in a guinea pig model.</v>
      </c>
      <c r="E1235" s="1" t="str">
        <f>IFERROR(VLOOKUP(A1235,[1]biopep_DB!$F$2:$L$1654,6,0),0)</f>
        <v>10.1021/jf051263l; 10.3168/jds.2008-1125</v>
      </c>
      <c r="F1235" s="1" t="str">
        <f>IFERROR(VLOOKUP(A1235,[1]biopep_DB!$F$2:$L$1654,7,0),0)</f>
        <v>16448176 19233776</v>
      </c>
      <c r="G1235" s="5">
        <v>375.42</v>
      </c>
      <c r="H1235" s="5">
        <v>5.95</v>
      </c>
      <c r="I1235" s="5">
        <v>-0.04</v>
      </c>
      <c r="J1235" s="6">
        <v>-1.5</v>
      </c>
      <c r="K1235" s="5">
        <v>47.8</v>
      </c>
      <c r="L1235" s="6">
        <v>0.6667</v>
      </c>
      <c r="M1235" s="6">
        <v>0.0467</v>
      </c>
      <c r="N1235" s="6">
        <v>0</v>
      </c>
      <c r="O1235" s="6">
        <v>0.6667</v>
      </c>
      <c r="P1235" s="6">
        <v>0.3333</v>
      </c>
      <c r="Q1235" s="7"/>
      <c r="R1235" s="7"/>
    </row>
    <row r="1236" spans="1:18">
      <c r="A1236" s="4" t="s">
        <v>1673</v>
      </c>
      <c r="B1236" s="4">
        <f t="shared" si="19"/>
        <v>6</v>
      </c>
      <c r="C1236" s="4" t="s">
        <v>579</v>
      </c>
      <c r="D1236" s="1" t="str">
        <f>IFERROR(VLOOKUP(A1236,[1]biopep_DB!$F$2:$J$1654,5,0),)</f>
        <v>Angiotensin-converting enzyme inhibitory activity of peptides derived from caprine kefir.; Antihypertensive peptides: production, bioavailability and incorporation into foods.; Antihypertensive peptides from food proteins: a review.; Novel angiotensin I-converting enzyme inhibitory peptides derived from an edible mushroom, Pleurotus cystidiosus O.K. Miller identified by LC-MS/MS.; Isolation and characterization of peptides with antihypertensive activity in foodstuffs.</v>
      </c>
      <c r="E1236" s="1" t="str">
        <f>IFERROR(VLOOKUP(A1236,[1]biopep_DB!$F$2:$L$1654,6,0),0)</f>
        <v>10.3168/jds.S0022-0302(05)73032-0; 10.1016/j.cis.2010.11.001; 10.1039/c2fo10192k; 10.1186/1472-6882-13-313; 10.1080/10408398.2012.664829</v>
      </c>
      <c r="F1236" s="1" t="str">
        <f>IFERROR(VLOOKUP(A1236,[1]biopep_DB!$F$2:$L$1654,7,0),0)</f>
        <v>16162521 21185549 22249830 24215325 24915368</v>
      </c>
      <c r="G1236" s="5">
        <v>809.95</v>
      </c>
      <c r="H1236" s="5">
        <v>9</v>
      </c>
      <c r="I1236" s="5">
        <v>0.96</v>
      </c>
      <c r="J1236" s="6">
        <v>-0.1167</v>
      </c>
      <c r="K1236" s="5">
        <v>-4.23</v>
      </c>
      <c r="L1236" s="6">
        <v>0.5</v>
      </c>
      <c r="M1236" s="6">
        <v>-0.9933</v>
      </c>
      <c r="N1236" s="6">
        <v>0.1667</v>
      </c>
      <c r="O1236" s="6">
        <v>0.1667</v>
      </c>
      <c r="P1236" s="6">
        <v>0.6667</v>
      </c>
      <c r="Q1236" s="7"/>
      <c r="R1236" s="7"/>
    </row>
    <row r="1237" spans="1:18">
      <c r="A1237" s="4" t="s">
        <v>1674</v>
      </c>
      <c r="B1237" s="4">
        <f t="shared" si="19"/>
        <v>4</v>
      </c>
      <c r="C1237" s="4" t="s">
        <v>559</v>
      </c>
      <c r="D1237" s="1" t="str">
        <f>IFERROR(VLOOKUP(A1237,[1]biopep_DB!$F$2:$J$1654,5,0),)</f>
        <v/>
      </c>
      <c r="E1237" s="1" t="str">
        <f>IFERROR(VLOOKUP(A1237,[1]biopep_DB!$F$2:$L$1654,6,0),0)</f>
        <v/>
      </c>
      <c r="F1237" s="1" t="str">
        <f>IFERROR(VLOOKUP(A1237,[1]biopep_DB!$F$2:$L$1654,7,0),0)</f>
        <v/>
      </c>
      <c r="G1237" s="5">
        <v>465.5</v>
      </c>
      <c r="H1237" s="5">
        <v>5.53</v>
      </c>
      <c r="I1237" s="5">
        <v>-0.24</v>
      </c>
      <c r="J1237" s="6">
        <v>0.1</v>
      </c>
      <c r="K1237" s="5">
        <v>7.5</v>
      </c>
      <c r="L1237" s="6">
        <v>0.5</v>
      </c>
      <c r="M1237" s="6">
        <v>-0.7925</v>
      </c>
      <c r="N1237" s="6">
        <v>0.25</v>
      </c>
      <c r="O1237" s="6">
        <v>0</v>
      </c>
      <c r="P1237" s="6">
        <v>0.5</v>
      </c>
      <c r="Q1237" s="7"/>
      <c r="R1237" s="7"/>
    </row>
    <row r="1238" spans="1:18">
      <c r="A1238" s="4" t="s">
        <v>1675</v>
      </c>
      <c r="B1238" s="4">
        <f t="shared" si="19"/>
        <v>13</v>
      </c>
      <c r="C1238" s="4"/>
      <c r="G1238" s="5">
        <v>1392.6</v>
      </c>
      <c r="H1238" s="5">
        <v>6</v>
      </c>
      <c r="I1238" s="5">
        <v>-0.24</v>
      </c>
      <c r="J1238" s="6">
        <v>-0.2846</v>
      </c>
      <c r="K1238" s="5">
        <v>91.59</v>
      </c>
      <c r="L1238" s="6">
        <v>0.6154</v>
      </c>
      <c r="M1238" s="6">
        <v>-0.9338</v>
      </c>
      <c r="N1238" s="6">
        <v>0.1538</v>
      </c>
      <c r="O1238" s="6">
        <v>0.4615</v>
      </c>
      <c r="P1238" s="6">
        <v>0.3077</v>
      </c>
      <c r="Q1238" s="7"/>
      <c r="R1238" s="7"/>
    </row>
    <row r="1239" spans="1:18">
      <c r="A1239" s="4" t="s">
        <v>1676</v>
      </c>
      <c r="B1239" s="4">
        <f t="shared" si="19"/>
        <v>5</v>
      </c>
      <c r="C1239" s="4" t="s">
        <v>311</v>
      </c>
      <c r="D1239" s="1" t="str">
        <f>IFERROR(VLOOKUP(A1239,[1]biopep_DB!$F$2:$J$1654,5,0),)</f>
        <v>Inhibition of angiotensin-converting enzyme by synthetic peptide fragments of various beta-caseins.</v>
      </c>
      <c r="E1239" s="1" t="str">
        <f>IFERROR(VLOOKUP(A1239,[1]biopep_DB!$F$2:$L$1654,6,0),0)</f>
        <v/>
      </c>
      <c r="F1239" s="1" t="str">
        <f>IFERROR(VLOOKUP(A1239,[1]biopep_DB!$F$2:$L$1654,7,0),0)</f>
        <v>1368548</v>
      </c>
      <c r="G1239" s="5">
        <v>584.66</v>
      </c>
      <c r="H1239" s="5">
        <v>4.05</v>
      </c>
      <c r="I1239" s="5">
        <v>-1.24</v>
      </c>
      <c r="J1239" s="6">
        <v>-0.12</v>
      </c>
      <c r="K1239" s="5">
        <v>85.04</v>
      </c>
      <c r="L1239" s="6">
        <v>0.6</v>
      </c>
      <c r="M1239" s="6">
        <v>-1.192</v>
      </c>
      <c r="N1239" s="6">
        <v>0.4</v>
      </c>
      <c r="O1239" s="6">
        <v>0.2</v>
      </c>
      <c r="P1239" s="6">
        <v>0.4</v>
      </c>
      <c r="Q1239" s="7"/>
      <c r="R1239" s="7"/>
    </row>
    <row r="1240" spans="1:18">
      <c r="A1240" s="4" t="s">
        <v>1677</v>
      </c>
      <c r="B1240" s="4">
        <f t="shared" si="19"/>
        <v>2</v>
      </c>
      <c r="C1240" s="4"/>
      <c r="D1240" s="1" t="str">
        <f>IFERROR(VLOOKUP(A1240,[1]biopep_DB!$F$2:$J$1654,5,0),)</f>
        <v>Peptides with angiotensin I converting enzyme (ACE) inhibitory activity generated from porcine skeletal muscle proteins by the action of meat-borne Lactobacillus.</v>
      </c>
      <c r="E1240" s="1" t="str">
        <f>IFERROR(VLOOKUP(A1240,[1]biopep_DB!$F$2:$L$1654,6,0),0)</f>
        <v>10.1016/j.jprot.2013.06.023</v>
      </c>
      <c r="F1240" s="1" t="str">
        <f>IFERROR(VLOOKUP(A1240,[1]biopep_DB!$F$2:$L$1654,7,0),0)</f>
        <v>23806758</v>
      </c>
      <c r="G1240" s="5">
        <v>293.32</v>
      </c>
      <c r="H1240" s="5">
        <v>5.53</v>
      </c>
      <c r="I1240" s="5">
        <v>-0.24</v>
      </c>
      <c r="J1240" s="6">
        <v>-0.35</v>
      </c>
      <c r="K1240" s="5">
        <v>-32.7</v>
      </c>
      <c r="L1240" s="6">
        <v>0.5</v>
      </c>
      <c r="M1240" s="6">
        <v>-0.81</v>
      </c>
      <c r="N1240" s="6">
        <v>0</v>
      </c>
      <c r="O1240" s="6">
        <v>0</v>
      </c>
      <c r="P1240" s="6">
        <v>0.5</v>
      </c>
      <c r="Q1240" s="7"/>
      <c r="R1240" s="7"/>
    </row>
    <row r="1241" spans="1:18">
      <c r="A1241" s="4" t="s">
        <v>1678</v>
      </c>
      <c r="B1241" s="4">
        <f t="shared" si="19"/>
        <v>6</v>
      </c>
      <c r="C1241" s="4"/>
      <c r="D1241" s="1" t="str">
        <f>IFERROR(VLOOKUP(A1241,[1]biopep_DB!$F$2:$J$1654,5,0),)</f>
        <v>Hot topic: Changes in angiotensin-converting enzyme inhibition and concentrations of the tripeptides Val-Pro-Pro and Ile-Pro-Pro during ripening of different Swiss cheese varieties.</v>
      </c>
      <c r="E1241" s="1" t="str">
        <f>IFERROR(VLOOKUP(A1241,[1]biopep_DB!$F$2:$L$1654,6,0),0)</f>
        <v>10.3168/jds.2008-1531</v>
      </c>
      <c r="F1241" s="1" t="str">
        <f>IFERROR(VLOOKUP(A1241,[1]biopep_DB!$F$2:$L$1654,7,0),0)</f>
        <v>19233775</v>
      </c>
      <c r="G1241" s="5">
        <v>812.87</v>
      </c>
      <c r="H1241" s="5">
        <v>4.3</v>
      </c>
      <c r="I1241" s="5">
        <v>-1.24</v>
      </c>
      <c r="J1241" s="6">
        <v>-0.8667</v>
      </c>
      <c r="K1241" s="5">
        <v>50.1</v>
      </c>
      <c r="L1241" s="6">
        <v>0.3333</v>
      </c>
      <c r="M1241" s="6">
        <v>-0.56</v>
      </c>
      <c r="N1241" s="6">
        <v>0.1667</v>
      </c>
      <c r="O1241" s="6">
        <v>0.1667</v>
      </c>
      <c r="P1241" s="6">
        <v>0.5</v>
      </c>
      <c r="Q1241" s="7"/>
      <c r="R1241" s="7"/>
    </row>
    <row r="1242" spans="1:18">
      <c r="A1242" s="4" t="s">
        <v>1679</v>
      </c>
      <c r="B1242" s="4">
        <f t="shared" si="19"/>
        <v>2</v>
      </c>
      <c r="C1242" s="4" t="s">
        <v>36</v>
      </c>
      <c r="D1242" s="1" t="str">
        <f>IFERROR(VLOOKUP(A1242,[1]biopep_DB!$F$2:$J$1654,5,0),)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What are the ideal properties for functional food peptides with antihypertensive effect? A computational peptidology approach.</v>
      </c>
      <c r="E1242" s="1" t="str">
        <f>IFERROR(VLOOKUP(A1242,[1]biopep_DB!$F$2:$L$1654,6,0),0)</f>
        <v>10.1021/jf051263l; 10.1002/psc.892; 10.1007/s00894-010-0862-x; 10.1016/j.foodchem.2013.05.140</v>
      </c>
      <c r="F1242" s="1" t="str">
        <f>IFERROR(VLOOKUP(A1242,[1]biopep_DB!$F$2:$L$1654,7,0),0)</f>
        <v>6243277 16448176 17654623 20941517 23871047</v>
      </c>
      <c r="G1242" s="5">
        <v>203.2</v>
      </c>
      <c r="H1242" s="5">
        <v>5.53</v>
      </c>
      <c r="I1242" s="5">
        <v>-0.24</v>
      </c>
      <c r="J1242" s="6">
        <v>-1.95</v>
      </c>
      <c r="K1242" s="5">
        <v>5</v>
      </c>
      <c r="L1242" s="6">
        <v>0</v>
      </c>
      <c r="M1242" s="6">
        <v>0.21</v>
      </c>
      <c r="N1242" s="6">
        <v>0</v>
      </c>
      <c r="O1242" s="6">
        <v>0.5</v>
      </c>
      <c r="P1242" s="6">
        <v>0</v>
      </c>
      <c r="Q1242" s="7"/>
      <c r="R1242" s="7"/>
    </row>
    <row r="1243" spans="1:18">
      <c r="A1243" s="4" t="s">
        <v>1680</v>
      </c>
      <c r="B1243" s="4">
        <f t="shared" si="19"/>
        <v>3</v>
      </c>
      <c r="C1243" s="4"/>
      <c r="D1243" s="1" t="str">
        <f>IFERROR(VLOOKUP(A1243,[1]biopep_DB!$F$2:$J$1654,5,0),)</f>
        <v/>
      </c>
      <c r="E1243" s="1" t="str">
        <f>IFERROR(VLOOKUP(A1243,[1]biopep_DB!$F$2:$L$1654,6,0),0)</f>
        <v/>
      </c>
      <c r="F1243" s="1" t="str">
        <f>IFERROR(VLOOKUP(A1243,[1]biopep_DB!$F$2:$L$1654,7,0),0)</f>
        <v/>
      </c>
      <c r="G1243" s="5">
        <v>359.38</v>
      </c>
      <c r="H1243" s="5">
        <v>9.75</v>
      </c>
      <c r="I1243" s="5">
        <v>0.76</v>
      </c>
      <c r="J1243" s="6">
        <v>-2.8</v>
      </c>
      <c r="K1243" s="5">
        <v>6.67</v>
      </c>
      <c r="L1243" s="6">
        <v>0</v>
      </c>
      <c r="M1243" s="6">
        <v>1.0467</v>
      </c>
      <c r="N1243" s="6">
        <v>0</v>
      </c>
      <c r="O1243" s="6">
        <v>0.3333</v>
      </c>
      <c r="P1243" s="6">
        <v>0</v>
      </c>
      <c r="Q1243" s="7"/>
      <c r="R1243" s="7"/>
    </row>
    <row r="1244" spans="1:18">
      <c r="A1244" s="4" t="s">
        <v>1681</v>
      </c>
      <c r="B1244" s="4">
        <f t="shared" si="19"/>
        <v>5</v>
      </c>
      <c r="C1244" s="4" t="s">
        <v>31</v>
      </c>
      <c r="D1244" s="1" t="str">
        <f>IFERROR(VLOOKUP(A1244,[1]biopep_DB!$F$2:$J$1654,5,0),)</f>
        <v/>
      </c>
      <c r="E1244" s="1" t="str">
        <f>IFERROR(VLOOKUP(A1244,[1]biopep_DB!$F$2:$L$1654,6,0),0)</f>
        <v/>
      </c>
      <c r="F1244" s="1" t="str">
        <f>IFERROR(VLOOKUP(A1244,[1]biopep_DB!$F$2:$L$1654,7,0),0)</f>
        <v/>
      </c>
      <c r="G1244" s="5">
        <v>584.58</v>
      </c>
      <c r="H1244" s="5">
        <v>5.24</v>
      </c>
      <c r="I1244" s="5">
        <v>-1.15</v>
      </c>
      <c r="J1244" s="6">
        <v>-1.82</v>
      </c>
      <c r="K1244" s="5">
        <v>8</v>
      </c>
      <c r="L1244" s="6">
        <v>0.2</v>
      </c>
      <c r="M1244" s="6">
        <v>0.488</v>
      </c>
      <c r="N1244" s="6">
        <v>0.4</v>
      </c>
      <c r="O1244" s="6">
        <v>0</v>
      </c>
      <c r="P1244" s="6">
        <v>0.2</v>
      </c>
      <c r="Q1244" s="7"/>
      <c r="R1244" s="7"/>
    </row>
    <row r="1245" spans="1:18">
      <c r="A1245" s="4" t="s">
        <v>1682</v>
      </c>
      <c r="B1245" s="4">
        <f t="shared" si="19"/>
        <v>5</v>
      </c>
      <c r="C1245" s="4" t="s">
        <v>1683</v>
      </c>
      <c r="D1245" s="1" t="str">
        <f>IFERROR(VLOOKUP(A1245,[1]biopep_DB!$F$2:$J$1654,5,0),)</f>
        <v/>
      </c>
      <c r="E1245" s="1" t="str">
        <f>IFERROR(VLOOKUP(A1245,[1]biopep_DB!$F$2:$L$1654,6,0),0)</f>
        <v/>
      </c>
      <c r="F1245" s="1" t="str">
        <f>IFERROR(VLOOKUP(A1245,[1]biopep_DB!$F$2:$L$1654,7,0),0)</f>
        <v/>
      </c>
      <c r="G1245" s="5">
        <v>576.68</v>
      </c>
      <c r="H1245" s="5">
        <v>5.53</v>
      </c>
      <c r="I1245" s="5">
        <v>-0.24</v>
      </c>
      <c r="J1245" s="6">
        <v>1.44</v>
      </c>
      <c r="K1245" s="5">
        <v>8</v>
      </c>
      <c r="L1245" s="6">
        <v>0.6</v>
      </c>
      <c r="M1245" s="6">
        <v>-2.48</v>
      </c>
      <c r="N1245" s="6">
        <v>0.2</v>
      </c>
      <c r="O1245" s="6">
        <v>0.2</v>
      </c>
      <c r="P1245" s="6">
        <v>0.6</v>
      </c>
      <c r="Q1245" s="7"/>
      <c r="R1245" s="7"/>
    </row>
    <row r="1246" spans="1:18">
      <c r="A1246" s="4" t="s">
        <v>1684</v>
      </c>
      <c r="B1246" s="4">
        <f t="shared" si="19"/>
        <v>2</v>
      </c>
      <c r="C1246" s="4" t="s">
        <v>36</v>
      </c>
      <c r="D1246" s="1" t="str">
        <f>IFERROR(VLOOKUP(A1246,[1]biopep_DB!$F$2:$J$1654,5,0),)</f>
        <v>Structural requirements of Angiotensin I-converting enzyme inhibitory peptides: quantitative structure-activity relationship study of di- and tripeptides.; Model of the exofacial substrate-binding site and helical folding of the human Glut1 glucose transporter based on scanning mutagenesis.; Peptides with angiotensin I converting enzyme (ACE) inhibitory activity generated from porcine skeletal muscle proteins by the action of meat-borne Lactobacillus.</v>
      </c>
      <c r="E1246" s="1" t="str">
        <f>IFERROR(VLOOKUP(A1246,[1]biopep_DB!$F$2:$L$1654,6,0),0)</f>
        <v>10.1021/jf051263l; 10.1021/bi900521n; 10.1016/j.jprot.2013.06.023</v>
      </c>
      <c r="F1246" s="1" t="str">
        <f>IFERROR(VLOOKUP(A1246,[1]biopep_DB!$F$2:$L$1654,7,0),0)</f>
        <v>16448176 19449892 23806758</v>
      </c>
      <c r="G1246" s="5">
        <v>274.32</v>
      </c>
      <c r="H1246" s="5">
        <v>8.75</v>
      </c>
      <c r="I1246" s="5">
        <v>0.76</v>
      </c>
      <c r="J1246" s="6">
        <v>-3.7</v>
      </c>
      <c r="K1246" s="5">
        <v>5</v>
      </c>
      <c r="L1246" s="6">
        <v>0</v>
      </c>
      <c r="M1246" s="6">
        <v>1.47</v>
      </c>
      <c r="N1246" s="6">
        <v>0.5</v>
      </c>
      <c r="O1246" s="6">
        <v>0</v>
      </c>
      <c r="P1246" s="6">
        <v>0</v>
      </c>
      <c r="Q1246" s="7"/>
      <c r="R1246" s="7"/>
    </row>
    <row r="1247" spans="1:18">
      <c r="A1247" s="4" t="s">
        <v>1685</v>
      </c>
      <c r="B1247" s="4">
        <f t="shared" si="19"/>
        <v>10</v>
      </c>
      <c r="C1247" s="4"/>
      <c r="D1247" s="1" t="str">
        <f>IFERROR(VLOOKUP(A1247,[1]biopep_DB!$F$2:$J$1654,5,0),)</f>
        <v/>
      </c>
      <c r="E1247" s="1" t="str">
        <f>IFERROR(VLOOKUP(A1247,[1]biopep_DB!$F$2:$L$1654,6,0),0)</f>
        <v/>
      </c>
      <c r="F1247" s="1" t="str">
        <f>IFERROR(VLOOKUP(A1247,[1]biopep_DB!$F$2:$L$1654,7,0),0)</f>
        <v/>
      </c>
      <c r="G1247" s="5">
        <v>1204.33</v>
      </c>
      <c r="H1247" s="5">
        <v>6</v>
      </c>
      <c r="I1247" s="5">
        <v>-0.24</v>
      </c>
      <c r="J1247" s="6">
        <v>-0.85</v>
      </c>
      <c r="K1247" s="5">
        <v>13.18</v>
      </c>
      <c r="L1247" s="6">
        <v>0.4</v>
      </c>
      <c r="M1247" s="6">
        <v>-0.545</v>
      </c>
      <c r="N1247" s="6">
        <v>0.4</v>
      </c>
      <c r="O1247" s="6">
        <v>0.2</v>
      </c>
      <c r="P1247" s="6">
        <v>0.3</v>
      </c>
      <c r="Q1247" s="7"/>
      <c r="R1247" s="7"/>
    </row>
    <row r="1248" spans="1:18">
      <c r="A1248" s="4" t="s">
        <v>1686</v>
      </c>
      <c r="B1248" s="4">
        <f t="shared" si="19"/>
        <v>13</v>
      </c>
      <c r="C1248" s="4"/>
      <c r="D1248" s="1" t="str">
        <f>IFERROR(VLOOKUP(A1248,[1]biopep_DB!$F$2:$J$1654,5,0),)</f>
        <v>Identification of angiotensin-I-converting enzyme inhibitory peptides derived from sodium caseinate hydrolysates produced by Lactobacillus helveticus NCC 2765.</v>
      </c>
      <c r="E1248" s="1" t="str">
        <f>IFERROR(VLOOKUP(A1248,[1]biopep_DB!$F$2:$L$1654,6,0),0)</f>
        <v>10.1021/jf049510t</v>
      </c>
      <c r="F1248" s="1" t="str">
        <f>IFERROR(VLOOKUP(A1248,[1]biopep_DB!$F$2:$L$1654,7,0),0)</f>
        <v>15537298</v>
      </c>
      <c r="G1248" s="5">
        <v>1542.8</v>
      </c>
      <c r="H1248" s="5">
        <v>8.59</v>
      </c>
      <c r="I1248" s="5">
        <v>0.76</v>
      </c>
      <c r="J1248" s="6">
        <v>-0.9692</v>
      </c>
      <c r="K1248" s="5">
        <v>82.15</v>
      </c>
      <c r="L1248" s="6">
        <v>0.5385</v>
      </c>
      <c r="M1248" s="6">
        <v>-0.3292</v>
      </c>
      <c r="N1248" s="6">
        <v>0.2308</v>
      </c>
      <c r="O1248" s="6">
        <v>0.3077</v>
      </c>
      <c r="P1248" s="6">
        <v>0.2308</v>
      </c>
      <c r="Q1248" s="7"/>
      <c r="R1248" s="7"/>
    </row>
    <row r="1249" spans="1:18">
      <c r="A1249" s="4" t="s">
        <v>1687</v>
      </c>
      <c r="B1249" s="4">
        <f t="shared" si="19"/>
        <v>3</v>
      </c>
      <c r="C1249" s="4" t="s">
        <v>31</v>
      </c>
      <c r="D1249" s="1" t="str">
        <f>IFERROR(VLOOKUP(A1249,[1]biopep_DB!$F$2:$J$1654,5,0),)</f>
        <v/>
      </c>
      <c r="E1249" s="1" t="str">
        <f>IFERROR(VLOOKUP(A1249,[1]biopep_DB!$F$2:$L$1654,6,0),0)</f>
        <v/>
      </c>
      <c r="F1249" s="1" t="str">
        <f>IFERROR(VLOOKUP(A1249,[1]biopep_DB!$F$2:$L$1654,7,0),0)</f>
        <v/>
      </c>
      <c r="G1249" s="5">
        <v>421.49</v>
      </c>
      <c r="H1249" s="5">
        <v>8.75</v>
      </c>
      <c r="I1249" s="5">
        <v>0.76</v>
      </c>
      <c r="J1249" s="6">
        <v>-1.5333</v>
      </c>
      <c r="K1249" s="5">
        <v>6.67</v>
      </c>
      <c r="L1249" s="6">
        <v>0.3333</v>
      </c>
      <c r="M1249" s="6">
        <v>-0.0133</v>
      </c>
      <c r="N1249" s="6">
        <v>0.3333</v>
      </c>
      <c r="O1249" s="6">
        <v>0</v>
      </c>
      <c r="P1249" s="6">
        <v>0.3333</v>
      </c>
      <c r="Q1249" s="7"/>
      <c r="R1249" s="7"/>
    </row>
    <row r="1250" spans="1:18">
      <c r="A1250" s="4" t="s">
        <v>1688</v>
      </c>
      <c r="B1250" s="4">
        <f t="shared" si="19"/>
        <v>5</v>
      </c>
      <c r="C1250" s="4" t="s">
        <v>31</v>
      </c>
      <c r="D1250" s="1" t="str">
        <f>IFERROR(VLOOKUP(A1250,[1]biopep_DB!$F$2:$J$1654,5,0),)</f>
        <v/>
      </c>
      <c r="E1250" s="1" t="str">
        <f>IFERROR(VLOOKUP(A1250,[1]biopep_DB!$F$2:$L$1654,6,0),0)</f>
        <v/>
      </c>
      <c r="F1250" s="1" t="str">
        <f>IFERROR(VLOOKUP(A1250,[1]biopep_DB!$F$2:$L$1654,7,0),0)</f>
        <v/>
      </c>
      <c r="G1250" s="5">
        <v>641.72</v>
      </c>
      <c r="H1250" s="5">
        <v>11</v>
      </c>
      <c r="I1250" s="5">
        <v>1.76</v>
      </c>
      <c r="J1250" s="6">
        <v>-3.4</v>
      </c>
      <c r="K1250" s="5">
        <v>2.52</v>
      </c>
      <c r="L1250" s="6">
        <v>0.2</v>
      </c>
      <c r="M1250" s="6">
        <v>1.456</v>
      </c>
      <c r="N1250" s="6">
        <v>0.2</v>
      </c>
      <c r="O1250" s="6">
        <v>0.4</v>
      </c>
      <c r="P1250" s="6">
        <v>0</v>
      </c>
      <c r="Q1250" s="7"/>
      <c r="R1250" s="7"/>
    </row>
    <row r="1251" spans="1:18">
      <c r="A1251" s="4" t="s">
        <v>1689</v>
      </c>
      <c r="B1251" s="4">
        <f t="shared" si="19"/>
        <v>5</v>
      </c>
      <c r="C1251" s="4" t="s">
        <v>682</v>
      </c>
      <c r="D1251" s="1" t="str">
        <f>IFERROR(VLOOKUP(A1251,[1]biopep_DB!$F$2:$J$1654,5,0),)</f>
        <v>Inhibition of angiotensin-converting enzyme by synthetic peptide fragments of human kappa-casein.</v>
      </c>
      <c r="E1251" s="1" t="str">
        <f>IFERROR(VLOOKUP(A1251,[1]biopep_DB!$F$2:$L$1654,6,0),0)</f>
        <v/>
      </c>
      <c r="F1251" s="1" t="str">
        <f>IFERROR(VLOOKUP(A1251,[1]biopep_DB!$F$2:$L$1654,7,0),0)</f>
        <v>1368540</v>
      </c>
      <c r="G1251" s="5">
        <v>543.61</v>
      </c>
      <c r="H1251" s="5">
        <v>8.75</v>
      </c>
      <c r="I1251" s="5">
        <v>0.76</v>
      </c>
      <c r="J1251" s="6">
        <v>-1.58</v>
      </c>
      <c r="K1251" s="5">
        <v>46.52</v>
      </c>
      <c r="L1251" s="6">
        <v>0.4</v>
      </c>
      <c r="M1251" s="6">
        <v>0.278</v>
      </c>
      <c r="N1251" s="6">
        <v>0.4</v>
      </c>
      <c r="O1251" s="6">
        <v>0.2</v>
      </c>
      <c r="P1251" s="6">
        <v>0.2</v>
      </c>
      <c r="Q1251" s="7"/>
      <c r="R1251" s="7"/>
    </row>
    <row r="1252" spans="1:18">
      <c r="A1252" s="4" t="s">
        <v>1690</v>
      </c>
      <c r="B1252" s="4">
        <f t="shared" si="19"/>
        <v>3</v>
      </c>
      <c r="C1252" s="4"/>
      <c r="D1252" s="1" t="str">
        <f>IFERROR(VLOOKUP(A1252,[1]biopep_DB!$F$2:$J$1654,5,0),)</f>
        <v/>
      </c>
      <c r="E1252" s="1" t="str">
        <f>IFERROR(VLOOKUP(A1252,[1]biopep_DB!$F$2:$L$1654,6,0),0)</f>
        <v/>
      </c>
      <c r="F1252" s="1" t="str">
        <f>IFERROR(VLOOKUP(A1252,[1]biopep_DB!$F$2:$L$1654,7,0),0)</f>
        <v/>
      </c>
      <c r="G1252" s="5">
        <v>460.53</v>
      </c>
      <c r="H1252" s="5">
        <v>8.75</v>
      </c>
      <c r="I1252" s="5">
        <v>0.76</v>
      </c>
      <c r="J1252" s="6">
        <v>-2.7667</v>
      </c>
      <c r="K1252" s="5">
        <v>6.67</v>
      </c>
      <c r="L1252" s="6">
        <v>0.3333</v>
      </c>
      <c r="M1252" s="6">
        <v>0.2033</v>
      </c>
      <c r="N1252" s="6">
        <v>0.3333</v>
      </c>
      <c r="O1252" s="6">
        <v>0</v>
      </c>
      <c r="P1252" s="6">
        <v>0.3333</v>
      </c>
      <c r="Q1252" s="7"/>
      <c r="R1252" s="7"/>
    </row>
    <row r="1253" spans="1:18">
      <c r="A1253" s="4" t="s">
        <v>1691</v>
      </c>
      <c r="B1253" s="4">
        <f t="shared" si="19"/>
        <v>24</v>
      </c>
      <c r="C1253" s="4"/>
      <c r="G1253" s="5">
        <v>2703.12</v>
      </c>
      <c r="H1253" s="5">
        <v>5.08</v>
      </c>
      <c r="I1253" s="5">
        <v>-1.15</v>
      </c>
      <c r="J1253" s="6">
        <v>0.4667</v>
      </c>
      <c r="K1253" s="5">
        <v>74.92</v>
      </c>
      <c r="L1253" s="6">
        <v>0.625</v>
      </c>
      <c r="M1253" s="6">
        <v>-1.4517</v>
      </c>
      <c r="N1253" s="6">
        <v>0.4167</v>
      </c>
      <c r="O1253" s="6">
        <v>0.1667</v>
      </c>
      <c r="P1253" s="6">
        <v>0.4167</v>
      </c>
      <c r="Q1253" s="7"/>
      <c r="R1253" s="7"/>
    </row>
    <row r="1254" spans="1:18">
      <c r="A1254" s="4" t="s">
        <v>1692</v>
      </c>
      <c r="B1254" s="4">
        <f t="shared" si="19"/>
        <v>8</v>
      </c>
      <c r="C1254" s="4" t="s">
        <v>1549</v>
      </c>
      <c r="D1254" s="1" t="str">
        <f>IFERROR(VLOOKUP(A1254,[1]biopep_DB!$F$2:$J$1654,5,0),)</f>
        <v>A new QSAR model, for angiotensin I-converting enzyme inhibitory oligopeptides.; Review on the angiotensin-I-converting enzyme (ACE) inhibitor peptides from marine proteins.</v>
      </c>
      <c r="E1254" s="1" t="str">
        <f>IFERROR(VLOOKUP(A1254,[1]biopep_DB!$F$2:$L$1654,6,0),0)</f>
        <v>10.1016/j.foodchem.2012.09.092; 10.1007/s12010-012-0024-y</v>
      </c>
      <c r="F1254" s="1" t="str">
        <f>IFERROR(VLOOKUP(A1254,[1]biopep_DB!$F$2:$L$1654,7,0),0)</f>
        <v>23194537 23271625</v>
      </c>
      <c r="G1254" s="5">
        <v>887.04</v>
      </c>
      <c r="H1254" s="5">
        <v>9.75</v>
      </c>
      <c r="I1254" s="5">
        <v>0.76</v>
      </c>
      <c r="J1254" s="6">
        <v>0</v>
      </c>
      <c r="K1254" s="5">
        <v>-0.68</v>
      </c>
      <c r="L1254" s="6">
        <v>0.5</v>
      </c>
      <c r="M1254" s="6">
        <v>-1.3275</v>
      </c>
      <c r="N1254" s="6">
        <v>0.25</v>
      </c>
      <c r="O1254" s="6">
        <v>0.375</v>
      </c>
      <c r="P1254" s="6">
        <v>0.375</v>
      </c>
      <c r="Q1254" s="7"/>
      <c r="R1254" s="7"/>
    </row>
    <row r="1255" spans="1:18">
      <c r="A1255" s="4" t="s">
        <v>1693</v>
      </c>
      <c r="B1255" s="4">
        <f t="shared" si="19"/>
        <v>6</v>
      </c>
      <c r="C1255" s="4" t="s">
        <v>1694</v>
      </c>
      <c r="D1255" s="1" t="str">
        <f>IFERROR(VLOOKUP(A1255,[1]biopep_DB!$F$2:$J$1654,5,0),)</f>
        <v>Angiotensin-converting enzyme inhibitory activity of peptides derived from caprine kefir.</v>
      </c>
      <c r="E1255" s="1" t="str">
        <f>IFERROR(VLOOKUP(A1255,[1]biopep_DB!$F$2:$L$1654,6,0),0)</f>
        <v>10.3168/jds.S0022-0302(05)73032-0</v>
      </c>
      <c r="F1255" s="1" t="str">
        <f>IFERROR(VLOOKUP(A1255,[1]biopep_DB!$F$2:$L$1654,7,0),0)</f>
        <v>16162521</v>
      </c>
      <c r="G1255" s="5">
        <v>741.96</v>
      </c>
      <c r="H1255" s="5">
        <v>10</v>
      </c>
      <c r="I1255" s="5">
        <v>1.76</v>
      </c>
      <c r="J1255" s="6">
        <v>0.0167</v>
      </c>
      <c r="K1255" s="5">
        <v>-34.12</v>
      </c>
      <c r="L1255" s="6">
        <v>0.5</v>
      </c>
      <c r="M1255" s="6">
        <v>-1.7067</v>
      </c>
      <c r="N1255" s="6">
        <v>0.8333</v>
      </c>
      <c r="O1255" s="6">
        <v>0</v>
      </c>
      <c r="P1255" s="6">
        <v>0.5</v>
      </c>
      <c r="Q1255" s="7"/>
      <c r="R1255" s="7"/>
    </row>
    <row r="1256" spans="1:18">
      <c r="A1256" s="4" t="s">
        <v>1695</v>
      </c>
      <c r="B1256" s="4">
        <f t="shared" si="19"/>
        <v>2</v>
      </c>
      <c r="C1256" s="4" t="s">
        <v>1696</v>
      </c>
      <c r="D1256" s="1" t="str">
        <f>IFERROR(VLOOKUP(A1256,[1]biopep_DB!$F$2:$J$1654,5,0),)</f>
        <v/>
      </c>
      <c r="E1256" s="1" t="str">
        <f>IFERROR(VLOOKUP(A1256,[1]biopep_DB!$F$2:$L$1654,6,0),0)</f>
        <v/>
      </c>
      <c r="F1256" s="1" t="str">
        <f>IFERROR(VLOOKUP(A1256,[1]biopep_DB!$F$2:$L$1654,7,0),0)</f>
        <v/>
      </c>
      <c r="G1256" s="5">
        <v>260.25</v>
      </c>
      <c r="H1256" s="5">
        <v>5.53</v>
      </c>
      <c r="I1256" s="5">
        <v>-0.24</v>
      </c>
      <c r="J1256" s="6">
        <v>-3.5</v>
      </c>
      <c r="K1256" s="5">
        <v>5</v>
      </c>
      <c r="L1256" s="6">
        <v>0</v>
      </c>
      <c r="M1256" s="6">
        <v>1.49</v>
      </c>
      <c r="N1256" s="6">
        <v>0</v>
      </c>
      <c r="O1256" s="6">
        <v>0.5</v>
      </c>
      <c r="P1256" s="6">
        <v>0</v>
      </c>
      <c r="Q1256" s="7"/>
      <c r="R1256" s="7"/>
    </row>
    <row r="1257" spans="1:18">
      <c r="A1257" s="4" t="s">
        <v>1697</v>
      </c>
      <c r="B1257" s="4">
        <f t="shared" si="19"/>
        <v>10</v>
      </c>
      <c r="C1257" s="4" t="s">
        <v>128</v>
      </c>
      <c r="D1257" s="1" t="str">
        <f>IFERROR(VLOOKUP(A1257,[1]biopep_DB!$F$2:$J$1654,5,0),)</f>
        <v/>
      </c>
      <c r="E1257" s="1" t="str">
        <f>IFERROR(VLOOKUP(A1257,[1]biopep_DB!$F$2:$L$1654,6,0),0)</f>
        <v/>
      </c>
      <c r="F1257" s="1" t="str">
        <f>IFERROR(VLOOKUP(A1257,[1]biopep_DB!$F$2:$L$1654,7,0),0)</f>
        <v/>
      </c>
      <c r="G1257" s="5">
        <v>1233.42</v>
      </c>
      <c r="H1257" s="5">
        <v>10.84</v>
      </c>
      <c r="I1257" s="5">
        <v>1.76</v>
      </c>
      <c r="J1257" s="6">
        <v>-0.37</v>
      </c>
      <c r="K1257" s="5">
        <v>-15.52</v>
      </c>
      <c r="L1257" s="6">
        <v>0.4</v>
      </c>
      <c r="M1257" s="6">
        <v>-0.687</v>
      </c>
      <c r="N1257" s="6">
        <v>0.2</v>
      </c>
      <c r="O1257" s="6">
        <v>0.1</v>
      </c>
      <c r="P1257" s="6">
        <v>0.5</v>
      </c>
      <c r="Q1257" s="7"/>
      <c r="R1257" s="7"/>
    </row>
    <row r="1258" spans="1:18">
      <c r="A1258" s="4" t="s">
        <v>1698</v>
      </c>
      <c r="B1258" s="4">
        <f t="shared" si="19"/>
        <v>5</v>
      </c>
      <c r="C1258" s="4" t="s">
        <v>311</v>
      </c>
      <c r="D1258" s="1" t="str">
        <f>IFERROR(VLOOKUP(A1258,[1]biopep_DB!$F$2:$J$1654,5,0),)</f>
        <v>Inhibition of angiotensin-converting enzyme by synthetic peptide fragments of various beta-caseins.</v>
      </c>
      <c r="E1258" s="1" t="str">
        <f>IFERROR(VLOOKUP(A1258,[1]biopep_DB!$F$2:$L$1654,6,0),0)</f>
        <v/>
      </c>
      <c r="F1258" s="1" t="str">
        <f>IFERROR(VLOOKUP(A1258,[1]biopep_DB!$F$2:$L$1654,7,0),0)</f>
        <v>1368548</v>
      </c>
      <c r="G1258" s="5">
        <v>583.68</v>
      </c>
      <c r="H1258" s="5">
        <v>5.53</v>
      </c>
      <c r="I1258" s="5">
        <v>-0.24</v>
      </c>
      <c r="J1258" s="6">
        <v>-0.06</v>
      </c>
      <c r="K1258" s="5">
        <v>172.92</v>
      </c>
      <c r="L1258" s="6">
        <v>0.6</v>
      </c>
      <c r="M1258" s="6">
        <v>-1.372</v>
      </c>
      <c r="N1258" s="6">
        <v>0.2</v>
      </c>
      <c r="O1258" s="6">
        <v>0.4</v>
      </c>
      <c r="P1258" s="6">
        <v>0.4</v>
      </c>
      <c r="Q1258" s="7"/>
      <c r="R1258" s="7"/>
    </row>
    <row r="1259" spans="1:18">
      <c r="A1259" s="4" t="s">
        <v>1699</v>
      </c>
      <c r="B1259" s="4">
        <f t="shared" si="19"/>
        <v>5</v>
      </c>
      <c r="C1259" s="4"/>
      <c r="D1259" s="1" t="str">
        <f>IFERROR(VLOOKUP(A1259,[1]biopep_DB!$F$2:$J$1654,5,0),)</f>
        <v/>
      </c>
      <c r="E1259" s="1" t="str">
        <f>IFERROR(VLOOKUP(A1259,[1]biopep_DB!$F$2:$L$1654,6,0),0)</f>
        <v/>
      </c>
      <c r="F1259" s="1" t="str">
        <f>IFERROR(VLOOKUP(A1259,[1]biopep_DB!$F$2:$L$1654,7,0),0)</f>
        <v/>
      </c>
      <c r="G1259" s="5">
        <v>567.64</v>
      </c>
      <c r="H1259" s="5">
        <v>5.53</v>
      </c>
      <c r="I1259" s="5">
        <v>-0.24</v>
      </c>
      <c r="J1259" s="6">
        <v>-1.14</v>
      </c>
      <c r="K1259" s="5">
        <v>128.64</v>
      </c>
      <c r="L1259" s="6">
        <v>0.6</v>
      </c>
      <c r="M1259" s="6">
        <v>-0.388</v>
      </c>
      <c r="N1259" s="6">
        <v>0</v>
      </c>
      <c r="O1259" s="6">
        <v>0.6</v>
      </c>
      <c r="P1259" s="6">
        <v>0.2</v>
      </c>
      <c r="Q1259" s="7"/>
      <c r="R1259" s="7"/>
    </row>
    <row r="1260" spans="1:18">
      <c r="A1260" s="4" t="s">
        <v>1700</v>
      </c>
      <c r="B1260" s="4">
        <f t="shared" si="19"/>
        <v>6</v>
      </c>
      <c r="C1260" s="4" t="s">
        <v>1701</v>
      </c>
      <c r="D1260" s="1" t="str">
        <f>IFERROR(VLOOKUP(A1260,[1]biopep_DB!$F$2:$J$1654,5,0),)</f>
        <v>Milk protein peptides with angiotensin I-converting enzyme inhibitory (ACEI) activity.</v>
      </c>
      <c r="E1260" s="1" t="str">
        <f>IFERROR(VLOOKUP(A1260,[1]biopep_DB!$F$2:$L$1654,6,0),0)</f>
        <v>10.1080/10408390802304198</v>
      </c>
      <c r="F1260" s="1" t="str">
        <f>IFERROR(VLOOKUP(A1260,[1]biopep_DB!$F$2:$L$1654,7,0),0)</f>
        <v>20373185</v>
      </c>
      <c r="G1260" s="5">
        <v>789.92</v>
      </c>
      <c r="H1260" s="5">
        <v>9.75</v>
      </c>
      <c r="I1260" s="5">
        <v>0.76</v>
      </c>
      <c r="J1260" s="6">
        <v>-0.1833</v>
      </c>
      <c r="K1260" s="5">
        <v>40.43</v>
      </c>
      <c r="L1260" s="6">
        <v>0.5</v>
      </c>
      <c r="M1260" s="6">
        <v>-1.1867</v>
      </c>
      <c r="N1260" s="6">
        <v>0.3333</v>
      </c>
      <c r="O1260" s="6">
        <v>0.1667</v>
      </c>
      <c r="P1260" s="6">
        <v>0.5</v>
      </c>
      <c r="Q1260" s="7"/>
      <c r="R1260" s="7"/>
    </row>
    <row r="1261" spans="1:18">
      <c r="A1261" s="4" t="s">
        <v>1702</v>
      </c>
      <c r="B1261" s="4">
        <f t="shared" si="19"/>
        <v>2</v>
      </c>
      <c r="C1261" s="4" t="s">
        <v>1703</v>
      </c>
      <c r="D1261" s="1" t="str">
        <f>IFERROR(VLOOKUP(A1261,[1]biopep_DB!$F$2:$J$1654,5,0),)</f>
        <v/>
      </c>
      <c r="E1261" s="1" t="str">
        <f>IFERROR(VLOOKUP(A1261,[1]biopep_DB!$F$2:$L$1654,6,0),0)</f>
        <v/>
      </c>
      <c r="F1261" s="1" t="str">
        <f>IFERROR(VLOOKUP(A1261,[1]biopep_DB!$F$2:$L$1654,7,0),0)</f>
        <v/>
      </c>
      <c r="G1261" s="5">
        <v>243.26</v>
      </c>
      <c r="H1261" s="5">
        <v>5.53</v>
      </c>
      <c r="I1261" s="5">
        <v>-0.24</v>
      </c>
      <c r="J1261" s="6">
        <v>-2.55</v>
      </c>
      <c r="K1261" s="5">
        <v>101.3</v>
      </c>
      <c r="L1261" s="6">
        <v>0.5</v>
      </c>
      <c r="M1261" s="6">
        <v>0.68</v>
      </c>
      <c r="N1261" s="6">
        <v>0</v>
      </c>
      <c r="O1261" s="6">
        <v>0.5</v>
      </c>
      <c r="P1261" s="6">
        <v>0</v>
      </c>
      <c r="Q1261" s="7"/>
      <c r="R1261" s="7"/>
    </row>
    <row r="1262" spans="1:18">
      <c r="A1262" s="4" t="s">
        <v>1704</v>
      </c>
      <c r="B1262" s="4">
        <f t="shared" si="19"/>
        <v>4</v>
      </c>
      <c r="C1262" s="4" t="s">
        <v>1705</v>
      </c>
      <c r="D1262" s="1" t="str">
        <f>IFERROR(VLOOKUP(A1262,[1]biopep_DB!$F$2:$J$1654,5,0),)</f>
        <v>Inhibition of angiotensin-converting enzyme by synthetic peptide fragments of various beta-caseins.; What are the ideal properties for functional food peptides with antihypertensive effect? A computational peptidology approach.</v>
      </c>
      <c r="E1262" s="1" t="str">
        <f>IFERROR(VLOOKUP(A1262,[1]biopep_DB!$F$2:$L$1654,6,0),0)</f>
        <v>10.1016/j.foodchem.2013.05.140</v>
      </c>
      <c r="F1262" s="1" t="str">
        <f>IFERROR(VLOOKUP(A1262,[1]biopep_DB!$F$2:$L$1654,7,0),0)</f>
        <v>1368548 23871047</v>
      </c>
      <c r="G1262" s="5">
        <v>453.53</v>
      </c>
      <c r="H1262" s="5">
        <v>5.53</v>
      </c>
      <c r="I1262" s="5">
        <v>-0.24</v>
      </c>
      <c r="J1262" s="6">
        <v>-0.55</v>
      </c>
      <c r="K1262" s="5">
        <v>48.45</v>
      </c>
      <c r="L1262" s="6">
        <v>0.75</v>
      </c>
      <c r="M1262" s="6">
        <v>-0.89</v>
      </c>
      <c r="N1262" s="6">
        <v>0</v>
      </c>
      <c r="O1262" s="6">
        <v>0.5</v>
      </c>
      <c r="P1262" s="6">
        <v>0.25</v>
      </c>
      <c r="Q1262" s="7"/>
      <c r="R1262" s="7"/>
    </row>
    <row r="1263" spans="1:18">
      <c r="A1263" s="4" t="s">
        <v>1706</v>
      </c>
      <c r="B1263" s="4">
        <f t="shared" si="19"/>
        <v>6</v>
      </c>
      <c r="C1263" s="4" t="s">
        <v>1707</v>
      </c>
      <c r="D1263" s="1" t="str">
        <f>IFERROR(VLOOKUP(A1263,[1]biopep_DB!$F$2:$J$1654,5,0),)</f>
        <v>Inhibition of angiotensin-converting enzyme by synthetic peptide fragments of various beta-caseins.</v>
      </c>
      <c r="E1263" s="1" t="str">
        <f>IFERROR(VLOOKUP(A1263,[1]biopep_DB!$F$2:$L$1654,6,0),0)</f>
        <v/>
      </c>
      <c r="F1263" s="1" t="str">
        <f>IFERROR(VLOOKUP(A1263,[1]biopep_DB!$F$2:$L$1654,7,0),0)</f>
        <v>1368548</v>
      </c>
      <c r="G1263" s="5">
        <v>729.86</v>
      </c>
      <c r="H1263" s="5">
        <v>5.52</v>
      </c>
      <c r="I1263" s="5">
        <v>-0.24</v>
      </c>
      <c r="J1263" s="6">
        <v>0.05</v>
      </c>
      <c r="K1263" s="5">
        <v>61</v>
      </c>
      <c r="L1263" s="6">
        <v>0.6667</v>
      </c>
      <c r="M1263" s="6">
        <v>-1.39</v>
      </c>
      <c r="N1263" s="6">
        <v>0.1667</v>
      </c>
      <c r="O1263" s="6">
        <v>0.3333</v>
      </c>
      <c r="P1263" s="6">
        <v>0.5</v>
      </c>
      <c r="Q1263" s="7"/>
      <c r="R1263" s="7"/>
    </row>
    <row r="1264" spans="1:18">
      <c r="A1264" s="4" t="s">
        <v>1708</v>
      </c>
      <c r="B1264" s="4">
        <f t="shared" si="19"/>
        <v>3</v>
      </c>
      <c r="C1264" s="4"/>
      <c r="D1264" s="1" t="str">
        <f>IFERROR(VLOOKUP(A1264,[1]biopep_DB!$F$2:$J$1654,5,0),)</f>
        <v>Angiotensin I-converting-enzyme-inhibitory and antibacterial peptides from Lactobacillus helveticus PR4 proteinase-hydrolyzed caseins of milk from six species.</v>
      </c>
      <c r="E1264" s="1" t="str">
        <f>IFERROR(VLOOKUP(A1264,[1]biopep_DB!$F$2:$L$1654,6,0),0)</f>
        <v>10.1128/AEM.69.9.5297-5305.2003</v>
      </c>
      <c r="F1264" s="1" t="str">
        <f>IFERROR(VLOOKUP(A1264,[1]biopep_DB!$F$2:$L$1654,7,0),0)</f>
        <v>12957917</v>
      </c>
      <c r="G1264" s="5">
        <v>371.39</v>
      </c>
      <c r="H1264" s="5">
        <v>5.53</v>
      </c>
      <c r="I1264" s="5">
        <v>-0.24</v>
      </c>
      <c r="J1264" s="6">
        <v>-2.8667</v>
      </c>
      <c r="K1264" s="5">
        <v>135.07</v>
      </c>
      <c r="L1264" s="6">
        <v>0.3333</v>
      </c>
      <c r="M1264" s="6">
        <v>0.9067</v>
      </c>
      <c r="N1264" s="6">
        <v>0</v>
      </c>
      <c r="O1264" s="6">
        <v>0.3333</v>
      </c>
      <c r="P1264" s="6">
        <v>0</v>
      </c>
      <c r="Q1264" s="7"/>
      <c r="R1264" s="7"/>
    </row>
    <row r="1265" spans="1:18">
      <c r="A1265" s="4" t="s">
        <v>1709</v>
      </c>
      <c r="B1265" s="4">
        <f t="shared" si="19"/>
        <v>8</v>
      </c>
      <c r="C1265" s="4" t="s">
        <v>1582</v>
      </c>
      <c r="D1265" s="1" t="str">
        <f>IFERROR(VLOOKUP(A1265,[1]biopep_DB!$F$2:$J$1654,5,0),)</f>
        <v>Inhibition of angiotensin-converting enzyme by synthetic peptide fragments of various beta-caseins.</v>
      </c>
      <c r="E1265" s="1" t="str">
        <f>IFERROR(VLOOKUP(A1265,[1]biopep_DB!$F$2:$L$1654,6,0),0)</f>
        <v/>
      </c>
      <c r="F1265" s="1" t="str">
        <f>IFERROR(VLOOKUP(A1265,[1]biopep_DB!$F$2:$L$1654,7,0),0)</f>
        <v>1368548</v>
      </c>
      <c r="G1265" s="5">
        <v>955.11</v>
      </c>
      <c r="H1265" s="5">
        <v>5.52</v>
      </c>
      <c r="I1265" s="5">
        <v>-0.24</v>
      </c>
      <c r="J1265" s="6">
        <v>-0.6</v>
      </c>
      <c r="K1265" s="5">
        <v>96.4</v>
      </c>
      <c r="L1265" s="6">
        <v>0.625</v>
      </c>
      <c r="M1265" s="6">
        <v>-0.8725</v>
      </c>
      <c r="N1265" s="6">
        <v>0.125</v>
      </c>
      <c r="O1265" s="6">
        <v>0.375</v>
      </c>
      <c r="P1265" s="6">
        <v>0.375</v>
      </c>
      <c r="Q1265" s="7"/>
      <c r="R1265" s="7"/>
    </row>
    <row r="1266" spans="1:18">
      <c r="A1266" s="4" t="s">
        <v>1710</v>
      </c>
      <c r="B1266" s="4">
        <f t="shared" si="19"/>
        <v>3</v>
      </c>
      <c r="C1266" s="4"/>
      <c r="D1266" s="1" t="str">
        <f>IFERROR(VLOOKUP(A1266,[1]biopep_DB!$F$2:$J$1654,5,0),)</f>
        <v/>
      </c>
      <c r="E1266" s="1" t="str">
        <f>IFERROR(VLOOKUP(A1266,[1]biopep_DB!$F$2:$L$1654,6,0),0)</f>
        <v/>
      </c>
      <c r="F1266" s="1" t="str">
        <f>IFERROR(VLOOKUP(A1266,[1]biopep_DB!$F$2:$L$1654,7,0),0)</f>
        <v/>
      </c>
      <c r="G1266" s="5">
        <v>387.43</v>
      </c>
      <c r="H1266" s="5">
        <v>5.53</v>
      </c>
      <c r="I1266" s="5">
        <v>-0.24</v>
      </c>
      <c r="J1266" s="6">
        <v>-0.8333</v>
      </c>
      <c r="K1266" s="5">
        <v>70.87</v>
      </c>
      <c r="L1266" s="6">
        <v>0.3333</v>
      </c>
      <c r="M1266" s="6">
        <v>-0.7333</v>
      </c>
      <c r="N1266" s="6">
        <v>0</v>
      </c>
      <c r="O1266" s="6">
        <v>0</v>
      </c>
      <c r="P1266" s="6">
        <v>0.3333</v>
      </c>
      <c r="Q1266" s="7"/>
      <c r="R1266" s="7"/>
    </row>
    <row r="1267" spans="1:18">
      <c r="A1267" s="4" t="s">
        <v>1711</v>
      </c>
      <c r="B1267" s="4">
        <f t="shared" si="19"/>
        <v>4</v>
      </c>
      <c r="C1267" s="4"/>
      <c r="D1267" s="1" t="str">
        <f>IFERROR(VLOOKUP(A1267,[1]biopep_DB!$F$2:$J$1654,5,0),)</f>
        <v/>
      </c>
      <c r="E1267" s="1" t="str">
        <f>IFERROR(VLOOKUP(A1267,[1]biopep_DB!$F$2:$L$1654,6,0),0)</f>
        <v/>
      </c>
      <c r="F1267" s="1" t="str">
        <f>IFERROR(VLOOKUP(A1267,[1]biopep_DB!$F$2:$L$1654,7,0),0)</f>
        <v/>
      </c>
      <c r="G1267" s="5">
        <v>459.45</v>
      </c>
      <c r="H1267" s="5">
        <v>5.53</v>
      </c>
      <c r="I1267" s="5">
        <v>-0.24</v>
      </c>
      <c r="J1267" s="6">
        <v>-2.725</v>
      </c>
      <c r="K1267" s="5">
        <v>103.8</v>
      </c>
      <c r="L1267" s="6">
        <v>0</v>
      </c>
      <c r="M1267" s="6">
        <v>0.785</v>
      </c>
      <c r="N1267" s="6">
        <v>0</v>
      </c>
      <c r="O1267" s="6">
        <v>0.25</v>
      </c>
      <c r="P1267" s="6">
        <v>0</v>
      </c>
      <c r="Q1267" s="7"/>
      <c r="R1267" s="7"/>
    </row>
    <row r="1268" spans="1:18">
      <c r="A1268" s="4" t="s">
        <v>1712</v>
      </c>
      <c r="B1268" s="4">
        <f t="shared" si="19"/>
        <v>9</v>
      </c>
      <c r="C1268" s="4"/>
      <c r="G1268" s="5">
        <v>1253.5</v>
      </c>
      <c r="H1268" s="5">
        <v>12</v>
      </c>
      <c r="I1268" s="5">
        <v>4.76</v>
      </c>
      <c r="J1268" s="6">
        <v>-2.3667</v>
      </c>
      <c r="K1268" s="5">
        <v>178.98</v>
      </c>
      <c r="L1268" s="6">
        <v>0.2222</v>
      </c>
      <c r="M1268" s="6">
        <v>0.5933</v>
      </c>
      <c r="N1268" s="6">
        <v>0.3333</v>
      </c>
      <c r="O1268" s="6">
        <v>0</v>
      </c>
      <c r="P1268" s="6">
        <v>0.2222</v>
      </c>
      <c r="Q1268" s="7"/>
      <c r="R1268" s="7"/>
    </row>
    <row r="1269" spans="1:18">
      <c r="A1269" s="4" t="s">
        <v>1713</v>
      </c>
      <c r="B1269" s="4">
        <f t="shared" si="19"/>
        <v>8</v>
      </c>
      <c r="C1269" s="4"/>
      <c r="G1269" s="5">
        <v>868.97</v>
      </c>
      <c r="H1269" s="5">
        <v>6</v>
      </c>
      <c r="I1269" s="5">
        <v>-0.24</v>
      </c>
      <c r="J1269" s="6">
        <v>-1.075</v>
      </c>
      <c r="K1269" s="5">
        <v>108.23</v>
      </c>
      <c r="L1269" s="6">
        <v>0.5</v>
      </c>
      <c r="M1269" s="6">
        <v>-0.1638</v>
      </c>
      <c r="N1269" s="6">
        <v>0.375</v>
      </c>
      <c r="O1269" s="6">
        <v>0.375</v>
      </c>
      <c r="P1269" s="6">
        <v>0.125</v>
      </c>
      <c r="Q1269" s="7"/>
      <c r="R1269" s="7"/>
    </row>
    <row r="1270" spans="1:18">
      <c r="A1270" s="4" t="s">
        <v>1714</v>
      </c>
      <c r="B1270" s="4">
        <f t="shared" si="19"/>
        <v>6</v>
      </c>
      <c r="C1270" s="4" t="s">
        <v>1715</v>
      </c>
      <c r="D1270" s="1" t="str">
        <f>IFERROR(VLOOKUP(A1270,[1]biopep_DB!$F$2:$J$1654,5,0),)</f>
        <v>Inhibition of angiotensin-converting enzyme by synthetic peptide fragments of various beta-caseins.; Evaluation of the allergenicity of goat milk, cow milk, and their lactosera in a guinea pig model.</v>
      </c>
      <c r="E1270" s="1" t="str">
        <f>IFERROR(VLOOKUP(A1270,[1]biopep_DB!$F$2:$L$1654,6,0),0)</f>
        <v>10.3168/jds.2008-1125</v>
      </c>
      <c r="F1270" s="1" t="str">
        <f>IFERROR(VLOOKUP(A1270,[1]biopep_DB!$F$2:$L$1654,7,0),0)</f>
        <v>1368548 19233776</v>
      </c>
      <c r="G1270" s="5">
        <v>705.8</v>
      </c>
      <c r="H1270" s="5">
        <v>5.52</v>
      </c>
      <c r="I1270" s="5">
        <v>-0.24</v>
      </c>
      <c r="J1270" s="6">
        <v>0.1333</v>
      </c>
      <c r="K1270" s="5">
        <v>89.57</v>
      </c>
      <c r="L1270" s="6">
        <v>0.5</v>
      </c>
      <c r="M1270" s="6">
        <v>-1.1033</v>
      </c>
      <c r="N1270" s="6">
        <v>0.1667</v>
      </c>
      <c r="O1270" s="6">
        <v>0.3333</v>
      </c>
      <c r="P1270" s="6">
        <v>0.5</v>
      </c>
      <c r="Q1270" s="7"/>
      <c r="R1270" s="7"/>
    </row>
    <row r="1271" spans="1:18">
      <c r="A1271" s="4" t="s">
        <v>1716</v>
      </c>
      <c r="B1271" s="4">
        <f t="shared" si="19"/>
        <v>8</v>
      </c>
      <c r="C1271" s="4"/>
      <c r="G1271" s="5">
        <v>901.96</v>
      </c>
      <c r="H1271" s="5">
        <v>5.53</v>
      </c>
      <c r="I1271" s="5">
        <v>-0.24</v>
      </c>
      <c r="J1271" s="6">
        <v>-1.2375</v>
      </c>
      <c r="K1271" s="5">
        <v>159.98</v>
      </c>
      <c r="L1271" s="6">
        <v>0.5</v>
      </c>
      <c r="M1271" s="6">
        <v>0.0163</v>
      </c>
      <c r="N1271" s="6">
        <v>0.125</v>
      </c>
      <c r="O1271" s="6">
        <v>0.375</v>
      </c>
      <c r="P1271" s="6">
        <v>0.125</v>
      </c>
      <c r="Q1271" s="7"/>
      <c r="R1271" s="7"/>
    </row>
    <row r="1272" spans="1:18">
      <c r="A1272" s="4" t="s">
        <v>1717</v>
      </c>
      <c r="B1272" s="4">
        <f t="shared" si="19"/>
        <v>9</v>
      </c>
      <c r="C1272" s="4"/>
      <c r="G1272" s="5">
        <v>1178.28</v>
      </c>
      <c r="H1272" s="5">
        <v>6.92</v>
      </c>
      <c r="I1272" s="5">
        <v>-0.07</v>
      </c>
      <c r="J1272" s="6">
        <v>-2.0333</v>
      </c>
      <c r="K1272" s="5">
        <v>169.07</v>
      </c>
      <c r="L1272" s="6">
        <v>0.3333</v>
      </c>
      <c r="M1272" s="6">
        <v>0.2467</v>
      </c>
      <c r="N1272" s="6">
        <v>0.1111</v>
      </c>
      <c r="O1272" s="6">
        <v>0.2222</v>
      </c>
      <c r="P1272" s="6">
        <v>0.1111</v>
      </c>
      <c r="Q1272" s="7"/>
      <c r="R1272" s="7"/>
    </row>
    <row r="1273" spans="1:18">
      <c r="A1273" s="4" t="s">
        <v>1718</v>
      </c>
      <c r="B1273" s="4">
        <f t="shared" si="19"/>
        <v>16</v>
      </c>
      <c r="C1273" s="4"/>
      <c r="D1273" s="1" t="str">
        <f>IFERROR(VLOOKUP(A1273,[1]biopep_DB!$F$2:$J$1654,5,0),)</f>
        <v/>
      </c>
      <c r="E1273" s="1" t="str">
        <f>IFERROR(VLOOKUP(A1273,[1]biopep_DB!$F$2:$L$1654,6,0),0)</f>
        <v/>
      </c>
      <c r="F1273" s="1" t="str">
        <f>IFERROR(VLOOKUP(A1273,[1]biopep_DB!$F$2:$L$1654,7,0),0)</f>
        <v/>
      </c>
      <c r="G1273" s="5">
        <v>1914.21</v>
      </c>
      <c r="H1273" s="5">
        <v>6.92</v>
      </c>
      <c r="I1273" s="5">
        <v>-0.07</v>
      </c>
      <c r="J1273" s="6">
        <v>-0.8688</v>
      </c>
      <c r="K1273" s="5">
        <v>135.59</v>
      </c>
      <c r="L1273" s="6">
        <v>0.5625</v>
      </c>
      <c r="M1273" s="6">
        <v>-0.5519</v>
      </c>
      <c r="N1273" s="6">
        <v>0.1875</v>
      </c>
      <c r="O1273" s="6">
        <v>0.3125</v>
      </c>
      <c r="P1273" s="6">
        <v>0.25</v>
      </c>
      <c r="Q1273" s="7"/>
      <c r="R1273" s="7"/>
    </row>
    <row r="1274" spans="1:18">
      <c r="A1274" s="4" t="s">
        <v>1719</v>
      </c>
      <c r="B1274" s="4">
        <f t="shared" si="19"/>
        <v>8</v>
      </c>
      <c r="C1274" s="4" t="s">
        <v>1622</v>
      </c>
      <c r="D1274" s="1" t="str">
        <f>IFERROR(VLOOKUP(A1274,[1]biopep_DB!$F$2:$J$1654,5,0),)</f>
        <v>Inhibition of angiotensin-converting enzyme by synthetic peptide fragments of various beta-caseins.; Evaluation of the allergenicity of goat milk, cow milk, and their lactosera in a guinea pig model.</v>
      </c>
      <c r="E1274" s="1" t="str">
        <f>IFERROR(VLOOKUP(A1274,[1]biopep_DB!$F$2:$L$1654,6,0),0)</f>
        <v>10.3168/jds.2008-1125</v>
      </c>
      <c r="F1274" s="1" t="str">
        <f>IFERROR(VLOOKUP(A1274,[1]biopep_DB!$F$2:$L$1654,7,0),0)</f>
        <v>1368548 19233776</v>
      </c>
      <c r="G1274" s="5">
        <v>935.03</v>
      </c>
      <c r="H1274" s="5">
        <v>5.52</v>
      </c>
      <c r="I1274" s="5">
        <v>-0.24</v>
      </c>
      <c r="J1274" s="6">
        <v>-0.425</v>
      </c>
      <c r="K1274" s="5">
        <v>60.25</v>
      </c>
      <c r="L1274" s="6">
        <v>0.375</v>
      </c>
      <c r="M1274" s="6">
        <v>-0.625</v>
      </c>
      <c r="N1274" s="6">
        <v>0.125</v>
      </c>
      <c r="O1274" s="6">
        <v>0.25</v>
      </c>
      <c r="P1274" s="6">
        <v>0.5</v>
      </c>
      <c r="Q1274" s="7"/>
      <c r="R1274" s="7"/>
    </row>
    <row r="1275" spans="1:18">
      <c r="A1275" s="4" t="s">
        <v>1720</v>
      </c>
      <c r="B1275" s="4">
        <f t="shared" si="19"/>
        <v>30</v>
      </c>
      <c r="C1275" s="4" t="s">
        <v>1721</v>
      </c>
      <c r="D1275" s="1" t="str">
        <f>IFERROR(VLOOKUP(A1275,[1]biopep_DB!$F$2:$J$1654,5,0),)</f>
        <v>Antihypertensive effect of the peptides derived from casein by an extracellular proteinase from Lactobacillus helveticus CP790.</v>
      </c>
      <c r="E1275" s="1" t="str">
        <f>IFERROR(VLOOKUP(A1275,[1]biopep_DB!$F$2:$L$1654,6,0),0)</f>
        <v>10.3168/jds.S0022-0302(94)77026-0</v>
      </c>
      <c r="F1275" s="1" t="str">
        <f>IFERROR(VLOOKUP(A1275,[1]biopep_DB!$F$2:$L$1654,7,0),0)</f>
        <v>8201050</v>
      </c>
      <c r="G1275" s="5">
        <v>3355.59</v>
      </c>
      <c r="H1275" s="5">
        <v>4.05</v>
      </c>
      <c r="I1275" s="5">
        <v>-3.23</v>
      </c>
      <c r="J1275" s="6">
        <v>-0.92</v>
      </c>
      <c r="K1275" s="5">
        <v>48.11</v>
      </c>
      <c r="L1275" s="6">
        <v>0.3667</v>
      </c>
      <c r="M1275" s="6">
        <v>-0.215</v>
      </c>
      <c r="N1275" s="6">
        <v>0.2</v>
      </c>
      <c r="O1275" s="6">
        <v>0.4333</v>
      </c>
      <c r="P1275" s="6">
        <v>0.3333</v>
      </c>
      <c r="Q1275" s="7"/>
      <c r="R1275" s="7"/>
    </row>
    <row r="1276" spans="1:18">
      <c r="A1276" s="4" t="s">
        <v>1722</v>
      </c>
      <c r="B1276" s="4">
        <f t="shared" si="19"/>
        <v>7</v>
      </c>
      <c r="C1276" s="4" t="s">
        <v>1723</v>
      </c>
      <c r="D1276" s="1" t="str">
        <f>IFERROR(VLOOKUP(A1276,[1]biopep_DB!$F$2:$J$1654,5,0),)</f>
        <v>Inhibition of angiotensin-converting enzyme by synthetic peptide fragments of various beta-caseins.</v>
      </c>
      <c r="E1276" s="1" t="str">
        <f>IFERROR(VLOOKUP(A1276,[1]biopep_DB!$F$2:$L$1654,6,0),0)</f>
        <v/>
      </c>
      <c r="F1276" s="1" t="str">
        <f>IFERROR(VLOOKUP(A1276,[1]biopep_DB!$F$2:$L$1654,7,0),0)</f>
        <v>1368548</v>
      </c>
      <c r="G1276" s="5">
        <v>777.91</v>
      </c>
      <c r="H1276" s="5">
        <v>5.53</v>
      </c>
      <c r="I1276" s="5">
        <v>-0.24</v>
      </c>
      <c r="J1276" s="6">
        <v>-0.4429</v>
      </c>
      <c r="K1276" s="5">
        <v>76.23</v>
      </c>
      <c r="L1276" s="6">
        <v>0.7143</v>
      </c>
      <c r="M1276" s="6">
        <v>-0.8914</v>
      </c>
      <c r="N1276" s="6">
        <v>0</v>
      </c>
      <c r="O1276" s="6">
        <v>0.4286</v>
      </c>
      <c r="P1276" s="6">
        <v>0.2857</v>
      </c>
      <c r="Q1276" s="7"/>
      <c r="R1276" s="7"/>
    </row>
    <row r="1277" spans="1:18">
      <c r="A1277" s="4" t="s">
        <v>1724</v>
      </c>
      <c r="B1277" s="4">
        <f t="shared" si="19"/>
        <v>9</v>
      </c>
      <c r="C1277" s="4" t="s">
        <v>25</v>
      </c>
      <c r="D1277" s="1" t="str">
        <f>IFERROR(VLOOKUP(A1277,[1]biopep_DB!$F$2:$J$1654,5,0),)</f>
        <v>QSAR study on angiotensin-converting enzyme inhibitor oligopeptides based on a novel set of sequence information descriptors.; A new QSAR model, for angiotensin I-converting enzyme inhibitory oligopeptides.</v>
      </c>
      <c r="E1277" s="1" t="str">
        <f>IFERROR(VLOOKUP(A1277,[1]biopep_DB!$F$2:$L$1654,6,0),0)</f>
        <v>10.1007/s00894-010-0862-x; 10.1016/j.foodchem.2012.09.092</v>
      </c>
      <c r="F1277" s="1" t="str">
        <f>IFERROR(VLOOKUP(A1277,[1]biopep_DB!$F$2:$L$1654,7,0),0)</f>
        <v>20941517 23194537</v>
      </c>
      <c r="G1277" s="5">
        <v>1030.09</v>
      </c>
      <c r="H1277" s="5">
        <v>5.52</v>
      </c>
      <c r="I1277" s="5">
        <v>-0.24</v>
      </c>
      <c r="J1277" s="6">
        <v>-0.4</v>
      </c>
      <c r="K1277" s="5">
        <v>4.79</v>
      </c>
      <c r="L1277" s="6">
        <v>0.2222</v>
      </c>
      <c r="M1277" s="6">
        <v>-0.5511</v>
      </c>
      <c r="N1277" s="6">
        <v>0.1111</v>
      </c>
      <c r="O1277" s="6">
        <v>0.4444</v>
      </c>
      <c r="P1277" s="6">
        <v>0.4444</v>
      </c>
      <c r="Q1277" s="7"/>
      <c r="R1277" s="7"/>
    </row>
    <row r="1278" spans="1:18">
      <c r="A1278" s="4" t="s">
        <v>1725</v>
      </c>
      <c r="B1278" s="4">
        <f t="shared" si="19"/>
        <v>4</v>
      </c>
      <c r="C1278" s="4" t="s">
        <v>698</v>
      </c>
      <c r="D1278" s="1" t="str">
        <f>IFERROR(VLOOKUP(A1278,[1]biopep_DB!$F$2:$J$1654,5,0),)</f>
        <v/>
      </c>
      <c r="E1278" s="1" t="str">
        <f>IFERROR(VLOOKUP(A1278,[1]biopep_DB!$F$2:$L$1654,6,0),0)</f>
        <v/>
      </c>
      <c r="F1278" s="1" t="str">
        <f>IFERROR(VLOOKUP(A1278,[1]biopep_DB!$F$2:$L$1654,7,0),0)</f>
        <v/>
      </c>
      <c r="G1278" s="5">
        <v>491.58</v>
      </c>
      <c r="H1278" s="5">
        <v>5.53</v>
      </c>
      <c r="I1278" s="5">
        <v>-0.24</v>
      </c>
      <c r="J1278" s="6">
        <v>1.925</v>
      </c>
      <c r="K1278" s="5">
        <v>-11.35</v>
      </c>
      <c r="L1278" s="6">
        <v>0.75</v>
      </c>
      <c r="M1278" s="6">
        <v>-2.425</v>
      </c>
      <c r="N1278" s="6">
        <v>0</v>
      </c>
      <c r="O1278" s="6">
        <v>0</v>
      </c>
      <c r="P1278" s="6">
        <v>0.75</v>
      </c>
      <c r="Q1278" s="7"/>
      <c r="R1278" s="7"/>
    </row>
    <row r="1279" spans="1:18">
      <c r="A1279" s="4" t="s">
        <v>1726</v>
      </c>
      <c r="B1279" s="4">
        <f t="shared" si="19"/>
        <v>2</v>
      </c>
      <c r="C1279" s="4" t="s">
        <v>1727</v>
      </c>
      <c r="D1279" s="1" t="str">
        <f>IFERROR(VLOOKUP(A1279,[1]biopep_DB!$F$2:$J$1654,5,0),)</f>
        <v>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1279" s="1" t="str">
        <f>IFERROR(VLOOKUP(A1279,[1]biopep_DB!$F$2:$L$1654,6,0),0)</f>
        <v>10.1002/psc.892; 10.1007/s00894-010-0862-x; 10.1016/j.jprot.2013.06.023; 10.1016/j.foodchem.2013.05.140</v>
      </c>
      <c r="F1279" s="1" t="str">
        <f>IFERROR(VLOOKUP(A1279,[1]biopep_DB!$F$2:$L$1654,7,0),0)</f>
        <v>17654623 20941517 23806758 23871047</v>
      </c>
      <c r="G1279" s="5">
        <v>245.28</v>
      </c>
      <c r="H1279" s="5">
        <v>9.75</v>
      </c>
      <c r="I1279" s="5">
        <v>0.76</v>
      </c>
      <c r="J1279" s="6">
        <v>-1.35</v>
      </c>
      <c r="K1279" s="5">
        <v>5</v>
      </c>
      <c r="L1279" s="6">
        <v>0.5</v>
      </c>
      <c r="M1279" s="6">
        <v>0.455</v>
      </c>
      <c r="N1279" s="6">
        <v>0.5</v>
      </c>
      <c r="O1279" s="6">
        <v>0</v>
      </c>
      <c r="P1279" s="6">
        <v>0</v>
      </c>
      <c r="Q1279" s="7"/>
      <c r="R1279" s="7"/>
    </row>
    <row r="1280" spans="1:18">
      <c r="A1280" s="4" t="s">
        <v>1728</v>
      </c>
      <c r="B1280" s="4">
        <f t="shared" si="19"/>
        <v>5</v>
      </c>
      <c r="C1280" s="4" t="s">
        <v>1729</v>
      </c>
      <c r="D1280" s="1" t="str">
        <f>IFERROR(VLOOKUP(A1280,[1]biopep_DB!$F$2:$J$1654,5,0),)</f>
        <v/>
      </c>
      <c r="E1280" s="1" t="str">
        <f>IFERROR(VLOOKUP(A1280,[1]biopep_DB!$F$2:$L$1654,6,0),0)</f>
        <v/>
      </c>
      <c r="F1280" s="1" t="str">
        <f>IFERROR(VLOOKUP(A1280,[1]biopep_DB!$F$2:$L$1654,7,0),0)</f>
        <v/>
      </c>
      <c r="G1280" s="5">
        <v>594.62</v>
      </c>
      <c r="H1280" s="5">
        <v>6.74</v>
      </c>
      <c r="I1280" s="5">
        <v>-0.15</v>
      </c>
      <c r="J1280" s="6">
        <v>-2.2</v>
      </c>
      <c r="K1280" s="5">
        <v>-14.74</v>
      </c>
      <c r="L1280" s="6">
        <v>0.4</v>
      </c>
      <c r="M1280" s="6">
        <v>0.716</v>
      </c>
      <c r="N1280" s="6">
        <v>0.2</v>
      </c>
      <c r="O1280" s="6">
        <v>0.4</v>
      </c>
      <c r="P1280" s="6">
        <v>0</v>
      </c>
      <c r="Q1280" s="7"/>
      <c r="R1280" s="7"/>
    </row>
    <row r="1281" spans="1:18">
      <c r="A1281" s="4" t="s">
        <v>1730</v>
      </c>
      <c r="B1281" s="4">
        <f t="shared" si="19"/>
        <v>6</v>
      </c>
      <c r="C1281" s="4"/>
      <c r="D1281" s="1" t="str">
        <f>IFERROR(VLOOKUP(A1281,[1]biopep_DB!$F$2:$J$1654,5,0),)</f>
        <v/>
      </c>
      <c r="E1281" s="1" t="str">
        <f>IFERROR(VLOOKUP(A1281,[1]biopep_DB!$F$2:$L$1654,6,0),0)</f>
        <v/>
      </c>
      <c r="F1281" s="1" t="str">
        <f>IFERROR(VLOOKUP(A1281,[1]biopep_DB!$F$2:$L$1654,7,0),0)</f>
        <v/>
      </c>
      <c r="G1281" s="5">
        <v>741.79</v>
      </c>
      <c r="H1281" s="5">
        <v>6.74</v>
      </c>
      <c r="I1281" s="5">
        <v>-0.15</v>
      </c>
      <c r="J1281" s="6">
        <v>-1.3667</v>
      </c>
      <c r="K1281" s="5">
        <v>21.48</v>
      </c>
      <c r="L1281" s="6">
        <v>0.5</v>
      </c>
      <c r="M1281" s="6">
        <v>0.1</v>
      </c>
      <c r="N1281" s="6">
        <v>0.1667</v>
      </c>
      <c r="O1281" s="6">
        <v>0.3333</v>
      </c>
      <c r="P1281" s="6">
        <v>0.1667</v>
      </c>
      <c r="Q1281" s="7"/>
      <c r="R1281" s="7"/>
    </row>
    <row r="1282" spans="1:18">
      <c r="A1282" s="4" t="s">
        <v>1731</v>
      </c>
      <c r="B1282" s="4">
        <f t="shared" si="19"/>
        <v>7</v>
      </c>
      <c r="C1282" s="4"/>
      <c r="D1282" s="1" t="str">
        <f>IFERROR(VLOOKUP(A1282,[1]biopep_DB!$F$2:$J$1654,5,0),)</f>
        <v>Antihypertensive peptides: production, bioavailability and incorporation into foods.; Antihypertensive peptides from food proteins: a review.</v>
      </c>
      <c r="E1282" s="1" t="str">
        <f>IFERROR(VLOOKUP(A1282,[1]biopep_DB!$F$2:$L$1654,6,0),0)</f>
        <v>10.1016/j.cis.2010.11.001; 10.1039/c2fo10192k</v>
      </c>
      <c r="F1282" s="1" t="str">
        <f>IFERROR(VLOOKUP(A1282,[1]biopep_DB!$F$2:$L$1654,7,0),0)</f>
        <v>21185549 22249830</v>
      </c>
      <c r="G1282" s="5">
        <v>854.95</v>
      </c>
      <c r="H1282" s="5">
        <v>6.74</v>
      </c>
      <c r="I1282" s="5">
        <v>-0.15</v>
      </c>
      <c r="J1282" s="6">
        <v>-0.6286</v>
      </c>
      <c r="K1282" s="5">
        <v>19.84</v>
      </c>
      <c r="L1282" s="6">
        <v>0.5714</v>
      </c>
      <c r="M1282" s="6">
        <v>-0.6171</v>
      </c>
      <c r="N1282" s="6">
        <v>0.2857</v>
      </c>
      <c r="O1282" s="6">
        <v>0.2857</v>
      </c>
      <c r="P1282" s="6">
        <v>0.2857</v>
      </c>
      <c r="Q1282" s="7"/>
      <c r="R1282" s="7"/>
    </row>
    <row r="1283" spans="1:18">
      <c r="A1283" s="4" t="s">
        <v>1732</v>
      </c>
      <c r="B1283" s="4">
        <f t="shared" si="19"/>
        <v>12</v>
      </c>
      <c r="C1283" s="4"/>
      <c r="D1283" s="1" t="str">
        <f>IFERROR(VLOOKUP(A1283,[1]biopep_DB!$F$2:$J$1654,5,0),)</f>
        <v/>
      </c>
      <c r="E1283" s="1" t="str">
        <f>IFERROR(VLOOKUP(A1283,[1]biopep_DB!$F$2:$L$1654,6,0),0)</f>
        <v/>
      </c>
      <c r="F1283" s="1" t="str">
        <f>IFERROR(VLOOKUP(A1283,[1]biopep_DB!$F$2:$L$1654,7,0),0)</f>
        <v/>
      </c>
      <c r="G1283" s="5">
        <v>1509.59</v>
      </c>
      <c r="H1283" s="5">
        <v>8.76</v>
      </c>
      <c r="I1283" s="5">
        <v>0.94</v>
      </c>
      <c r="J1283" s="6">
        <v>-2.2083</v>
      </c>
      <c r="K1283" s="5">
        <v>-4.19</v>
      </c>
      <c r="L1283" s="6">
        <v>0.1667</v>
      </c>
      <c r="M1283" s="6">
        <v>0.6325</v>
      </c>
      <c r="N1283" s="6">
        <v>0.1667</v>
      </c>
      <c r="O1283" s="6">
        <v>0.3333</v>
      </c>
      <c r="P1283" s="6">
        <v>0.1667</v>
      </c>
      <c r="Q1283" s="7"/>
      <c r="R1283" s="7"/>
    </row>
    <row r="1284" spans="1:18">
      <c r="A1284" s="4" t="s">
        <v>1733</v>
      </c>
      <c r="B1284" s="4">
        <f t="shared" si="19"/>
        <v>4</v>
      </c>
      <c r="C1284" s="4" t="s">
        <v>1734</v>
      </c>
      <c r="D1284" s="1" t="str">
        <f>IFERROR(VLOOKUP(A1284,[1]biopep_DB!$F$2:$J$1654,5,0),)</f>
        <v>Glycinyl-histidinyl-serine (GHS), a novel rapeseed protein-derived peptide has blood pressure-lowering effect in spontaneously hypertensive rats.</v>
      </c>
      <c r="E1284" s="1" t="str">
        <f>IFERROR(VLOOKUP(A1284,[1]biopep_DB!$F$2:$L$1654,6,0),0)</f>
        <v>10.1021/jf400865m</v>
      </c>
      <c r="F1284" s="1" t="str">
        <f>IFERROR(VLOOKUP(A1284,[1]biopep_DB!$F$2:$L$1654,7,0),0)</f>
        <v>23919612</v>
      </c>
      <c r="G1284" s="5">
        <v>455.55</v>
      </c>
      <c r="H1284" s="5">
        <v>9.75</v>
      </c>
      <c r="I1284" s="5">
        <v>0.76</v>
      </c>
      <c r="J1284" s="6">
        <v>-0.125</v>
      </c>
      <c r="K1284" s="5">
        <v>55.65</v>
      </c>
      <c r="L1284" s="6">
        <v>0.75</v>
      </c>
      <c r="M1284" s="6">
        <v>-1.0025</v>
      </c>
      <c r="N1284" s="6">
        <v>0.5</v>
      </c>
      <c r="O1284" s="6">
        <v>0.25</v>
      </c>
      <c r="P1284" s="6">
        <v>0.25</v>
      </c>
      <c r="Q1284" s="7"/>
      <c r="R1284" s="7"/>
    </row>
    <row r="1285" spans="1:18">
      <c r="A1285" s="4" t="s">
        <v>1735</v>
      </c>
      <c r="B1285" s="4">
        <f t="shared" si="19"/>
        <v>9</v>
      </c>
      <c r="C1285" s="4"/>
      <c r="G1285" s="5">
        <v>957.08</v>
      </c>
      <c r="H1285" s="5">
        <v>5.84</v>
      </c>
      <c r="I1285" s="5">
        <v>-0.24</v>
      </c>
      <c r="J1285" s="6">
        <v>0.2667</v>
      </c>
      <c r="K1285" s="5">
        <v>8.89</v>
      </c>
      <c r="L1285" s="6">
        <v>0.5556</v>
      </c>
      <c r="M1285" s="6">
        <v>-1.0678</v>
      </c>
      <c r="N1285" s="6">
        <v>0.3333</v>
      </c>
      <c r="O1285" s="6">
        <v>0.4444</v>
      </c>
      <c r="P1285" s="6">
        <v>0.3333</v>
      </c>
      <c r="Q1285" s="7"/>
      <c r="R1285" s="7"/>
    </row>
    <row r="1286" spans="1:18">
      <c r="A1286" s="4" t="s">
        <v>1736</v>
      </c>
      <c r="B1286" s="4">
        <f t="shared" ref="B1286:B1349" si="20">LEN(A1286)</f>
        <v>5</v>
      </c>
      <c r="C1286" s="4" t="s">
        <v>31</v>
      </c>
      <c r="D1286" s="1" t="str">
        <f>IFERROR(VLOOKUP(A1286,[1]biopep_DB!$F$2:$J$1654,5,0),)</f>
        <v/>
      </c>
      <c r="E1286" s="1" t="str">
        <f>IFERROR(VLOOKUP(A1286,[1]biopep_DB!$F$2:$L$1654,6,0),0)</f>
        <v/>
      </c>
      <c r="F1286" s="1" t="str">
        <f>IFERROR(VLOOKUP(A1286,[1]biopep_DB!$F$2:$L$1654,7,0),0)</f>
        <v/>
      </c>
      <c r="G1286" s="5">
        <v>604.68</v>
      </c>
      <c r="H1286" s="5">
        <v>5.99</v>
      </c>
      <c r="I1286" s="5">
        <v>-0.25</v>
      </c>
      <c r="J1286" s="6">
        <v>-1.56</v>
      </c>
      <c r="K1286" s="5">
        <v>81.28</v>
      </c>
      <c r="L1286" s="6">
        <v>0.2</v>
      </c>
      <c r="M1286" s="6">
        <v>0.668</v>
      </c>
      <c r="N1286" s="6">
        <v>0.2</v>
      </c>
      <c r="O1286" s="6">
        <v>0.2</v>
      </c>
      <c r="P1286" s="6">
        <v>0.2</v>
      </c>
      <c r="Q1286" s="7"/>
      <c r="R1286" s="7"/>
    </row>
    <row r="1287" spans="1:18">
      <c r="A1287" s="4" t="s">
        <v>1737</v>
      </c>
      <c r="B1287" s="4">
        <f t="shared" si="20"/>
        <v>5</v>
      </c>
      <c r="C1287" s="4"/>
      <c r="D1287" s="1" t="str">
        <f>IFERROR(VLOOKUP(A1287,[1]biopep_DB!$F$2:$J$1654,5,0),)</f>
        <v/>
      </c>
      <c r="E1287" s="1" t="str">
        <f>IFERROR(VLOOKUP(A1287,[1]biopep_DB!$F$2:$L$1654,6,0),0)</f>
        <v/>
      </c>
      <c r="F1287" s="1" t="str">
        <f>IFERROR(VLOOKUP(A1287,[1]biopep_DB!$F$2:$L$1654,7,0),0)</f>
        <v/>
      </c>
      <c r="G1287" s="5">
        <v>556.61</v>
      </c>
      <c r="H1287" s="5">
        <v>5.84</v>
      </c>
      <c r="I1287" s="5">
        <v>-0.24</v>
      </c>
      <c r="J1287" s="6">
        <v>-1.24</v>
      </c>
      <c r="K1287" s="5">
        <v>46.52</v>
      </c>
      <c r="L1287" s="6">
        <v>0.4</v>
      </c>
      <c r="M1287" s="6">
        <v>-0.292</v>
      </c>
      <c r="N1287" s="6">
        <v>0.2</v>
      </c>
      <c r="O1287" s="6">
        <v>0.6</v>
      </c>
      <c r="P1287" s="6">
        <v>0.2</v>
      </c>
      <c r="Q1287" s="7"/>
      <c r="R1287" s="7"/>
    </row>
    <row r="1288" spans="1:18">
      <c r="A1288" s="4" t="s">
        <v>1738</v>
      </c>
      <c r="B1288" s="4">
        <f t="shared" si="20"/>
        <v>8</v>
      </c>
      <c r="C1288" s="4" t="s">
        <v>1739</v>
      </c>
      <c r="D1288" s="1" t="str">
        <f>IFERROR(VLOOKUP(A1288,[1]biopep_DB!$F$2:$J$1654,5,0),)</f>
        <v>Identification of angiotensin-I-converting enzyme inhibitory peptides derived from sodium caseinate hydrolysates produced by Lactobacillus helveticus NCC 2765.; A new QSAR model, for angiotensin I-converting enzyme inhibitory oligopeptides.</v>
      </c>
      <c r="E1288" s="1" t="str">
        <f>IFERROR(VLOOKUP(A1288,[1]biopep_DB!$F$2:$L$1654,6,0),0)</f>
        <v>10.1021/jf049510t; 10.1016/j.foodchem.2012.09.092</v>
      </c>
      <c r="F1288" s="1" t="str">
        <f>IFERROR(VLOOKUP(A1288,[1]biopep_DB!$F$2:$L$1654,7,0),0)</f>
        <v>15537298 23194537</v>
      </c>
      <c r="G1288" s="5">
        <v>977.14</v>
      </c>
      <c r="H1288" s="5">
        <v>5.84</v>
      </c>
      <c r="I1288" s="5">
        <v>-0.24</v>
      </c>
      <c r="J1288" s="6">
        <v>-0.2625</v>
      </c>
      <c r="K1288" s="5">
        <v>63.67</v>
      </c>
      <c r="L1288" s="6">
        <v>0.625</v>
      </c>
      <c r="M1288" s="6">
        <v>-0.7875</v>
      </c>
      <c r="N1288" s="6">
        <v>0.25</v>
      </c>
      <c r="O1288" s="6">
        <v>0.25</v>
      </c>
      <c r="P1288" s="6">
        <v>0.25</v>
      </c>
      <c r="Q1288" s="7"/>
      <c r="R1288" s="7"/>
    </row>
    <row r="1289" spans="1:18">
      <c r="A1289" s="4" t="s">
        <v>1740</v>
      </c>
      <c r="B1289" s="4">
        <f t="shared" si="20"/>
        <v>8</v>
      </c>
      <c r="C1289" s="4" t="s">
        <v>1466</v>
      </c>
      <c r="D1289" s="1" t="str">
        <f>IFERROR(VLOOKUP(A1289,[1]biopep_DB!$F$2:$J$1654,5,0),)</f>
        <v/>
      </c>
      <c r="E1289" s="1" t="str">
        <f>IFERROR(VLOOKUP(A1289,[1]biopep_DB!$F$2:$L$1654,6,0),0)</f>
        <v/>
      </c>
      <c r="F1289" s="1" t="str">
        <f>IFERROR(VLOOKUP(A1289,[1]biopep_DB!$F$2:$L$1654,7,0),0)</f>
        <v/>
      </c>
      <c r="G1289" s="5">
        <v>889.01</v>
      </c>
      <c r="H1289" s="5">
        <v>8.75</v>
      </c>
      <c r="I1289" s="5">
        <v>0.76</v>
      </c>
      <c r="J1289" s="6">
        <v>-0.4625</v>
      </c>
      <c r="K1289" s="5">
        <v>22.21</v>
      </c>
      <c r="L1289" s="6">
        <v>0.375</v>
      </c>
      <c r="M1289" s="6">
        <v>-0.3938</v>
      </c>
      <c r="N1289" s="6">
        <v>0.5</v>
      </c>
      <c r="O1289" s="6">
        <v>0.25</v>
      </c>
      <c r="P1289" s="6">
        <v>0.25</v>
      </c>
      <c r="Q1289" s="7"/>
      <c r="R1289" s="7"/>
    </row>
    <row r="1290" spans="1:18">
      <c r="A1290" s="4" t="s">
        <v>1741</v>
      </c>
      <c r="B1290" s="4">
        <f t="shared" si="20"/>
        <v>5</v>
      </c>
      <c r="C1290" s="4"/>
      <c r="D1290" s="1" t="str">
        <f>IFERROR(VLOOKUP(A1290,[1]biopep_DB!$F$2:$J$1654,5,0),)</f>
        <v>Enterococcus faecalis strains from food, environmental, and clinical origin produce ACE-inhibitory peptides and other bioactive peptides during growth in bovine skim milk.</v>
      </c>
      <c r="E1290" s="1" t="str">
        <f>IFERROR(VLOOKUP(A1290,[1]biopep_DB!$F$2:$L$1654,6,0),0)</f>
        <v>10.1016/j.ijfoodmicro.2013.06.019</v>
      </c>
      <c r="F1290" s="1" t="str">
        <f>IFERROR(VLOOKUP(A1290,[1]biopep_DB!$F$2:$L$1654,7,0),0)</f>
        <v>23845432</v>
      </c>
      <c r="G1290" s="5">
        <v>674.7</v>
      </c>
      <c r="H1290" s="5">
        <v>4.52</v>
      </c>
      <c r="I1290" s="5">
        <v>-2.23</v>
      </c>
      <c r="J1290" s="6">
        <v>-2.24</v>
      </c>
      <c r="K1290" s="5">
        <v>73.2</v>
      </c>
      <c r="L1290" s="6">
        <v>0.2</v>
      </c>
      <c r="M1290" s="6">
        <v>0.544</v>
      </c>
      <c r="N1290" s="6">
        <v>0.8</v>
      </c>
      <c r="O1290" s="6">
        <v>0</v>
      </c>
      <c r="P1290" s="6">
        <v>0.2</v>
      </c>
      <c r="Q1290" s="7"/>
      <c r="R1290" s="7"/>
    </row>
    <row r="1291" spans="1:18">
      <c r="A1291" s="4" t="s">
        <v>1742</v>
      </c>
      <c r="B1291" s="4">
        <f t="shared" si="20"/>
        <v>6</v>
      </c>
      <c r="C1291" s="4" t="s">
        <v>1362</v>
      </c>
      <c r="D1291" s="1" t="str">
        <f>IFERROR(VLOOKUP(A1291,[1]biopep_DB!$F$2:$J$1654,5,0),)</f>
        <v>A new QSAR model, for angiotensin I-converting enzyme inhibitory oligopeptides.</v>
      </c>
      <c r="E1291" s="1" t="str">
        <f>IFERROR(VLOOKUP(A1291,[1]biopep_DB!$F$2:$L$1654,6,0),0)</f>
        <v>10.1016/j.foodchem.2012.09.092</v>
      </c>
      <c r="F1291" s="1" t="str">
        <f>IFERROR(VLOOKUP(A1291,[1]biopep_DB!$F$2:$L$1654,7,0),0)</f>
        <v>23194537</v>
      </c>
      <c r="G1291" s="5">
        <v>787.86</v>
      </c>
      <c r="H1291" s="5">
        <v>4.25</v>
      </c>
      <c r="I1291" s="5">
        <v>-2.23</v>
      </c>
      <c r="J1291" s="6">
        <v>-1.2333</v>
      </c>
      <c r="K1291" s="5">
        <v>62.67</v>
      </c>
      <c r="L1291" s="6">
        <v>0.3333</v>
      </c>
      <c r="M1291" s="6">
        <v>-0.3667</v>
      </c>
      <c r="N1291" s="6">
        <v>0.8333</v>
      </c>
      <c r="O1291" s="6">
        <v>0</v>
      </c>
      <c r="P1291" s="6">
        <v>0.3333</v>
      </c>
      <c r="Q1291" s="7"/>
      <c r="R1291" s="7"/>
    </row>
    <row r="1292" spans="1:18">
      <c r="A1292" s="4" t="s">
        <v>1743</v>
      </c>
      <c r="B1292" s="4">
        <f t="shared" si="20"/>
        <v>6</v>
      </c>
      <c r="C1292" s="4"/>
      <c r="D1292" s="1" t="str">
        <f>IFERROR(VLOOKUP(A1292,[1]biopep_DB!$F$2:$J$1654,5,0),)</f>
        <v/>
      </c>
      <c r="E1292" s="1" t="str">
        <f>IFERROR(VLOOKUP(A1292,[1]biopep_DB!$F$2:$L$1654,6,0),0)</f>
        <v/>
      </c>
      <c r="F1292" s="1" t="str">
        <f>IFERROR(VLOOKUP(A1292,[1]biopep_DB!$F$2:$L$1654,7,0),0)</f>
        <v/>
      </c>
      <c r="G1292" s="5">
        <v>802.83</v>
      </c>
      <c r="H1292" s="5">
        <v>4.25</v>
      </c>
      <c r="I1292" s="5">
        <v>-2.23</v>
      </c>
      <c r="J1292" s="6">
        <v>-2.45</v>
      </c>
      <c r="K1292" s="5">
        <v>126.87</v>
      </c>
      <c r="L1292" s="6">
        <v>0.1667</v>
      </c>
      <c r="M1292" s="6">
        <v>0.68</v>
      </c>
      <c r="N1292" s="6">
        <v>0.6667</v>
      </c>
      <c r="O1292" s="6">
        <v>0</v>
      </c>
      <c r="P1292" s="6">
        <v>0.1667</v>
      </c>
      <c r="Q1292" s="7"/>
      <c r="R1292" s="7"/>
    </row>
    <row r="1293" spans="1:18">
      <c r="A1293" s="4" t="s">
        <v>1744</v>
      </c>
      <c r="B1293" s="4">
        <f t="shared" si="20"/>
        <v>8</v>
      </c>
      <c r="C1293" s="4"/>
      <c r="G1293" s="5">
        <v>991.14</v>
      </c>
      <c r="H1293" s="5">
        <v>6</v>
      </c>
      <c r="I1293" s="5">
        <v>-0.24</v>
      </c>
      <c r="J1293" s="6">
        <v>0.1</v>
      </c>
      <c r="K1293" s="5">
        <v>8.75</v>
      </c>
      <c r="L1293" s="6">
        <v>0.5</v>
      </c>
      <c r="M1293" s="6">
        <v>-1.2288</v>
      </c>
      <c r="N1293" s="6">
        <v>0.5</v>
      </c>
      <c r="O1293" s="6">
        <v>0</v>
      </c>
      <c r="P1293" s="6">
        <v>0.5</v>
      </c>
      <c r="Q1293" s="7"/>
      <c r="R1293" s="7"/>
    </row>
    <row r="1294" spans="1:18">
      <c r="A1294" s="4" t="s">
        <v>1745</v>
      </c>
      <c r="B1294" s="4">
        <f t="shared" si="20"/>
        <v>2</v>
      </c>
      <c r="C1294" s="4" t="s">
        <v>36</v>
      </c>
      <c r="D1294" s="1" t="str">
        <f>IFERROR(VLOOKUP(A1294,[1]biopep_DB!$F$2:$J$1654,5,0),)</f>
        <v>Structure and activity of angiotensin I converting enzyme inhibitory peptides from sake and sake lees.;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Bioactive peptides in amaranth (Amaranthus hypochondriacus) seed.; QSAR study on angiotensin-converting enzyme inhibitor oligopeptides based on a novel set of sequence information descriptors.; Antihypertensive peptides from food proteins: a review.; Vegetable foods: a cheap source of proteins and peptides with antihypertensive, antioxidant, and other less occurrence bioactivities.; What are the ideal properties for functional food peptides with antihypertensive effect? A computational peptidology approach.</v>
      </c>
      <c r="E1294" s="1" t="str">
        <f>IFERROR(VLOOKUP(A1294,[1]biopep_DB!$F$2:$L$1654,6,0),0)</f>
        <v>10.1271/bbb.58.1767; 10.1021/jf051263l; 10.1002/psc.800; 10.1002/psc.892; 10.1021/jf072911z; 10.1007/s00894-010-0862-x; 10.1039/c2fo10192k; 10.1016/j.talanta.2012.12.041; 10.1016/j.foodchem.2013.05.140</v>
      </c>
      <c r="F1294" s="1" t="str">
        <f>IFERROR(VLOOKUP(A1294,[1]biopep_DB!$F$2:$L$1654,7,0),0)</f>
        <v>7765503 16448176 17117396 17654623 18211015 20941517 22249830 23598136 23871047</v>
      </c>
      <c r="G1294" s="5">
        <v>321.37</v>
      </c>
      <c r="H1294" s="5">
        <v>9.75</v>
      </c>
      <c r="I1294" s="5">
        <v>0.76</v>
      </c>
      <c r="J1294" s="6">
        <v>-0.85</v>
      </c>
      <c r="K1294" s="5">
        <v>5</v>
      </c>
      <c r="L1294" s="6">
        <v>0.5</v>
      </c>
      <c r="M1294" s="6">
        <v>-0.13</v>
      </c>
      <c r="N1294" s="6">
        <v>0</v>
      </c>
      <c r="O1294" s="6">
        <v>0</v>
      </c>
      <c r="P1294" s="6">
        <v>0.5</v>
      </c>
      <c r="Q1294" s="7"/>
      <c r="R1294" s="7"/>
    </row>
    <row r="1295" spans="1:18">
      <c r="A1295" s="4" t="s">
        <v>1746</v>
      </c>
      <c r="B1295" s="4">
        <f t="shared" si="20"/>
        <v>3</v>
      </c>
      <c r="C1295" s="4" t="s">
        <v>36</v>
      </c>
      <c r="D1295" s="1" t="str">
        <f>IFERROR(VLOOKUP(A1295,[1]biopep_DB!$F$2:$J$1654,5,0),)</f>
        <v>Angiotensin I-converting enzyme inhibitory peptides in an alkaline protease hydrolyzate derived from sardine muscle.; Structural requirements of Angiotensin I-converting enzyme inhibitory peptides: quantitative structure-activity relationship study of di- and tripeptides.; Review on the angiotensin-I-converting enzyme (ACE) inhibitor peptides from marine proteins.; What are the ideal properties for functional food peptides with antihypertensive effect? A computational peptidology approach.</v>
      </c>
      <c r="E1295" s="1" t="str">
        <f>IFERROR(VLOOKUP(A1295,[1]biopep_DB!$F$2:$L$1654,6,0),0)</f>
        <v>10.1271/bbb.58.2244; 10.1021/jf051263l; 10.1007/s12010-012-0024-y; 10.1016/j.foodchem.2013.05.140</v>
      </c>
      <c r="F1295" s="1" t="str">
        <f>IFERROR(VLOOKUP(A1295,[1]biopep_DB!$F$2:$L$1654,7,0),0)</f>
        <v>7765718 16448176 23271625 23871047</v>
      </c>
      <c r="G1295" s="5">
        <v>458.51</v>
      </c>
      <c r="H1295" s="5">
        <v>9.76</v>
      </c>
      <c r="I1295" s="5">
        <v>0.85</v>
      </c>
      <c r="J1295" s="6">
        <v>-1.6333</v>
      </c>
      <c r="K1295" s="5">
        <v>6.67</v>
      </c>
      <c r="L1295" s="6">
        <v>0.3333</v>
      </c>
      <c r="M1295" s="6">
        <v>0.2433</v>
      </c>
      <c r="N1295" s="6">
        <v>0</v>
      </c>
      <c r="O1295" s="6">
        <v>0</v>
      </c>
      <c r="P1295" s="6">
        <v>0.3333</v>
      </c>
      <c r="Q1295" s="7"/>
      <c r="R1295" s="7"/>
    </row>
    <row r="1296" spans="1:18">
      <c r="A1296" s="4" t="s">
        <v>1747</v>
      </c>
      <c r="B1296" s="4">
        <f t="shared" si="20"/>
        <v>2</v>
      </c>
      <c r="C1296" s="4" t="s">
        <v>36</v>
      </c>
      <c r="D1296" s="1" t="str">
        <f>IFERROR(VLOOKUP(A1296,[1]biopep_DB!$F$2:$J$1654,5,0),)</f>
        <v>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v>
      </c>
      <c r="E1296" s="1" t="str">
        <f>IFERROR(VLOOKUP(A1296,[1]biopep_DB!$F$2:$L$1654,6,0),0)</f>
        <v>10.1021/jf051263l; 10.1002/psc.800</v>
      </c>
      <c r="F1296" s="1" t="str">
        <f>IFERROR(VLOOKUP(A1296,[1]biopep_DB!$F$2:$L$1654,7,0),0)</f>
        <v>16448176 17117396</v>
      </c>
      <c r="G1296" s="5">
        <v>231.25</v>
      </c>
      <c r="H1296" s="5">
        <v>9.75</v>
      </c>
      <c r="I1296" s="5">
        <v>0.76</v>
      </c>
      <c r="J1296" s="6">
        <v>-2.45</v>
      </c>
      <c r="K1296" s="5">
        <v>-37.45</v>
      </c>
      <c r="L1296" s="6">
        <v>0</v>
      </c>
      <c r="M1296" s="6">
        <v>0.89</v>
      </c>
      <c r="N1296" s="6">
        <v>0</v>
      </c>
      <c r="O1296" s="6">
        <v>0.5</v>
      </c>
      <c r="P1296" s="6">
        <v>0</v>
      </c>
      <c r="Q1296" s="7"/>
      <c r="R1296" s="7"/>
    </row>
    <row r="1297" spans="1:18">
      <c r="A1297" s="4" t="s">
        <v>1748</v>
      </c>
      <c r="B1297" s="4">
        <f t="shared" si="20"/>
        <v>6</v>
      </c>
      <c r="C1297" s="4"/>
      <c r="D1297" s="1" t="str">
        <f>IFERROR(VLOOKUP(A1297,[1]biopep_DB!$F$2:$J$1654,5,0),)</f>
        <v/>
      </c>
      <c r="E1297" s="1" t="str">
        <f>IFERROR(VLOOKUP(A1297,[1]biopep_DB!$F$2:$L$1654,6,0),0)</f>
        <v/>
      </c>
      <c r="F1297" s="1" t="str">
        <f>IFERROR(VLOOKUP(A1297,[1]biopep_DB!$F$2:$L$1654,7,0),0)</f>
        <v/>
      </c>
      <c r="G1297" s="5">
        <v>700.79</v>
      </c>
      <c r="H1297" s="5">
        <v>9.6</v>
      </c>
      <c r="I1297" s="5">
        <v>0.76</v>
      </c>
      <c r="J1297" s="6">
        <v>-1.2167</v>
      </c>
      <c r="K1297" s="5">
        <v>-5.82</v>
      </c>
      <c r="L1297" s="6">
        <v>0.3333</v>
      </c>
      <c r="M1297" s="6">
        <v>-0.0983</v>
      </c>
      <c r="N1297" s="6">
        <v>0.5</v>
      </c>
      <c r="O1297" s="6">
        <v>0.1667</v>
      </c>
      <c r="P1297" s="6">
        <v>0.1667</v>
      </c>
      <c r="Q1297" s="7"/>
      <c r="R1297" s="7"/>
    </row>
    <row r="1298" spans="1:18">
      <c r="A1298" s="4" t="s">
        <v>1749</v>
      </c>
      <c r="B1298" s="4">
        <f t="shared" si="20"/>
        <v>3</v>
      </c>
      <c r="C1298" s="4"/>
      <c r="D1298" s="1" t="str">
        <f>IFERROR(VLOOKUP(A1298,[1]biopep_DB!$F$2:$J$1654,5,0),)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298" s="1" t="str">
        <f>IFERROR(VLOOKUP(A1298,[1]biopep_DB!$F$2:$L$1654,6,0),0)</f>
        <v>10.1002/psc.800; 10.1007/s00894-010-0862-x; 10.1016/j.foodchem.2013.05.140</v>
      </c>
      <c r="F1298" s="1" t="str">
        <f>IFERROR(VLOOKUP(A1298,[1]biopep_DB!$F$2:$L$1654,7,0),0)</f>
        <v>17117396 20941517 23871047</v>
      </c>
      <c r="G1298" s="5">
        <v>328.37</v>
      </c>
      <c r="H1298" s="5">
        <v>9.75</v>
      </c>
      <c r="I1298" s="5">
        <v>0.76</v>
      </c>
      <c r="J1298" s="6">
        <v>-2.1667</v>
      </c>
      <c r="K1298" s="5">
        <v>-21.63</v>
      </c>
      <c r="L1298" s="6">
        <v>0.3333</v>
      </c>
      <c r="M1298" s="6">
        <v>0.5933</v>
      </c>
      <c r="N1298" s="6">
        <v>0</v>
      </c>
      <c r="O1298" s="6">
        <v>0.6667</v>
      </c>
      <c r="P1298" s="6">
        <v>0</v>
      </c>
      <c r="Q1298" s="7"/>
      <c r="R1298" s="7"/>
    </row>
    <row r="1299" spans="1:18">
      <c r="A1299" s="4" t="s">
        <v>1750</v>
      </c>
      <c r="B1299" s="4">
        <f t="shared" si="20"/>
        <v>8</v>
      </c>
      <c r="C1299" s="4" t="s">
        <v>62</v>
      </c>
      <c r="D1299" s="1" t="str">
        <f>IFERROR(VLOOKUP(A1299,[1]biopep_DB!$F$2:$J$1654,5,0),)</f>
        <v>Putting microbes to work: dairy fermentation, cell factories and bioactive peptides. Part I: overview.</v>
      </c>
      <c r="E1299" s="1" t="str">
        <f>IFERROR(VLOOKUP(A1299,[1]biopep_DB!$F$2:$L$1654,6,0),0)</f>
        <v>10.1002/biot.200600246</v>
      </c>
      <c r="F1299" s="1" t="str">
        <f>IFERROR(VLOOKUP(A1299,[1]biopep_DB!$F$2:$L$1654,7,0),0)</f>
        <v>17407210</v>
      </c>
      <c r="G1299" s="5">
        <v>898.1</v>
      </c>
      <c r="H1299" s="5">
        <v>9.75</v>
      </c>
      <c r="I1299" s="5">
        <v>0.76</v>
      </c>
      <c r="J1299" s="6">
        <v>0.9875</v>
      </c>
      <c r="K1299" s="5">
        <v>35.67</v>
      </c>
      <c r="L1299" s="6">
        <v>0.75</v>
      </c>
      <c r="M1299" s="6">
        <v>-1.885</v>
      </c>
      <c r="N1299" s="6">
        <v>0</v>
      </c>
      <c r="O1299" s="6">
        <v>0.375</v>
      </c>
      <c r="P1299" s="6">
        <v>0.5</v>
      </c>
      <c r="Q1299" s="7"/>
      <c r="R1299" s="7"/>
    </row>
    <row r="1300" spans="1:18">
      <c r="A1300" s="4" t="s">
        <v>1751</v>
      </c>
      <c r="B1300" s="4">
        <f t="shared" si="20"/>
        <v>3</v>
      </c>
      <c r="C1300" s="4" t="s">
        <v>1752</v>
      </c>
      <c r="D1300" s="1" t="str">
        <f>IFERROR(VLOOKUP(A1300,[1]biopep_DB!$F$2:$J$1654,5,0),)</f>
        <v>ACE inhibitory peptides and antioxidant peptides derived from in vitro digestion hydrolysate of hen egg white lysozyme.</v>
      </c>
      <c r="E1300" s="1" t="str">
        <f>IFERROR(VLOOKUP(A1300,[1]biopep_DB!$F$2:$L$1654,6,0),0)</f>
        <v>10.1016/j.foodchem.2012.05.059</v>
      </c>
      <c r="F1300" s="1" t="str">
        <f>IFERROR(VLOOKUP(A1300,[1]biopep_DB!$F$2:$L$1654,7,0),0)</f>
        <v>22953850</v>
      </c>
      <c r="G1300" s="5">
        <v>394.43</v>
      </c>
      <c r="H1300" s="5">
        <v>8.75</v>
      </c>
      <c r="I1300" s="5">
        <v>0.76</v>
      </c>
      <c r="J1300" s="6">
        <v>-2.0667</v>
      </c>
      <c r="K1300" s="5">
        <v>-49.93</v>
      </c>
      <c r="L1300" s="6">
        <v>0</v>
      </c>
      <c r="M1300" s="6">
        <v>0.64</v>
      </c>
      <c r="N1300" s="6">
        <v>0</v>
      </c>
      <c r="O1300" s="6">
        <v>0.3333</v>
      </c>
      <c r="P1300" s="6">
        <v>0.3333</v>
      </c>
      <c r="Q1300" s="7"/>
      <c r="R1300" s="7"/>
    </row>
    <row r="1301" spans="1:18">
      <c r="A1301" s="4" t="s">
        <v>1753</v>
      </c>
      <c r="B1301" s="4">
        <f t="shared" si="20"/>
        <v>5</v>
      </c>
      <c r="C1301" s="4" t="s">
        <v>1754</v>
      </c>
      <c r="D1301" s="1" t="str">
        <f>IFERROR(VLOOKUP(A1301,[1]biopep_DB!$F$2:$J$1654,5,0),)</f>
        <v>Novel angiotensin I-converting enzyme inhibitory peptides derived from edible mushroom Agaricus bisporus (J.E. Lange) Imbach identified by LC-MS/MS.</v>
      </c>
      <c r="E1301" s="1" t="str">
        <f>IFERROR(VLOOKUP(A1301,[1]biopep_DB!$F$2:$L$1654,6,0),0)</f>
        <v>10.1016/j.foodchem.2013.10.053</v>
      </c>
      <c r="F1301" s="1" t="str">
        <f>IFERROR(VLOOKUP(A1301,[1]biopep_DB!$F$2:$L$1654,7,0),0)</f>
        <v>24262574</v>
      </c>
      <c r="G1301" s="5">
        <v>604.74</v>
      </c>
      <c r="H1301" s="5">
        <v>9.75</v>
      </c>
      <c r="I1301" s="5">
        <v>0.76</v>
      </c>
      <c r="J1301" s="6">
        <v>1.24</v>
      </c>
      <c r="K1301" s="5">
        <v>8</v>
      </c>
      <c r="L1301" s="6">
        <v>0.6</v>
      </c>
      <c r="M1301" s="6">
        <v>-2.208</v>
      </c>
      <c r="N1301" s="6">
        <v>0.2</v>
      </c>
      <c r="O1301" s="6">
        <v>0.2</v>
      </c>
      <c r="P1301" s="6">
        <v>0.6</v>
      </c>
      <c r="Q1301" s="7"/>
      <c r="R1301" s="7"/>
    </row>
    <row r="1302" spans="1:18">
      <c r="A1302" s="4" t="s">
        <v>1755</v>
      </c>
      <c r="B1302" s="4">
        <f t="shared" si="20"/>
        <v>3</v>
      </c>
      <c r="C1302" s="4" t="s">
        <v>36</v>
      </c>
      <c r="D1302" s="1" t="str">
        <f>IFERROR(VLOOKUP(A1302,[1]biopep_DB!$F$2:$J$1654,5,0),)</f>
        <v>New antihypertensive peptides isolated from rapeseed.; Structural requirements of Angiotensin I-converting enzyme inhibitory peptides: quantitative structure-activity relationship study of di- and tripeptides.; Angiotensin converting enzyme inhibitory peptides derived from food proteins: biochemistry, bioactivity and production.; Antihypertensive peptides from food proteins: a review.; What are the ideal properties for functional food peptides with antihypertensive effect? A computational peptidology approach.; Glycinyl-histidinyl-serine (GHS), a novel rapeseed protein-derived peptide has blood pressure-lowering effect in spontaneously hypertensive rats.</v>
      </c>
      <c r="E1302" s="1" t="str">
        <f>IFERROR(VLOOKUP(A1302,[1]biopep_DB!$F$2:$L$1654,6,0),0)</f>
        <v>10.1016/s0196-9781(03)00174-8; 10.1021/jf051263l; 10.2174/138161207780363068; 10.1039/c2fo10192k; 10.1016/j.foodchem.2013.05.140; 10.1021/jf400865m</v>
      </c>
      <c r="F1302" s="1" t="str">
        <f>IFERROR(VLOOKUP(A1302,[1]biopep_DB!$F$2:$L$1654,7,0),0)</f>
        <v>12948830 16448176 17430180 22249830 23871047 23919612</v>
      </c>
      <c r="G1302" s="5">
        <v>450.53</v>
      </c>
      <c r="H1302" s="5">
        <v>8.75</v>
      </c>
      <c r="I1302" s="5">
        <v>0.76</v>
      </c>
      <c r="J1302" s="6">
        <v>-0.4333</v>
      </c>
      <c r="K1302" s="5">
        <v>6.67</v>
      </c>
      <c r="L1302" s="6">
        <v>0.3333</v>
      </c>
      <c r="M1302" s="6">
        <v>-0.6867</v>
      </c>
      <c r="N1302" s="6">
        <v>0</v>
      </c>
      <c r="O1302" s="6">
        <v>0</v>
      </c>
      <c r="P1302" s="6">
        <v>0.6667</v>
      </c>
      <c r="Q1302" s="7"/>
      <c r="R1302" s="7"/>
    </row>
    <row r="1303" spans="1:18">
      <c r="A1303" s="4" t="s">
        <v>1756</v>
      </c>
      <c r="B1303" s="4">
        <f t="shared" si="20"/>
        <v>2</v>
      </c>
      <c r="C1303" s="4" t="s">
        <v>36</v>
      </c>
      <c r="D1303" s="1" t="str">
        <f>IFERROR(VLOOKUP(A1303,[1]biopep_DB!$F$2:$J$1654,5,0),)</f>
        <v>Structural requirements of Angiotensin I-converting enzyme inhibitory peptides: quantitative structure-activity relationship study of di- and tripeptides.; Bioactive peptides in amaranth (Amaranthus hypochondriacus) seed.; Quality and acceptability of a set-type yogurt made from camel milk.; Peptides with angiotensin I converting enzyme (ACE) inhibitory activity generated from porcine skeletal muscle proteins by the action of meat-borne Lactobacillus.</v>
      </c>
      <c r="E1303" s="1" t="str">
        <f>IFERROR(VLOOKUP(A1303,[1]biopep_DB!$F$2:$L$1654,6,0),0)</f>
        <v>10.1021/jf051263l; 10.1021/jf072911z; 10.3168/jds.2008-1408; 10.1016/j.jprot.2013.06.023</v>
      </c>
      <c r="F1303" s="1" t="str">
        <f>IFERROR(VLOOKUP(A1303,[1]biopep_DB!$F$2:$L$1654,7,0),0)</f>
        <v>16448176 18211015 19233778 23806758</v>
      </c>
      <c r="G1303" s="5">
        <v>287.36</v>
      </c>
      <c r="H1303" s="5">
        <v>9.75</v>
      </c>
      <c r="I1303" s="5">
        <v>0.76</v>
      </c>
      <c r="J1303" s="6">
        <v>-0.35</v>
      </c>
      <c r="K1303" s="5">
        <v>5</v>
      </c>
      <c r="L1303" s="6">
        <v>0.5</v>
      </c>
      <c r="M1303" s="6">
        <v>-1.1</v>
      </c>
      <c r="N1303" s="6">
        <v>0.5</v>
      </c>
      <c r="O1303" s="6">
        <v>0</v>
      </c>
      <c r="P1303" s="6">
        <v>0.5</v>
      </c>
      <c r="Q1303" s="7"/>
      <c r="R1303" s="7"/>
    </row>
    <row r="1304" spans="1:18">
      <c r="A1304" s="4" t="s">
        <v>1757</v>
      </c>
      <c r="B1304" s="4">
        <f t="shared" si="20"/>
        <v>8</v>
      </c>
      <c r="C1304" s="4"/>
      <c r="G1304" s="5">
        <v>1039.32</v>
      </c>
      <c r="H1304" s="5">
        <v>12</v>
      </c>
      <c r="I1304" s="5">
        <v>2.76</v>
      </c>
      <c r="J1304" s="6">
        <v>-0.15</v>
      </c>
      <c r="K1304" s="5">
        <v>35.68</v>
      </c>
      <c r="L1304" s="6">
        <v>0.5</v>
      </c>
      <c r="M1304" s="6">
        <v>-1.4125</v>
      </c>
      <c r="N1304" s="6">
        <v>0.625</v>
      </c>
      <c r="O1304" s="6">
        <v>0</v>
      </c>
      <c r="P1304" s="6">
        <v>0.5</v>
      </c>
      <c r="Q1304" s="7"/>
      <c r="R1304" s="7"/>
    </row>
    <row r="1305" spans="1:18">
      <c r="A1305" s="4" t="s">
        <v>1758</v>
      </c>
      <c r="B1305" s="4">
        <f t="shared" si="20"/>
        <v>14</v>
      </c>
      <c r="C1305" s="4" t="s">
        <v>1759</v>
      </c>
      <c r="D1305" s="1" t="str">
        <f>IFERROR(VLOOKUP(A1305,[1]biopep_DB!$F$2:$J$1654,5,0),)</f>
        <v>Characterisation of a new antihypertensive angiotensin I-converting enzyme inhibitory peptide from Pleurotus cornucopiae.; Vegetable foods: a cheap source of proteins and peptides with antihypertensive, antioxidant, and other less occurrence bioactivities.; Characterization of an antihypertensive angiotensin I-converting enzyme inhibitory peptide from the edible mushroom Hypsizygus marmoreus.</v>
      </c>
      <c r="E1305" s="1" t="str">
        <f>IFERROR(VLOOKUP(A1305,[1]biopep_DB!$F$2:$L$1654,6,0),0)</f>
        <v>10.1016/j.foodchem.2011.01.010; 10.1016/j.talanta.2012.12.041; 10.1155/2013/283964</v>
      </c>
      <c r="F1305" s="1" t="str">
        <f>IFERROR(VLOOKUP(A1305,[1]biopep_DB!$F$2:$L$1654,7,0),0)</f>
        <v>23140680 23598136 24380081</v>
      </c>
      <c r="G1305" s="5">
        <v>1621.83</v>
      </c>
      <c r="H1305" s="5">
        <v>6.07</v>
      </c>
      <c r="I1305" s="5">
        <v>-0.24</v>
      </c>
      <c r="J1305" s="6">
        <v>0.1</v>
      </c>
      <c r="K1305" s="5">
        <v>73.13</v>
      </c>
      <c r="L1305" s="6">
        <v>0.5714</v>
      </c>
      <c r="M1305" s="6">
        <v>-0.9929</v>
      </c>
      <c r="N1305" s="6">
        <v>0.4286</v>
      </c>
      <c r="O1305" s="6">
        <v>0.2857</v>
      </c>
      <c r="P1305" s="6">
        <v>0.3571</v>
      </c>
      <c r="Q1305" s="7"/>
      <c r="R1305" s="7"/>
    </row>
    <row r="1306" spans="1:18">
      <c r="A1306" s="4" t="s">
        <v>1760</v>
      </c>
      <c r="B1306" s="4">
        <f t="shared" si="20"/>
        <v>17</v>
      </c>
      <c r="C1306" s="4" t="s">
        <v>1761</v>
      </c>
      <c r="D1306" s="1" t="str">
        <f>IFERROR(VLOOKUP(A1306,[1]biopep_DB!$F$2:$J$1654,5,0),)</f>
        <v>Antihypertensive peptides from food proteins: a review.; Characterisation of a new antihypertensive angiotensin I-converting enzyme inhibitory peptide from Pleurotus cornucopiae.; Vegetable foods: a cheap source of proteins and peptides with antihypertensive, antioxidant, and other less occurrence bioactivities.; Characterization of an antihypertensive angiotensin I-converting enzyme inhibitory peptide from the edible mushroom Hypsizygus marmoreus.</v>
      </c>
      <c r="E1306" s="1" t="str">
        <f>IFERROR(VLOOKUP(A1306,[1]biopep_DB!$F$2:$L$1654,6,0),0)</f>
        <v>10.1039/c2fo10192k; 10.1016/j.foodchem.2011.01.010; 10.1016/j.talanta.2012.12.041; 10.1155/2013/283964</v>
      </c>
      <c r="F1306" s="1" t="str">
        <f>IFERROR(VLOOKUP(A1306,[1]biopep_DB!$F$2:$L$1654,7,0),0)</f>
        <v>22249830 23140680 23598136 24380081</v>
      </c>
      <c r="G1306" s="5">
        <v>2036.25</v>
      </c>
      <c r="H1306" s="5">
        <v>6.76</v>
      </c>
      <c r="I1306" s="5">
        <v>-0.15</v>
      </c>
      <c r="J1306" s="6">
        <v>-0.4882</v>
      </c>
      <c r="K1306" s="5">
        <v>52.92</v>
      </c>
      <c r="L1306" s="6">
        <v>0.2941</v>
      </c>
      <c r="M1306" s="6">
        <v>-0.5476</v>
      </c>
      <c r="N1306" s="6">
        <v>0.2353</v>
      </c>
      <c r="O1306" s="6">
        <v>0.1765</v>
      </c>
      <c r="P1306" s="6">
        <v>0.4706</v>
      </c>
      <c r="Q1306" s="7"/>
      <c r="R1306" s="7"/>
    </row>
    <row r="1307" spans="1:18">
      <c r="A1307" s="4" t="s">
        <v>1762</v>
      </c>
      <c r="B1307" s="4">
        <f t="shared" si="20"/>
        <v>3</v>
      </c>
      <c r="C1307" s="4" t="s">
        <v>36</v>
      </c>
      <c r="D1307" s="1" t="str">
        <f>IFERROR(VLOOKUP(A1307,[1]biopep_DB!$F$2:$J$1654,5,0),)</f>
        <v>Structural requirements of Angiotensin I-converting enzyme inhibitory peptides: quantitative structure-activity relationship study of di- and tripeptides.</v>
      </c>
      <c r="E1307" s="1" t="str">
        <f>IFERROR(VLOOKUP(A1307,[1]biopep_DB!$F$2:$L$1654,6,0),0)</f>
        <v>10.1021/jf051263l</v>
      </c>
      <c r="F1307" s="1" t="str">
        <f>IFERROR(VLOOKUP(A1307,[1]biopep_DB!$F$2:$L$1654,7,0),0)</f>
        <v>16448176</v>
      </c>
      <c r="G1307" s="5">
        <v>418.55</v>
      </c>
      <c r="H1307" s="5">
        <v>9.75</v>
      </c>
      <c r="I1307" s="5">
        <v>0.76</v>
      </c>
      <c r="J1307" s="6">
        <v>0.4</v>
      </c>
      <c r="K1307" s="5">
        <v>6.67</v>
      </c>
      <c r="L1307" s="6">
        <v>0.6667</v>
      </c>
      <c r="M1307" s="6">
        <v>-1.5167</v>
      </c>
      <c r="N1307" s="6">
        <v>0.6667</v>
      </c>
      <c r="O1307" s="6">
        <v>0</v>
      </c>
      <c r="P1307" s="6">
        <v>0.3333</v>
      </c>
      <c r="Q1307" s="7"/>
      <c r="R1307" s="7"/>
    </row>
    <row r="1308" spans="1:18">
      <c r="A1308" s="4" t="s">
        <v>1763</v>
      </c>
      <c r="B1308" s="4">
        <f t="shared" si="20"/>
        <v>9</v>
      </c>
      <c r="C1308" s="4" t="s">
        <v>25</v>
      </c>
      <c r="D1308" s="1" t="str">
        <f>IFERROR(VLOOKUP(A1308,[1]biopep_DB!$F$2:$J$1654,5,0),)</f>
        <v>Strategies for designing novel functional meat products.</v>
      </c>
      <c r="E1308" s="1" t="str">
        <f>IFERROR(VLOOKUP(A1308,[1]biopep_DB!$F$2:$L$1654,6,0),0)</f>
        <v>10.1016/j.meatsci.2006.04.028</v>
      </c>
      <c r="F1308" s="1" t="str">
        <f>IFERROR(VLOOKUP(A1308,[1]biopep_DB!$F$2:$L$1654,7,0),0)</f>
        <v>22062731</v>
      </c>
      <c r="G1308" s="5">
        <v>1017.2</v>
      </c>
      <c r="H1308" s="5">
        <v>11</v>
      </c>
      <c r="I1308" s="5">
        <v>1.76</v>
      </c>
      <c r="J1308" s="6">
        <v>-1.0667</v>
      </c>
      <c r="K1308" s="5">
        <v>-9.98</v>
      </c>
      <c r="L1308" s="6">
        <v>0.3333</v>
      </c>
      <c r="M1308" s="6">
        <v>-0.1967</v>
      </c>
      <c r="N1308" s="6">
        <v>0.3333</v>
      </c>
      <c r="O1308" s="6">
        <v>0.3333</v>
      </c>
      <c r="P1308" s="6">
        <v>0.3333</v>
      </c>
      <c r="Q1308" s="7"/>
      <c r="R1308" s="7"/>
    </row>
    <row r="1309" spans="1:18">
      <c r="A1309" s="4" t="s">
        <v>1764</v>
      </c>
      <c r="B1309" s="4">
        <f t="shared" si="20"/>
        <v>5</v>
      </c>
      <c r="C1309" s="4" t="s">
        <v>1765</v>
      </c>
      <c r="D1309" s="1" t="str">
        <f>IFERROR(VLOOKUP(A1309,[1]biopep_DB!$F$2:$J$1654,5,0),)</f>
        <v>A new QSAR model, for angiotensin I-converting enzyme inhibitory oligopeptides.</v>
      </c>
      <c r="E1309" s="1" t="str">
        <f>IFERROR(VLOOKUP(A1309,[1]biopep_DB!$F$2:$L$1654,6,0),0)</f>
        <v>10.1016/j.foodchem.2012.09.092</v>
      </c>
      <c r="F1309" s="1" t="str">
        <f>IFERROR(VLOOKUP(A1309,[1]biopep_DB!$F$2:$L$1654,7,0),0)</f>
        <v>23194537</v>
      </c>
      <c r="G1309" s="5">
        <v>603.74</v>
      </c>
      <c r="H1309" s="5">
        <v>9.75</v>
      </c>
      <c r="I1309" s="5">
        <v>0.76</v>
      </c>
      <c r="J1309" s="6">
        <v>-0.54</v>
      </c>
      <c r="K1309" s="5">
        <v>8</v>
      </c>
      <c r="L1309" s="6">
        <v>0.4</v>
      </c>
      <c r="M1309" s="6">
        <v>-0.826</v>
      </c>
      <c r="N1309" s="6">
        <v>0.4</v>
      </c>
      <c r="O1309" s="6">
        <v>0.2</v>
      </c>
      <c r="P1309" s="6">
        <v>0.2</v>
      </c>
      <c r="Q1309" s="7"/>
      <c r="R1309" s="7"/>
    </row>
    <row r="1310" spans="1:18">
      <c r="A1310" s="4" t="s">
        <v>1766</v>
      </c>
      <c r="B1310" s="4">
        <f t="shared" si="20"/>
        <v>7</v>
      </c>
      <c r="C1310" s="4" t="s">
        <v>1767</v>
      </c>
      <c r="D1310" s="1" t="str">
        <f>IFERROR(VLOOKUP(A1310,[1]biopep_DB!$F$2:$J$1654,5,0),)</f>
        <v>A new QSAR model, for angiotensin I-converting enzyme inhibitory oligopeptides.</v>
      </c>
      <c r="E1310" s="1" t="str">
        <f>IFERROR(VLOOKUP(A1310,[1]biopep_DB!$F$2:$L$1654,6,0),0)</f>
        <v>10.1016/j.foodchem.2012.09.092</v>
      </c>
      <c r="F1310" s="1" t="str">
        <f>IFERROR(VLOOKUP(A1310,[1]biopep_DB!$F$2:$L$1654,7,0),0)</f>
        <v>23194537</v>
      </c>
      <c r="G1310" s="5">
        <v>801.95</v>
      </c>
      <c r="H1310" s="5">
        <v>9.75</v>
      </c>
      <c r="I1310" s="5">
        <v>0.76</v>
      </c>
      <c r="J1310" s="6">
        <v>-0.7143</v>
      </c>
      <c r="K1310" s="5">
        <v>8.57</v>
      </c>
      <c r="L1310" s="6">
        <v>0.4286</v>
      </c>
      <c r="M1310" s="6">
        <v>-0.5529</v>
      </c>
      <c r="N1310" s="6">
        <v>0.2857</v>
      </c>
      <c r="O1310" s="6">
        <v>0.2857</v>
      </c>
      <c r="P1310" s="6">
        <v>0.2857</v>
      </c>
      <c r="Q1310" s="7"/>
      <c r="R1310" s="7"/>
    </row>
    <row r="1311" spans="1:18">
      <c r="A1311" s="4" t="s">
        <v>1768</v>
      </c>
      <c r="B1311" s="4">
        <f t="shared" si="20"/>
        <v>9</v>
      </c>
      <c r="C1311" s="4" t="s">
        <v>1769</v>
      </c>
      <c r="D1311" s="1" t="str">
        <f>IFERROR(VLOOKUP(A1311,[1]biopep_DB!$F$2:$J$1654,5,0),)</f>
        <v>QSAR study on angiotensin-converting enzyme inhibitor oligopeptides based on a novel set of sequence information descriptors.; A new QSAR model, for angiotensin I-converting enzyme inhibitory oligopeptides.</v>
      </c>
      <c r="E1311" s="1" t="str">
        <f>IFERROR(VLOOKUP(A1311,[1]biopep_DB!$F$2:$L$1654,6,0),0)</f>
        <v>10.1007/s00894-010-0862-x; 10.1016/j.foodchem.2012.09.092</v>
      </c>
      <c r="F1311" s="1" t="str">
        <f>IFERROR(VLOOKUP(A1311,[1]biopep_DB!$F$2:$L$1654,7,0),0)</f>
        <v>20941517 23194537</v>
      </c>
      <c r="G1311" s="5">
        <v>1031.23</v>
      </c>
      <c r="H1311" s="5">
        <v>11</v>
      </c>
      <c r="I1311" s="5">
        <v>1.76</v>
      </c>
      <c r="J1311" s="6">
        <v>-1.0667</v>
      </c>
      <c r="K1311" s="5">
        <v>8.89</v>
      </c>
      <c r="L1311" s="6">
        <v>0.3333</v>
      </c>
      <c r="M1311" s="6">
        <v>-0.2256</v>
      </c>
      <c r="N1311" s="6">
        <v>0.3333</v>
      </c>
      <c r="O1311" s="6">
        <v>0.2222</v>
      </c>
      <c r="P1311" s="6">
        <v>0.3333</v>
      </c>
      <c r="Q1311" s="7"/>
      <c r="R1311" s="7"/>
    </row>
    <row r="1312" spans="1:18">
      <c r="A1312" s="4" t="s">
        <v>1770</v>
      </c>
      <c r="B1312" s="4">
        <f t="shared" si="20"/>
        <v>9</v>
      </c>
      <c r="C1312" s="4" t="s">
        <v>1769</v>
      </c>
      <c r="D1312" s="1" t="str">
        <f>IFERROR(VLOOKUP(A1312,[1]biopep_DB!$F$2:$J$1654,5,0),)</f>
        <v>Angiotensin-I converting enzyme inhibitory peptide derived from porcine skeletal muscle myosin and its antihypertensive activity in spontaneously hypertensive rats.; A new QSAR model, for angiotensin I-converting enzyme inhibitory oligopeptides.</v>
      </c>
      <c r="E1312" s="1" t="str">
        <f>IFERROR(VLOOKUP(A1312,[1]biopep_DB!$F$2:$L$1654,6,0),0)</f>
        <v>10.1111/j.1750-3841.2007.00571.x; 10.1016/j.foodchem.2012.09.092</v>
      </c>
      <c r="F1312" s="1" t="str">
        <f>IFERROR(VLOOKUP(A1312,[1]biopep_DB!$F$2:$L$1654,7,0),0)</f>
        <v>18034756 23194537</v>
      </c>
      <c r="G1312" s="5">
        <v>1116.34</v>
      </c>
      <c r="H1312" s="5">
        <v>11</v>
      </c>
      <c r="I1312" s="5">
        <v>1.76</v>
      </c>
      <c r="J1312" s="6">
        <v>-1.0889</v>
      </c>
      <c r="K1312" s="5">
        <v>5.69</v>
      </c>
      <c r="L1312" s="6">
        <v>0.4444</v>
      </c>
      <c r="M1312" s="6">
        <v>-0.5133</v>
      </c>
      <c r="N1312" s="6">
        <v>0.3333</v>
      </c>
      <c r="O1312" s="6">
        <v>0.2222</v>
      </c>
      <c r="P1312" s="6">
        <v>0.3333</v>
      </c>
      <c r="Q1312" s="7"/>
      <c r="R1312" s="7"/>
    </row>
    <row r="1313" spans="1:18">
      <c r="A1313" s="4" t="s">
        <v>1771</v>
      </c>
      <c r="B1313" s="4">
        <f t="shared" si="20"/>
        <v>9</v>
      </c>
      <c r="C1313" s="4" t="s">
        <v>1769</v>
      </c>
      <c r="D1313" s="1" t="str">
        <f>IFERROR(VLOOKUP(A1313,[1]biopep_DB!$F$2:$J$1654,5,0),)</f>
        <v>Angiotensin I-converting enzyme-inhibitory peptides obtained from chicken collagen hydrolysate.</v>
      </c>
      <c r="E1313" s="1" t="str">
        <f>IFERROR(VLOOKUP(A1313,[1]biopep_DB!$F$2:$L$1654,6,0),0)</f>
        <v>10.1021/jf072669w</v>
      </c>
      <c r="F1313" s="1" t="str">
        <f>IFERROR(VLOOKUP(A1313,[1]biopep_DB!$F$2:$L$1654,7,0),0)</f>
        <v>18808143</v>
      </c>
      <c r="G1313" s="5">
        <v>1155.37</v>
      </c>
      <c r="H1313" s="5">
        <v>9.7</v>
      </c>
      <c r="I1313" s="5">
        <v>1.76</v>
      </c>
      <c r="J1313" s="6">
        <v>-1.2</v>
      </c>
      <c r="K1313" s="5">
        <v>14.22</v>
      </c>
      <c r="L1313" s="6">
        <v>0.3333</v>
      </c>
      <c r="M1313" s="6">
        <v>-0.2522</v>
      </c>
      <c r="N1313" s="6">
        <v>0.3333</v>
      </c>
      <c r="O1313" s="6">
        <v>0.2222</v>
      </c>
      <c r="P1313" s="6">
        <v>0.3333</v>
      </c>
      <c r="Q1313" s="7"/>
      <c r="R1313" s="7"/>
    </row>
    <row r="1314" spans="1:18">
      <c r="A1314" s="4" t="s">
        <v>1772</v>
      </c>
      <c r="B1314" s="4">
        <f t="shared" si="20"/>
        <v>10</v>
      </c>
      <c r="C1314" s="4"/>
      <c r="G1314" s="5">
        <v>1081.27</v>
      </c>
      <c r="H1314" s="5">
        <v>9.75</v>
      </c>
      <c r="I1314" s="5">
        <v>0.76</v>
      </c>
      <c r="J1314" s="6">
        <v>0.17</v>
      </c>
      <c r="K1314" s="5">
        <v>40.6</v>
      </c>
      <c r="L1314" s="6">
        <v>0.6</v>
      </c>
      <c r="M1314" s="6">
        <v>-1.083</v>
      </c>
      <c r="N1314" s="6">
        <v>0.2</v>
      </c>
      <c r="O1314" s="6">
        <v>0.3</v>
      </c>
      <c r="P1314" s="6">
        <v>0.5</v>
      </c>
      <c r="Q1314" s="7"/>
      <c r="R1314" s="7"/>
    </row>
    <row r="1315" spans="1:18">
      <c r="A1315" s="4" t="s">
        <v>1773</v>
      </c>
      <c r="B1315" s="4">
        <f t="shared" si="20"/>
        <v>9</v>
      </c>
      <c r="C1315" s="4"/>
      <c r="G1315" s="5">
        <v>1150.2</v>
      </c>
      <c r="H1315" s="5">
        <v>4.21</v>
      </c>
      <c r="I1315" s="5">
        <v>-1.24</v>
      </c>
      <c r="J1315" s="6">
        <v>-1.6667</v>
      </c>
      <c r="K1315" s="5">
        <v>22.6</v>
      </c>
      <c r="L1315" s="6">
        <v>0.2222</v>
      </c>
      <c r="M1315" s="6">
        <v>0.1089</v>
      </c>
      <c r="N1315" s="6">
        <v>0.1111</v>
      </c>
      <c r="O1315" s="6">
        <v>0.4444</v>
      </c>
      <c r="P1315" s="6">
        <v>0.3333</v>
      </c>
      <c r="Q1315" s="7"/>
      <c r="R1315" s="7"/>
    </row>
    <row r="1316" spans="1:18">
      <c r="A1316" s="4" t="s">
        <v>1774</v>
      </c>
      <c r="B1316" s="4">
        <f t="shared" si="20"/>
        <v>15</v>
      </c>
      <c r="C1316" s="4"/>
      <c r="G1316" s="5">
        <v>1742.02</v>
      </c>
      <c r="H1316" s="5">
        <v>12</v>
      </c>
      <c r="I1316" s="5">
        <v>3.76</v>
      </c>
      <c r="J1316" s="6">
        <v>-1.4867</v>
      </c>
      <c r="K1316" s="5">
        <v>37.58</v>
      </c>
      <c r="L1316" s="6">
        <v>0.2667</v>
      </c>
      <c r="M1316" s="6">
        <v>0.0173</v>
      </c>
      <c r="N1316" s="6">
        <v>0.4</v>
      </c>
      <c r="O1316" s="6">
        <v>0.2667</v>
      </c>
      <c r="P1316" s="6">
        <v>0.1333</v>
      </c>
      <c r="Q1316" s="7"/>
      <c r="R1316" s="7"/>
    </row>
    <row r="1317" spans="1:18">
      <c r="A1317" s="4" t="s">
        <v>1775</v>
      </c>
      <c r="B1317" s="4">
        <f t="shared" si="20"/>
        <v>2</v>
      </c>
      <c r="C1317" s="4" t="s">
        <v>36</v>
      </c>
      <c r="D1317" s="1" t="str">
        <f>IFERROR(VLOOKUP(A1317,[1]biopep_DB!$F$2:$J$1654,5,0),)</f>
        <v>Binding of peptide substrates and inhibitors of angiotensin-converting enzyme. Importance of the COOH-terminal dipeptide sequence.; Angiotensin I-converting enzyme inhibitory activity and insulin secretion stimulative activity of fermented fish sauce.;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Review on the angiotensin-I-converting enzyme (ACE) inhibitor peptides from marine proteins.;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1317" s="1" t="str">
        <f>IFERROR(VLOOKUP(A1317,[1]biopep_DB!$F$2:$L$1654,6,0),0)</f>
        <v>10.1016/S1389-1723(03)70138-8; 10.1021/jf051263l; 10.1002/psc.800; 10.1002/psc.892; 10.1007/s00894-010-0862-x; 10.1007/s12010-012-0024-y; 10.1016/j.jprot.2013.06.023; 10.1016/j.foodchem.2013.05.140</v>
      </c>
      <c r="F1317" s="1" t="str">
        <f>IFERROR(VLOOKUP(A1317,[1]biopep_DB!$F$2:$L$1654,7,0),0)</f>
        <v>6243277 16233562 16448176 17117396 17654623 20941517 23271625 23806758 23871047</v>
      </c>
      <c r="G1317" s="5">
        <v>271.32</v>
      </c>
      <c r="H1317" s="5">
        <v>9.75</v>
      </c>
      <c r="I1317" s="5">
        <v>0.76</v>
      </c>
      <c r="J1317" s="6">
        <v>-3.05</v>
      </c>
      <c r="K1317" s="5">
        <v>101.3</v>
      </c>
      <c r="L1317" s="6">
        <v>0.5</v>
      </c>
      <c r="M1317" s="6">
        <v>1.36</v>
      </c>
      <c r="N1317" s="6">
        <v>0</v>
      </c>
      <c r="O1317" s="6">
        <v>0.5</v>
      </c>
      <c r="P1317" s="6">
        <v>0</v>
      </c>
      <c r="Q1317" s="7"/>
      <c r="R1317" s="7"/>
    </row>
    <row r="1318" spans="1:18">
      <c r="A1318" s="4" t="s">
        <v>1776</v>
      </c>
      <c r="B1318" s="4">
        <f t="shared" si="20"/>
        <v>3</v>
      </c>
      <c r="C1318" s="4"/>
      <c r="D1318" s="1" t="str">
        <f>IFERROR(VLOOKUP(A1318,[1]biopep_DB!$F$2:$J$1654,5,0),)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318" s="1" t="str">
        <f>IFERROR(VLOOKUP(A1318,[1]biopep_DB!$F$2:$L$1654,6,0),0)</f>
        <v>10.1002/psc.800; 10.1007/s00894-010-0862-x; 10.1016/j.foodchem.2013.05.140</v>
      </c>
      <c r="F1318" s="1" t="str">
        <f>IFERROR(VLOOKUP(A1318,[1]biopep_DB!$F$2:$L$1654,7,0),0)</f>
        <v>17117396 20941517 23871047</v>
      </c>
      <c r="G1318" s="5">
        <v>418.49</v>
      </c>
      <c r="H1318" s="5">
        <v>9.75</v>
      </c>
      <c r="I1318" s="5">
        <v>0.76</v>
      </c>
      <c r="J1318" s="6">
        <v>-1.1</v>
      </c>
      <c r="K1318" s="5">
        <v>135.07</v>
      </c>
      <c r="L1318" s="6">
        <v>0.6667</v>
      </c>
      <c r="M1318" s="6">
        <v>-0.0867</v>
      </c>
      <c r="N1318" s="6">
        <v>0</v>
      </c>
      <c r="O1318" s="6">
        <v>0.3333</v>
      </c>
      <c r="P1318" s="6">
        <v>0.3333</v>
      </c>
      <c r="Q1318" s="7"/>
      <c r="R1318" s="7"/>
    </row>
    <row r="1319" spans="1:18">
      <c r="A1319" s="4" t="s">
        <v>1777</v>
      </c>
      <c r="B1319" s="4">
        <f t="shared" si="20"/>
        <v>3</v>
      </c>
      <c r="C1319" s="4"/>
      <c r="D1319" s="1" t="str">
        <f>IFERROR(VLOOKUP(A1319,[1]biopep_DB!$F$2:$J$1654,5,0),)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319" s="1" t="str">
        <f>IFERROR(VLOOKUP(A1319,[1]biopep_DB!$F$2:$L$1654,6,0),0)</f>
        <v>10.1002/psc.800; 10.1007/s00894-010-0862-x; 10.1016/j.foodchem.2013.05.140</v>
      </c>
      <c r="F1319" s="1" t="str">
        <f>IFERROR(VLOOKUP(A1319,[1]biopep_DB!$F$2:$L$1654,7,0),0)</f>
        <v>17117396 20941517 23871047</v>
      </c>
      <c r="G1319" s="5">
        <v>328.37</v>
      </c>
      <c r="H1319" s="5">
        <v>9.75</v>
      </c>
      <c r="I1319" s="5">
        <v>0.76</v>
      </c>
      <c r="J1319" s="6">
        <v>-2.1667</v>
      </c>
      <c r="K1319" s="5">
        <v>70.87</v>
      </c>
      <c r="L1319" s="6">
        <v>0.3333</v>
      </c>
      <c r="M1319" s="6">
        <v>0.5933</v>
      </c>
      <c r="N1319" s="6">
        <v>0</v>
      </c>
      <c r="O1319" s="6">
        <v>0.6667</v>
      </c>
      <c r="P1319" s="6">
        <v>0</v>
      </c>
      <c r="Q1319" s="7"/>
      <c r="R1319" s="7"/>
    </row>
    <row r="1320" spans="1:18">
      <c r="A1320" s="4" t="s">
        <v>1778</v>
      </c>
      <c r="B1320" s="4">
        <f t="shared" si="20"/>
        <v>3</v>
      </c>
      <c r="C1320" s="4" t="s">
        <v>36</v>
      </c>
      <c r="D1320" s="1" t="str">
        <f>IFERROR(VLOOKUP(A1320,[1]biopep_DB!$F$2:$J$1654,5,0),)</f>
        <v>Structural requirements of Angiotensin I-converting enzyme inhibitory peptides: quantitative structure-activity relationship study of di- and tripeptides.; Bioactive peptides in ovine and caprine cheeselike systems prepared with proteases from Cynara cardunculus.</v>
      </c>
      <c r="E1320" s="1" t="str">
        <f>IFERROR(VLOOKUP(A1320,[1]biopep_DB!$F$2:$L$1654,6,0),0)</f>
        <v>10.1021/jf051263l; 10.3168/jds.S0022-0302(06)72370-0</v>
      </c>
      <c r="F1320" s="1" t="str">
        <f>IFERROR(VLOOKUP(A1320,[1]biopep_DB!$F$2:$L$1654,7,0),0)</f>
        <v>16448176 16899666</v>
      </c>
      <c r="G1320" s="5">
        <v>399.49</v>
      </c>
      <c r="H1320" s="5">
        <v>11</v>
      </c>
      <c r="I1320" s="5">
        <v>1.76</v>
      </c>
      <c r="J1320" s="6">
        <v>-3.3333</v>
      </c>
      <c r="K1320" s="5">
        <v>70.87</v>
      </c>
      <c r="L1320" s="6">
        <v>0.3333</v>
      </c>
      <c r="M1320" s="6">
        <v>1.4333</v>
      </c>
      <c r="N1320" s="6">
        <v>0.3333</v>
      </c>
      <c r="O1320" s="6">
        <v>0.3333</v>
      </c>
      <c r="P1320" s="6">
        <v>0</v>
      </c>
      <c r="Q1320" s="7"/>
      <c r="R1320" s="7"/>
    </row>
    <row r="1321" spans="1:18">
      <c r="A1321" s="4" t="s">
        <v>1779</v>
      </c>
      <c r="B1321" s="4">
        <f t="shared" si="20"/>
        <v>4</v>
      </c>
      <c r="C1321" s="4" t="s">
        <v>1780</v>
      </c>
      <c r="D1321" s="1" t="str">
        <f>IFERROR(VLOOKUP(A1321,[1]biopep_DB!$F$2:$J$1654,5,0),)</f>
        <v>Angiotensin I-converting-enzyme-inhibitory and antibacterial peptides from Lactobacillus helveticus PR4 proteinase-hydrolyzed caseins of milk from six species.</v>
      </c>
      <c r="E1321" s="1" t="str">
        <f>IFERROR(VLOOKUP(A1321,[1]biopep_DB!$F$2:$L$1654,6,0),0)</f>
        <v>10.1128/AEM.69.9.5297-5305.2003</v>
      </c>
      <c r="F1321" s="1" t="str">
        <f>IFERROR(VLOOKUP(A1321,[1]biopep_DB!$F$2:$L$1654,7,0),0)</f>
        <v>12957917</v>
      </c>
      <c r="G1321" s="5">
        <v>536.63</v>
      </c>
      <c r="H1321" s="5">
        <v>11</v>
      </c>
      <c r="I1321" s="5">
        <v>1.85</v>
      </c>
      <c r="J1321" s="6">
        <v>-3.3</v>
      </c>
      <c r="K1321" s="5">
        <v>55.65</v>
      </c>
      <c r="L1321" s="6">
        <v>0.25</v>
      </c>
      <c r="M1321" s="6">
        <v>1.3225</v>
      </c>
      <c r="N1321" s="6">
        <v>0.25</v>
      </c>
      <c r="O1321" s="6">
        <v>0.25</v>
      </c>
      <c r="P1321" s="6">
        <v>0</v>
      </c>
      <c r="Q1321" s="7"/>
      <c r="R1321" s="7"/>
    </row>
    <row r="1322" spans="1:18">
      <c r="A1322" s="4" t="s">
        <v>1781</v>
      </c>
      <c r="B1322" s="4">
        <f t="shared" si="20"/>
        <v>5</v>
      </c>
      <c r="C1322" s="4"/>
      <c r="D1322" s="1" t="str">
        <f>IFERROR(VLOOKUP(A1322,[1]biopep_DB!$F$2:$J$1654,5,0),)</f>
        <v>Enterococcus faecalis strains from food, environmental, and clinical origin produce ACE-inhibitory peptides and other bioactive peptides during growth in bovine skim milk.</v>
      </c>
      <c r="E1322" s="1" t="str">
        <f>IFERROR(VLOOKUP(A1322,[1]biopep_DB!$F$2:$L$1654,6,0),0)</f>
        <v>10.1016/j.ijfoodmicro.2013.06.019</v>
      </c>
      <c r="F1322" s="1" t="str">
        <f>IFERROR(VLOOKUP(A1322,[1]biopep_DB!$F$2:$L$1654,7,0),0)</f>
        <v>23845432</v>
      </c>
      <c r="G1322" s="5">
        <v>633.74</v>
      </c>
      <c r="H1322" s="5">
        <v>11</v>
      </c>
      <c r="I1322" s="5">
        <v>1.85</v>
      </c>
      <c r="J1322" s="6">
        <v>-2.96</v>
      </c>
      <c r="K1322" s="5">
        <v>40.76</v>
      </c>
      <c r="L1322" s="6">
        <v>0.4</v>
      </c>
      <c r="M1322" s="6">
        <v>1.058</v>
      </c>
      <c r="N1322" s="6">
        <v>0.2</v>
      </c>
      <c r="O1322" s="6">
        <v>0.4</v>
      </c>
      <c r="P1322" s="6">
        <v>0</v>
      </c>
      <c r="Q1322" s="7"/>
      <c r="R1322" s="7"/>
    </row>
    <row r="1323" spans="1:18">
      <c r="A1323" s="4" t="s">
        <v>1782</v>
      </c>
      <c r="B1323" s="4">
        <f t="shared" si="20"/>
        <v>6</v>
      </c>
      <c r="C1323" s="4" t="s">
        <v>1783</v>
      </c>
      <c r="D1323" s="1" t="str">
        <f>IFERROR(VLOOKUP(A1323,[1]biopep_DB!$F$2:$J$1654,5,0),)</f>
        <v>Angiotensin I-converting-enzyme-inhibitory and antibacterial peptides from Lactobacillus helveticus PR4 proteinase-hydrolyzed caseins of milk from six species.; Identification of angiotensin-I-converting enzyme inhibitory peptides derived from sodium caseinate hydrolysates produced by Lactobacillus helveticus NCC 2765.; A new QSAR model, for angiotensin I-converting enzyme inhibitory oligopeptides.</v>
      </c>
      <c r="E1323" s="1" t="str">
        <f>IFERROR(VLOOKUP(A1323,[1]biopep_DB!$F$2:$L$1654,6,0),0)</f>
        <v>10.1128/AEM.69.9.5297-5305.2003; 10.1021/jf049510t; 10.1016/j.foodchem.2012.09.092</v>
      </c>
      <c r="F1323" s="1" t="str">
        <f>IFERROR(VLOOKUP(A1323,[1]biopep_DB!$F$2:$L$1654,7,0),0)</f>
        <v>12957917 15537298 23194537</v>
      </c>
      <c r="G1323" s="5">
        <v>746.9</v>
      </c>
      <c r="H1323" s="5">
        <v>11</v>
      </c>
      <c r="I1323" s="5">
        <v>1.85</v>
      </c>
      <c r="J1323" s="6">
        <v>-1.7167</v>
      </c>
      <c r="K1323" s="5">
        <v>35.63</v>
      </c>
      <c r="L1323" s="6">
        <v>0.5</v>
      </c>
      <c r="M1323" s="6">
        <v>0.0617</v>
      </c>
      <c r="N1323" s="6">
        <v>0.1667</v>
      </c>
      <c r="O1323" s="6">
        <v>0.3333</v>
      </c>
      <c r="P1323" s="6">
        <v>0.1667</v>
      </c>
      <c r="Q1323" s="7"/>
      <c r="R1323" s="7"/>
    </row>
    <row r="1324" spans="1:18">
      <c r="A1324" s="4" t="s">
        <v>1784</v>
      </c>
      <c r="B1324" s="4">
        <f t="shared" si="20"/>
        <v>7</v>
      </c>
      <c r="C1324" s="4"/>
      <c r="D1324" s="1" t="str">
        <f>IFERROR(VLOOKUP(A1324,[1]biopep_DB!$F$2:$J$1654,5,0),)</f>
        <v/>
      </c>
      <c r="E1324" s="1" t="str">
        <f>IFERROR(VLOOKUP(A1324,[1]biopep_DB!$F$2:$L$1654,6,0),0)</f>
        <v/>
      </c>
      <c r="F1324" s="1" t="str">
        <f>IFERROR(VLOOKUP(A1324,[1]biopep_DB!$F$2:$L$1654,7,0),0)</f>
        <v/>
      </c>
      <c r="G1324" s="5">
        <v>875.07</v>
      </c>
      <c r="H1324" s="5">
        <v>11.17</v>
      </c>
      <c r="I1324" s="5">
        <v>2.85</v>
      </c>
      <c r="J1324" s="6">
        <v>-2.0286</v>
      </c>
      <c r="K1324" s="5">
        <v>19.84</v>
      </c>
      <c r="L1324" s="6">
        <v>0.4286</v>
      </c>
      <c r="M1324" s="6">
        <v>0.2786</v>
      </c>
      <c r="N1324" s="6">
        <v>0.2857</v>
      </c>
      <c r="O1324" s="6">
        <v>0.2857</v>
      </c>
      <c r="P1324" s="6">
        <v>0.1429</v>
      </c>
      <c r="Q1324" s="7"/>
      <c r="R1324" s="7"/>
    </row>
    <row r="1325" spans="1:18">
      <c r="A1325" s="4" t="s">
        <v>1785</v>
      </c>
      <c r="B1325" s="4">
        <f t="shared" si="20"/>
        <v>8</v>
      </c>
      <c r="C1325" s="4" t="s">
        <v>1786</v>
      </c>
      <c r="D1325" s="1" t="str">
        <f>IFERROR(VLOOKUP(A1325,[1]biopep_DB!$F$2:$J$1654,5,0),)</f>
        <v>Bioactive peptides in ovine and caprine cheeselike systems prepared with proteases from Cynara cardunculus.</v>
      </c>
      <c r="E1325" s="1" t="str">
        <f>IFERROR(VLOOKUP(A1325,[1]biopep_DB!$F$2:$L$1654,6,0),0)</f>
        <v>10.3168/jds.S0022-0302(06)72370-0</v>
      </c>
      <c r="F1325" s="1" t="str">
        <f>IFERROR(VLOOKUP(A1325,[1]biopep_DB!$F$2:$L$1654,7,0),0)</f>
        <v>16899666</v>
      </c>
      <c r="G1325" s="5">
        <v>1012.21</v>
      </c>
      <c r="H1325" s="5">
        <v>11.17</v>
      </c>
      <c r="I1325" s="5">
        <v>2.93</v>
      </c>
      <c r="J1325" s="6">
        <v>-2.175</v>
      </c>
      <c r="K1325" s="5">
        <v>18.61</v>
      </c>
      <c r="L1325" s="6">
        <v>0.375</v>
      </c>
      <c r="M1325" s="6">
        <v>0.3675</v>
      </c>
      <c r="N1325" s="6">
        <v>0.25</v>
      </c>
      <c r="O1325" s="6">
        <v>0.25</v>
      </c>
      <c r="P1325" s="6">
        <v>0.125</v>
      </c>
      <c r="Q1325" s="7"/>
      <c r="R1325" s="7"/>
    </row>
    <row r="1326" spans="1:18">
      <c r="A1326" s="4" t="s">
        <v>1787</v>
      </c>
      <c r="B1326" s="4">
        <f t="shared" si="20"/>
        <v>9</v>
      </c>
      <c r="C1326" s="4" t="s">
        <v>166</v>
      </c>
      <c r="D1326" s="1" t="str">
        <f>IFERROR(VLOOKUP(A1326,[1]biopep_DB!$F$2:$J$1654,5,0),)</f>
        <v>Isolation and structural analysis of antihypertensive peptides that exist naturally in Gouda cheese.; Identification of angiotensin-I-converting enzyme inhibitory peptides derived from sodium caseinate hydrolysates produced by Lactobacillus helveticus NCC 2765.; QSAR study on angiotensin-converting enzyme inhibitor oligopeptides based on a novel set of sequence information descriptors.; Antihypertensive peptides: production, bioavailability and incorporation into foods.; Antihypertensive peptides from food proteins: a review.; A new QSAR model, for angiotensin I-converting enzyme inhibitory oligopeptides.; Isolation and characterization of peptides with antihypertensive activity in foodstuffs.</v>
      </c>
      <c r="E1326" s="1" t="str">
        <f>IFERROR(VLOOKUP(A1326,[1]biopep_DB!$F$2:$L$1654,6,0),0)</f>
        <v>10.3168/jds.S0022-0302(00)75013-2; 10.1021/jf049510t; 10.1007/s00894-010-0862-x; 10.1016/j.cis.2010.11.001; 10.1039/c2fo10192k; 10.1016/j.foodchem.2012.09.092; 10.1080/10408398.2012.664829</v>
      </c>
      <c r="F1326" s="1" t="str">
        <f>IFERROR(VLOOKUP(A1326,[1]biopep_DB!$F$2:$L$1654,7,0),0)</f>
        <v>10908049 15537298 20941517 21185549 22249830 23194537 24915368</v>
      </c>
      <c r="G1326" s="5">
        <v>1140.34</v>
      </c>
      <c r="H1326" s="5">
        <v>11.17</v>
      </c>
      <c r="I1326" s="5">
        <v>2.93</v>
      </c>
      <c r="J1326" s="6">
        <v>-2.3222</v>
      </c>
      <c r="K1326" s="5">
        <v>17.66</v>
      </c>
      <c r="L1326" s="6">
        <v>0.3333</v>
      </c>
      <c r="M1326" s="6">
        <v>0.4778</v>
      </c>
      <c r="N1326" s="6">
        <v>0.2222</v>
      </c>
      <c r="O1326" s="6">
        <v>0.2222</v>
      </c>
      <c r="P1326" s="6">
        <v>0.1111</v>
      </c>
      <c r="Q1326" s="7"/>
      <c r="R1326" s="7"/>
    </row>
    <row r="1327" spans="1:18">
      <c r="A1327" s="4" t="s">
        <v>1788</v>
      </c>
      <c r="B1327" s="4">
        <f t="shared" si="20"/>
        <v>13</v>
      </c>
      <c r="C1327" s="4"/>
      <c r="D1327" s="1" t="str">
        <f>IFERROR(VLOOKUP(A1327,[1]biopep_DB!$F$2:$J$1654,5,0),)</f>
        <v>Isolation and structural analysis of antihypertensive peptides that exist naturally in Gouda cheese.; Isolation and characterization of peptides with antihypertensive activity in foodstuffs.</v>
      </c>
      <c r="E1327" s="1" t="str">
        <f>IFERROR(VLOOKUP(A1327,[1]biopep_DB!$F$2:$L$1654,6,0),0)</f>
        <v>10.3168/jds.S0022-0302(00)75013-2; 10.1080/10408398.2012.664829</v>
      </c>
      <c r="F1327" s="1" t="str">
        <f>IFERROR(VLOOKUP(A1327,[1]biopep_DB!$F$2:$L$1654,7,0),0)</f>
        <v>10908049 24915368</v>
      </c>
      <c r="G1327" s="5">
        <v>1535.79</v>
      </c>
      <c r="H1327" s="5">
        <v>11.17</v>
      </c>
      <c r="I1327" s="5">
        <v>2.93</v>
      </c>
      <c r="J1327" s="6">
        <v>-1.7385</v>
      </c>
      <c r="K1327" s="5">
        <v>44.93</v>
      </c>
      <c r="L1327" s="6">
        <v>0.3846</v>
      </c>
      <c r="M1327" s="6">
        <v>-0.0154</v>
      </c>
      <c r="N1327" s="6">
        <v>0.2308</v>
      </c>
      <c r="O1327" s="6">
        <v>0.3077</v>
      </c>
      <c r="P1327" s="6">
        <v>0.1538</v>
      </c>
      <c r="Q1327" s="7"/>
      <c r="R1327" s="7"/>
    </row>
    <row r="1328" spans="1:18">
      <c r="A1328" s="4" t="s">
        <v>1789</v>
      </c>
      <c r="B1328" s="4">
        <f t="shared" si="20"/>
        <v>15</v>
      </c>
      <c r="C1328" s="4"/>
      <c r="D1328" s="1" t="str">
        <f>IFERROR(VLOOKUP(A1328,[1]biopep_DB!$F$2:$J$1654,5,0),)</f>
        <v/>
      </c>
      <c r="E1328" s="1" t="str">
        <f>IFERROR(VLOOKUP(A1328,[1]biopep_DB!$F$2:$L$1654,6,0),0)</f>
        <v/>
      </c>
      <c r="F1328" s="1" t="str">
        <f>IFERROR(VLOOKUP(A1328,[1]biopep_DB!$F$2:$L$1654,7,0),0)</f>
        <v/>
      </c>
      <c r="G1328" s="5">
        <v>1764.04</v>
      </c>
      <c r="H1328" s="5">
        <v>9.99</v>
      </c>
      <c r="I1328" s="5">
        <v>1.94</v>
      </c>
      <c r="J1328" s="6">
        <v>-1.46</v>
      </c>
      <c r="K1328" s="5">
        <v>53.11</v>
      </c>
      <c r="L1328" s="6">
        <v>0.4</v>
      </c>
      <c r="M1328" s="6">
        <v>-0.1733</v>
      </c>
      <c r="N1328" s="6">
        <v>0.2667</v>
      </c>
      <c r="O1328" s="6">
        <v>0.2667</v>
      </c>
      <c r="P1328" s="6">
        <v>0.2</v>
      </c>
      <c r="Q1328" s="7"/>
      <c r="R1328" s="7"/>
    </row>
    <row r="1329" spans="1:18">
      <c r="A1329" s="4" t="s">
        <v>1790</v>
      </c>
      <c r="B1329" s="4">
        <f t="shared" si="20"/>
        <v>19</v>
      </c>
      <c r="C1329" s="4"/>
      <c r="D1329" s="1" t="str">
        <f>IFERROR(VLOOKUP(A1329,[1]biopep_DB!$F$2:$J$1654,5,0),)</f>
        <v/>
      </c>
      <c r="E1329" s="1" t="str">
        <f>IFERROR(VLOOKUP(A1329,[1]biopep_DB!$F$2:$L$1654,6,0),0)</f>
        <v/>
      </c>
      <c r="F1329" s="1" t="str">
        <f>IFERROR(VLOOKUP(A1329,[1]biopep_DB!$F$2:$L$1654,7,0),0)</f>
        <v/>
      </c>
      <c r="G1329" s="5">
        <v>2234.52</v>
      </c>
      <c r="H1329" s="5">
        <v>8.6</v>
      </c>
      <c r="I1329" s="5">
        <v>0.94</v>
      </c>
      <c r="J1329" s="6">
        <v>-1.5053</v>
      </c>
      <c r="K1329" s="5">
        <v>44.04</v>
      </c>
      <c r="L1329" s="6">
        <v>0.3684</v>
      </c>
      <c r="M1329" s="6">
        <v>-0.1389</v>
      </c>
      <c r="N1329" s="6">
        <v>0.3158</v>
      </c>
      <c r="O1329" s="6">
        <v>0.3158</v>
      </c>
      <c r="P1329" s="6">
        <v>0.2105</v>
      </c>
      <c r="Q1329" s="7"/>
      <c r="R1329" s="7"/>
    </row>
    <row r="1330" spans="1:18">
      <c r="A1330" s="4" t="s">
        <v>1791</v>
      </c>
      <c r="B1330" s="4">
        <f t="shared" si="20"/>
        <v>4</v>
      </c>
      <c r="C1330" s="4"/>
      <c r="D1330" s="1" t="str">
        <f>IFERROR(VLOOKUP(A1330,[1]biopep_DB!$F$2:$J$1654,5,0),)</f>
        <v/>
      </c>
      <c r="E1330" s="1" t="str">
        <f>IFERROR(VLOOKUP(A1330,[1]biopep_DB!$F$2:$L$1654,6,0),0)</f>
        <v/>
      </c>
      <c r="F1330" s="1" t="str">
        <f>IFERROR(VLOOKUP(A1330,[1]biopep_DB!$F$2:$L$1654,7,0),0)</f>
        <v/>
      </c>
      <c r="G1330" s="5">
        <v>455.55</v>
      </c>
      <c r="H1330" s="5">
        <v>9.75</v>
      </c>
      <c r="I1330" s="5">
        <v>0.76</v>
      </c>
      <c r="J1330" s="6">
        <v>-0.125</v>
      </c>
      <c r="K1330" s="5">
        <v>55.65</v>
      </c>
      <c r="L1330" s="6">
        <v>0.75</v>
      </c>
      <c r="M1330" s="6">
        <v>-1.0025</v>
      </c>
      <c r="N1330" s="6">
        <v>0.5</v>
      </c>
      <c r="O1330" s="6">
        <v>0.25</v>
      </c>
      <c r="P1330" s="6">
        <v>0.25</v>
      </c>
      <c r="Q1330" s="7"/>
      <c r="R1330" s="7"/>
    </row>
    <row r="1331" spans="1:18">
      <c r="A1331" s="4" t="s">
        <v>1792</v>
      </c>
      <c r="B1331" s="4">
        <f t="shared" si="20"/>
        <v>6</v>
      </c>
      <c r="C1331" s="4"/>
      <c r="D1331" s="1" t="str">
        <f>IFERROR(VLOOKUP(A1331,[1]biopep_DB!$F$2:$J$1654,5,0),)</f>
        <v/>
      </c>
      <c r="E1331" s="1" t="str">
        <f>IFERROR(VLOOKUP(A1331,[1]biopep_DB!$F$2:$L$1654,6,0),0)</f>
        <v/>
      </c>
      <c r="F1331" s="1" t="str">
        <f>IFERROR(VLOOKUP(A1331,[1]biopep_DB!$F$2:$L$1654,7,0),0)</f>
        <v/>
      </c>
      <c r="G1331" s="5">
        <v>795.97</v>
      </c>
      <c r="H1331" s="5">
        <v>11</v>
      </c>
      <c r="I1331" s="5">
        <v>1.76</v>
      </c>
      <c r="J1331" s="6">
        <v>-1.45</v>
      </c>
      <c r="K1331" s="5">
        <v>8.92</v>
      </c>
      <c r="L1331" s="6">
        <v>0.6667</v>
      </c>
      <c r="M1331" s="6">
        <v>-0.4917</v>
      </c>
      <c r="N1331" s="6">
        <v>0.3333</v>
      </c>
      <c r="O1331" s="6">
        <v>0.3333</v>
      </c>
      <c r="P1331" s="6">
        <v>0.3333</v>
      </c>
      <c r="Q1331" s="7"/>
      <c r="R1331" s="7"/>
    </row>
    <row r="1332" spans="1:18">
      <c r="A1332" s="4" t="s">
        <v>1793</v>
      </c>
      <c r="B1332" s="4">
        <f t="shared" si="20"/>
        <v>3</v>
      </c>
      <c r="C1332" s="4" t="s">
        <v>36</v>
      </c>
      <c r="D1332" s="1" t="str">
        <f>IFERROR(VLOOKUP(A1332,[1]biopep_DB!$F$2:$J$1654,5,0),)</f>
        <v>Structural requirements of Angiotensin I-converting enzyme inhibitory peptides: quantitative structure-activity relationship study of di- and tripeptides.</v>
      </c>
      <c r="E1332" s="1" t="str">
        <f>IFERROR(VLOOKUP(A1332,[1]biopep_DB!$F$2:$L$1654,6,0),0)</f>
        <v>10.1021/jf051263l</v>
      </c>
      <c r="F1332" s="1" t="str">
        <f>IFERROR(VLOOKUP(A1332,[1]biopep_DB!$F$2:$L$1654,7,0),0)</f>
        <v>16448176</v>
      </c>
      <c r="G1332" s="5">
        <v>368.43</v>
      </c>
      <c r="H1332" s="5">
        <v>9.75</v>
      </c>
      <c r="I1332" s="5">
        <v>0.76</v>
      </c>
      <c r="J1332" s="6">
        <v>-2.5667</v>
      </c>
      <c r="K1332" s="5">
        <v>135.07</v>
      </c>
      <c r="L1332" s="6">
        <v>0.6667</v>
      </c>
      <c r="M1332" s="6">
        <v>0.9067</v>
      </c>
      <c r="N1332" s="6">
        <v>0</v>
      </c>
      <c r="O1332" s="6">
        <v>0.6667</v>
      </c>
      <c r="P1332" s="6">
        <v>0</v>
      </c>
      <c r="Q1332" s="7"/>
      <c r="R1332" s="7"/>
    </row>
    <row r="1333" spans="1:18">
      <c r="A1333" s="4" t="s">
        <v>1794</v>
      </c>
      <c r="B1333" s="4">
        <f t="shared" si="20"/>
        <v>6</v>
      </c>
      <c r="C1333" s="4" t="s">
        <v>1795</v>
      </c>
      <c r="D1333" s="1" t="str">
        <f>IFERROR(VLOOKUP(A1333,[1]biopep_DB!$F$2:$J$1654,5,0),)</f>
        <v>A new QSAR model, for angiotensin I-converting enzyme inhibitory oligopeptides.</v>
      </c>
      <c r="E1333" s="1" t="str">
        <f>IFERROR(VLOOKUP(A1333,[1]biopep_DB!$F$2:$L$1654,6,0),0)</f>
        <v>10.1016/j.foodchem.2012.09.092</v>
      </c>
      <c r="F1333" s="1" t="str">
        <f>IFERROR(VLOOKUP(A1333,[1]biopep_DB!$F$2:$L$1654,7,0),0)</f>
        <v>23194537</v>
      </c>
      <c r="G1333" s="5">
        <v>706.83</v>
      </c>
      <c r="H1333" s="5">
        <v>9.75</v>
      </c>
      <c r="I1333" s="5">
        <v>0.76</v>
      </c>
      <c r="J1333" s="6">
        <v>-1.3833</v>
      </c>
      <c r="K1333" s="5">
        <v>99.83</v>
      </c>
      <c r="L1333" s="6">
        <v>0.6667</v>
      </c>
      <c r="M1333" s="6">
        <v>-0.14</v>
      </c>
      <c r="N1333" s="6">
        <v>0</v>
      </c>
      <c r="O1333" s="6">
        <v>0.5</v>
      </c>
      <c r="P1333" s="6">
        <v>0.1667</v>
      </c>
      <c r="Q1333" s="7"/>
      <c r="R1333" s="7"/>
    </row>
    <row r="1334" spans="1:18">
      <c r="A1334" s="4" t="s">
        <v>1796</v>
      </c>
      <c r="B1334" s="4">
        <f t="shared" si="20"/>
        <v>3</v>
      </c>
      <c r="C1334" s="4" t="s">
        <v>1797</v>
      </c>
      <c r="D1334" s="1" t="str">
        <f>IFERROR(VLOOKUP(A1334,[1]biopep_DB!$F$2:$J$1654,5,0),)</f>
        <v>Angiotensin I-converting enzyme inhibitory peptides generated from in vitro gastrointestinal digestion of pork meat.; What are the ideal properties for functional food peptides with antihypertensive effect? A computational peptidology approach.; Isolation and characterization of peptides with antihypertensive activity in foodstuffs.</v>
      </c>
      <c r="E1334" s="1" t="str">
        <f>IFERROR(VLOOKUP(A1334,[1]biopep_DB!$F$2:$L$1654,6,0),0)</f>
        <v>10.1021/jf904204n; 10.1016/j.foodchem.2013.05.140; 10.1080/10408398.2012.664829</v>
      </c>
      <c r="F1334" s="1" t="str">
        <f>IFERROR(VLOOKUP(A1334,[1]biopep_DB!$F$2:$L$1654,7,0),0)</f>
        <v>20151679 23871047 24915368</v>
      </c>
      <c r="G1334" s="5">
        <v>427.5</v>
      </c>
      <c r="H1334" s="5">
        <v>12</v>
      </c>
      <c r="I1334" s="5">
        <v>1.76</v>
      </c>
      <c r="J1334" s="6">
        <v>-3.5333</v>
      </c>
      <c r="K1334" s="5">
        <v>45.73</v>
      </c>
      <c r="L1334" s="6">
        <v>0.3333</v>
      </c>
      <c r="M1334" s="6">
        <v>1.8133</v>
      </c>
      <c r="N1334" s="6">
        <v>0</v>
      </c>
      <c r="O1334" s="6">
        <v>0.3333</v>
      </c>
      <c r="P1334" s="6">
        <v>0</v>
      </c>
      <c r="Q1334" s="7"/>
      <c r="R1334" s="7"/>
    </row>
    <row r="1335" spans="1:18">
      <c r="A1335" s="4" t="s">
        <v>1798</v>
      </c>
      <c r="B1335" s="4">
        <f t="shared" si="20"/>
        <v>4</v>
      </c>
      <c r="C1335" s="4" t="s">
        <v>1799</v>
      </c>
      <c r="D1335" s="1" t="str">
        <f>IFERROR(VLOOKUP(A1335,[1]biopep_DB!$F$2:$J$1654,5,0),)</f>
        <v/>
      </c>
      <c r="E1335" s="1" t="str">
        <f>IFERROR(VLOOKUP(A1335,[1]biopep_DB!$F$2:$L$1654,6,0),0)</f>
        <v/>
      </c>
      <c r="F1335" s="1" t="str">
        <f>IFERROR(VLOOKUP(A1335,[1]biopep_DB!$F$2:$L$1654,7,0),0)</f>
        <v/>
      </c>
      <c r="G1335" s="5">
        <v>547.65</v>
      </c>
      <c r="H1335" s="5">
        <v>8.75</v>
      </c>
      <c r="I1335" s="5">
        <v>0.76</v>
      </c>
      <c r="J1335" s="6">
        <v>-0.9</v>
      </c>
      <c r="K1335" s="5">
        <v>55.65</v>
      </c>
      <c r="L1335" s="6">
        <v>0.5</v>
      </c>
      <c r="M1335" s="6">
        <v>-0.515</v>
      </c>
      <c r="N1335" s="6">
        <v>0.25</v>
      </c>
      <c r="O1335" s="6">
        <v>0.25</v>
      </c>
      <c r="P1335" s="6">
        <v>0.5</v>
      </c>
      <c r="Q1335" s="7"/>
      <c r="R1335" s="7"/>
    </row>
    <row r="1336" spans="1:18">
      <c r="A1336" s="4" t="s">
        <v>1800</v>
      </c>
      <c r="B1336" s="4">
        <f t="shared" si="20"/>
        <v>2</v>
      </c>
      <c r="C1336" s="4" t="s">
        <v>1801</v>
      </c>
      <c r="D1336" s="1" t="str">
        <f>IFERROR(VLOOKUP(A1336,[1]biopep_DB!$F$2:$J$1654,5,0),)</f>
        <v>Quantitative structure-activity relationship study of bitter di- and tri-peptides including relationship with angiotensin I-converting enzyme inhibitory activity.; What are the ideal properties for functional food peptides with antihypertensive effect? A computational peptidology approach.</v>
      </c>
      <c r="E1336" s="1" t="str">
        <f>IFERROR(VLOOKUP(A1336,[1]biopep_DB!$F$2:$L$1654,6,0),0)</f>
        <v>10.1002/psc.800; 10.1016/j.foodchem.2013.05.140</v>
      </c>
      <c r="F1336" s="1" t="str">
        <f>IFERROR(VLOOKUP(A1336,[1]biopep_DB!$F$2:$L$1654,7,0),0)</f>
        <v>17117396 23871047</v>
      </c>
      <c r="G1336" s="5">
        <v>330.39</v>
      </c>
      <c r="H1336" s="5">
        <v>12</v>
      </c>
      <c r="I1336" s="5">
        <v>1.76</v>
      </c>
      <c r="J1336" s="6">
        <v>-4.5</v>
      </c>
      <c r="K1336" s="5">
        <v>291.4</v>
      </c>
      <c r="L1336" s="6">
        <v>0</v>
      </c>
      <c r="M1336" s="6">
        <v>2.72</v>
      </c>
      <c r="N1336" s="6">
        <v>0</v>
      </c>
      <c r="O1336" s="6">
        <v>0</v>
      </c>
      <c r="P1336" s="6">
        <v>0</v>
      </c>
      <c r="Q1336" s="7"/>
      <c r="R1336" s="7"/>
    </row>
    <row r="1337" spans="1:18">
      <c r="A1337" s="4" t="s">
        <v>1802</v>
      </c>
      <c r="B1337" s="4">
        <f t="shared" si="20"/>
        <v>12</v>
      </c>
      <c r="C1337" s="4"/>
      <c r="G1337" s="5">
        <v>1558.82</v>
      </c>
      <c r="H1337" s="5">
        <v>12</v>
      </c>
      <c r="I1337" s="5">
        <v>5.76</v>
      </c>
      <c r="J1337" s="6">
        <v>-2.6583</v>
      </c>
      <c r="K1337" s="5">
        <v>143.94</v>
      </c>
      <c r="L1337" s="6">
        <v>0.1667</v>
      </c>
      <c r="M1337" s="6">
        <v>1.2733</v>
      </c>
      <c r="N1337" s="6">
        <v>0.3333</v>
      </c>
      <c r="O1337" s="6">
        <v>0.1667</v>
      </c>
      <c r="P1337" s="6">
        <v>0</v>
      </c>
      <c r="Q1337" s="7"/>
      <c r="R1337" s="7"/>
    </row>
    <row r="1338" spans="1:18">
      <c r="A1338" s="4" t="s">
        <v>1803</v>
      </c>
      <c r="B1338" s="4">
        <f t="shared" si="20"/>
        <v>12</v>
      </c>
      <c r="C1338" s="4"/>
      <c r="G1338" s="5">
        <v>1742.07</v>
      </c>
      <c r="H1338" s="5">
        <v>12</v>
      </c>
      <c r="I1338" s="5">
        <v>7.76</v>
      </c>
      <c r="J1338" s="6">
        <v>-3.7</v>
      </c>
      <c r="K1338" s="5">
        <v>202.79</v>
      </c>
      <c r="L1338" s="6">
        <v>0.0833</v>
      </c>
      <c r="M1338" s="6">
        <v>1.9075</v>
      </c>
      <c r="N1338" s="6">
        <v>0.25</v>
      </c>
      <c r="O1338" s="6">
        <v>0.0833</v>
      </c>
      <c r="P1338" s="6">
        <v>0</v>
      </c>
      <c r="Q1338" s="7"/>
      <c r="R1338" s="7"/>
    </row>
    <row r="1339" spans="1:18">
      <c r="A1339" s="4" t="s">
        <v>1804</v>
      </c>
      <c r="B1339" s="4">
        <f t="shared" si="20"/>
        <v>3</v>
      </c>
      <c r="C1339" s="4"/>
      <c r="D1339" s="1" t="str">
        <f>IFERROR(VLOOKUP(A1339,[1]biopep_DB!$F$2:$J$1654,5,0),)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339" s="1" t="str">
        <f>IFERROR(VLOOKUP(A1339,[1]biopep_DB!$F$2:$L$1654,6,0),0)</f>
        <v>10.1002/psc.800; 10.1007/s00894-010-0862-x; 10.1016/j.foodchem.2013.05.140</v>
      </c>
      <c r="F1339" s="1" t="str">
        <f>IFERROR(VLOOKUP(A1339,[1]biopep_DB!$F$2:$L$1654,7,0),0)</f>
        <v>17117396 20941517 23871047</v>
      </c>
      <c r="G1339" s="5">
        <v>486.57</v>
      </c>
      <c r="H1339" s="5">
        <v>12</v>
      </c>
      <c r="I1339" s="5">
        <v>2.76</v>
      </c>
      <c r="J1339" s="6">
        <v>-4.5</v>
      </c>
      <c r="K1339" s="5">
        <v>388.53</v>
      </c>
      <c r="L1339" s="6">
        <v>0</v>
      </c>
      <c r="M1339" s="6">
        <v>2.72</v>
      </c>
      <c r="N1339" s="6">
        <v>0</v>
      </c>
      <c r="O1339" s="6">
        <v>0</v>
      </c>
      <c r="P1339" s="6">
        <v>0</v>
      </c>
      <c r="Q1339" s="7"/>
      <c r="R1339" s="7"/>
    </row>
    <row r="1340" spans="1:18">
      <c r="A1340" s="4" t="s">
        <v>1805</v>
      </c>
      <c r="B1340" s="4">
        <f t="shared" si="20"/>
        <v>6</v>
      </c>
      <c r="C1340" s="4"/>
      <c r="D1340" s="1" t="str">
        <f>IFERROR(VLOOKUP(A1340,[1]biopep_DB!$F$2:$J$1654,5,0),)</f>
        <v>Antihypertensive peptides from food proteins: a review.</v>
      </c>
      <c r="E1340" s="1" t="str">
        <f>IFERROR(VLOOKUP(A1340,[1]biopep_DB!$F$2:$L$1654,6,0),0)</f>
        <v>10.1039/c2fo10192k</v>
      </c>
      <c r="F1340" s="1" t="str">
        <f>IFERROR(VLOOKUP(A1340,[1]biopep_DB!$F$2:$L$1654,7,0),0)</f>
        <v>22249830</v>
      </c>
      <c r="G1340" s="5">
        <v>987.12</v>
      </c>
      <c r="H1340" s="5">
        <v>12</v>
      </c>
      <c r="I1340" s="5">
        <v>2.76</v>
      </c>
      <c r="J1340" s="6">
        <v>-3.1333</v>
      </c>
      <c r="K1340" s="5">
        <v>199.27</v>
      </c>
      <c r="L1340" s="6">
        <v>0.3333</v>
      </c>
      <c r="M1340" s="6">
        <v>0.81</v>
      </c>
      <c r="N1340" s="6">
        <v>0</v>
      </c>
      <c r="O1340" s="6">
        <v>0</v>
      </c>
      <c r="P1340" s="6">
        <v>0.3333</v>
      </c>
      <c r="Q1340" s="7"/>
      <c r="R1340" s="7"/>
    </row>
    <row r="1341" spans="1:18">
      <c r="A1341" s="4" t="s">
        <v>1806</v>
      </c>
      <c r="B1341" s="4">
        <f t="shared" si="20"/>
        <v>2</v>
      </c>
      <c r="C1341" s="4" t="s">
        <v>1807</v>
      </c>
      <c r="D1341" s="1" t="str">
        <f>IFERROR(VLOOKUP(A1341,[1]biopep_DB!$F$2:$J$1654,5,0),)</f>
        <v/>
      </c>
      <c r="E1341" s="1" t="str">
        <f>IFERROR(VLOOKUP(A1341,[1]biopep_DB!$F$2:$L$1654,6,0),0)</f>
        <v/>
      </c>
      <c r="F1341" s="1" t="str">
        <f>IFERROR(VLOOKUP(A1341,[1]biopep_DB!$F$2:$L$1654,7,0),0)</f>
        <v/>
      </c>
      <c r="G1341" s="5">
        <v>261.28</v>
      </c>
      <c r="H1341" s="5">
        <v>9.75</v>
      </c>
      <c r="I1341" s="5">
        <v>0.76</v>
      </c>
      <c r="J1341" s="6">
        <v>-2.65</v>
      </c>
      <c r="K1341" s="5">
        <v>224.7</v>
      </c>
      <c r="L1341" s="6">
        <v>0</v>
      </c>
      <c r="M1341" s="6">
        <v>1.78</v>
      </c>
      <c r="N1341" s="6">
        <v>0</v>
      </c>
      <c r="O1341" s="6">
        <v>0.5</v>
      </c>
      <c r="P1341" s="6">
        <v>0</v>
      </c>
      <c r="Q1341" s="7"/>
      <c r="R1341" s="7"/>
    </row>
    <row r="1342" spans="1:18">
      <c r="A1342" s="4" t="s">
        <v>1808</v>
      </c>
      <c r="B1342" s="4">
        <f t="shared" si="20"/>
        <v>9</v>
      </c>
      <c r="C1342" s="4"/>
      <c r="D1342" s="1" t="str">
        <f>IFERROR(VLOOKUP(A1342,[1]biopep_DB!$F$2:$J$1654,5,0),)</f>
        <v>Angiotensin I-converting enzyme inhibitory peptides generated from in vitro gastrointestinal digestion of pork meat.</v>
      </c>
      <c r="E1342" s="1" t="str">
        <f>IFERROR(VLOOKUP(A1342,[1]biopep_DB!$F$2:$L$1654,6,0),0)</f>
        <v>10.1021/jf904204n</v>
      </c>
      <c r="F1342" s="1" t="str">
        <f>IFERROR(VLOOKUP(A1342,[1]biopep_DB!$F$2:$L$1654,7,0),0)</f>
        <v>20151679</v>
      </c>
      <c r="G1342" s="5">
        <v>1035.11</v>
      </c>
      <c r="H1342" s="5">
        <v>5.4</v>
      </c>
      <c r="I1342" s="5">
        <v>-1.15</v>
      </c>
      <c r="J1342" s="6">
        <v>-1.4</v>
      </c>
      <c r="K1342" s="5">
        <v>74.24</v>
      </c>
      <c r="L1342" s="6">
        <v>0.4444</v>
      </c>
      <c r="M1342" s="6">
        <v>0.1556</v>
      </c>
      <c r="N1342" s="6">
        <v>0.3333</v>
      </c>
      <c r="O1342" s="6">
        <v>0.2222</v>
      </c>
      <c r="P1342" s="6">
        <v>0.2222</v>
      </c>
      <c r="Q1342" s="7"/>
      <c r="R1342" s="7"/>
    </row>
    <row r="1343" spans="1:18">
      <c r="A1343" s="4" t="s">
        <v>1809</v>
      </c>
      <c r="B1343" s="4">
        <f t="shared" si="20"/>
        <v>5</v>
      </c>
      <c r="C1343" s="4" t="s">
        <v>1810</v>
      </c>
      <c r="D1343" s="1" t="str">
        <f>IFERROR(VLOOKUP(A1343,[1]biopep_DB!$F$2:$J$1654,5,0),)</f>
        <v/>
      </c>
      <c r="E1343" s="1" t="str">
        <f>IFERROR(VLOOKUP(A1343,[1]biopep_DB!$F$2:$L$1654,6,0),0)</f>
        <v/>
      </c>
      <c r="F1343" s="1" t="str">
        <f>IFERROR(VLOOKUP(A1343,[1]biopep_DB!$F$2:$L$1654,7,0),0)</f>
        <v/>
      </c>
      <c r="G1343" s="5">
        <v>570.68</v>
      </c>
      <c r="H1343" s="5">
        <v>9.75</v>
      </c>
      <c r="I1343" s="5">
        <v>0.76</v>
      </c>
      <c r="J1343" s="6">
        <v>0.22</v>
      </c>
      <c r="K1343" s="5">
        <v>85.04</v>
      </c>
      <c r="L1343" s="6">
        <v>0.6</v>
      </c>
      <c r="M1343" s="6">
        <v>-1.08</v>
      </c>
      <c r="N1343" s="6">
        <v>0.2</v>
      </c>
      <c r="O1343" s="6">
        <v>0.4</v>
      </c>
      <c r="P1343" s="6">
        <v>0.4</v>
      </c>
      <c r="Q1343" s="7"/>
      <c r="R1343" s="7"/>
    </row>
    <row r="1344" spans="1:18">
      <c r="A1344" s="4" t="s">
        <v>1811</v>
      </c>
      <c r="B1344" s="4">
        <f t="shared" si="20"/>
        <v>6</v>
      </c>
      <c r="C1344" s="4" t="s">
        <v>1812</v>
      </c>
      <c r="D1344" s="1" t="str">
        <f>IFERROR(VLOOKUP(A1344,[1]biopep_DB!$F$2:$J$1654,5,0),)</f>
        <v/>
      </c>
      <c r="E1344" s="1" t="str">
        <f>IFERROR(VLOOKUP(A1344,[1]biopep_DB!$F$2:$L$1654,6,0),0)</f>
        <v/>
      </c>
      <c r="F1344" s="1" t="str">
        <f>IFERROR(VLOOKUP(A1344,[1]biopep_DB!$F$2:$L$1654,7,0),0)</f>
        <v/>
      </c>
      <c r="G1344" s="5">
        <v>701.88</v>
      </c>
      <c r="H1344" s="5">
        <v>9.75</v>
      </c>
      <c r="I1344" s="5">
        <v>0.76</v>
      </c>
      <c r="J1344" s="6">
        <v>0.5</v>
      </c>
      <c r="K1344" s="5">
        <v>72.53</v>
      </c>
      <c r="L1344" s="6">
        <v>0.6667</v>
      </c>
      <c r="M1344" s="6">
        <v>-1.2917</v>
      </c>
      <c r="N1344" s="6">
        <v>0.3333</v>
      </c>
      <c r="O1344" s="6">
        <v>0.3333</v>
      </c>
      <c r="P1344" s="6">
        <v>0.3333</v>
      </c>
      <c r="Q1344" s="7"/>
      <c r="R1344" s="7"/>
    </row>
    <row r="1345" spans="1:18">
      <c r="A1345" s="4" t="s">
        <v>1813</v>
      </c>
      <c r="B1345" s="4">
        <f t="shared" si="20"/>
        <v>3</v>
      </c>
      <c r="C1345" s="4" t="s">
        <v>36</v>
      </c>
      <c r="D1345" s="1" t="str">
        <f>IFERROR(VLOOKUP(A1345,[1]biopep_DB!$F$2:$J$1654,5,0),)</f>
        <v>Angiotensin I-converting enzyme inhibitory peptides in an alkaline protease hydrolyzate derived from sardine muscle.; Structural requirements of Angiotensin I-converting enzyme inhibitory peptides: quantitative structure-activity relationship study of di- and tripeptides.; Review on the angiotensin-I-converting enzyme (ACE) inhibitor peptides from marine proteins.; What are the ideal properties for functional food peptides with antihypertensive effect? A computational peptidology approach.</v>
      </c>
      <c r="E1345" s="1" t="str">
        <f>IFERROR(VLOOKUP(A1345,[1]biopep_DB!$F$2:$L$1654,6,0),0)</f>
        <v>10.1271/bbb.58.2244; 10.1021/jf051263l; 10.1007/s12010-012-0024-y; 10.1016/j.foodchem.2013.05.140</v>
      </c>
      <c r="F1345" s="1" t="str">
        <f>IFERROR(VLOOKUP(A1345,[1]biopep_DB!$F$2:$L$1654,7,0),0)</f>
        <v>7765718 16448176 23271625 23871047</v>
      </c>
      <c r="G1345" s="5">
        <v>436.51</v>
      </c>
      <c r="H1345" s="5">
        <v>8.75</v>
      </c>
      <c r="I1345" s="5">
        <v>0.76</v>
      </c>
      <c r="J1345" s="6">
        <v>-0.5333</v>
      </c>
      <c r="K1345" s="5">
        <v>-18.47</v>
      </c>
      <c r="L1345" s="6">
        <v>0.3333</v>
      </c>
      <c r="M1345" s="6">
        <v>-0.3933</v>
      </c>
      <c r="N1345" s="6">
        <v>0</v>
      </c>
      <c r="O1345" s="6">
        <v>0</v>
      </c>
      <c r="P1345" s="6">
        <v>0.6667</v>
      </c>
      <c r="Q1345" s="7"/>
      <c r="R1345" s="7"/>
    </row>
    <row r="1346" spans="1:18">
      <c r="A1346" s="4" t="s">
        <v>1814</v>
      </c>
      <c r="B1346" s="4">
        <f t="shared" si="20"/>
        <v>2</v>
      </c>
      <c r="C1346" s="4" t="s">
        <v>31</v>
      </c>
      <c r="D1346" s="1" t="str">
        <f>IFERROR(VLOOKUP(A1346,[1]biopep_DB!$F$2:$J$1654,5,0),)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Inhibition strength of short peptides derived from an ACE inhibitory peptide.; What are the ideal properties for functional food peptides with antihypertensive effect? A computational peptidology approach.</v>
      </c>
      <c r="E1346" s="1" t="str">
        <f>IFERROR(VLOOKUP(A1346,[1]biopep_DB!$F$2:$L$1654,6,0),0)</f>
        <v>10.1021/jf051263l; 10.1002/psc.892; 10.1007/s00894-010-0862-x; 10.1021/jf202902r; 10.1016/j.foodchem.2013.05.140</v>
      </c>
      <c r="F1346" s="1" t="str">
        <f>IFERROR(VLOOKUP(A1346,[1]biopep_DB!$F$2:$L$1654,7,0),0)</f>
        <v>6243277 16448176 17654623 20941517 21923188 23871047</v>
      </c>
      <c r="G1346" s="5">
        <v>360.41</v>
      </c>
      <c r="H1346" s="5">
        <v>9.75</v>
      </c>
      <c r="I1346" s="5">
        <v>0.76</v>
      </c>
      <c r="J1346" s="6">
        <v>-2.7</v>
      </c>
      <c r="K1346" s="5">
        <v>291.4</v>
      </c>
      <c r="L1346" s="6">
        <v>0.5</v>
      </c>
      <c r="M1346" s="6">
        <v>0.195</v>
      </c>
      <c r="N1346" s="6">
        <v>0</v>
      </c>
      <c r="O1346" s="6">
        <v>0</v>
      </c>
      <c r="P1346" s="6">
        <v>0.5</v>
      </c>
      <c r="Q1346" s="7"/>
      <c r="R1346" s="7"/>
    </row>
    <row r="1347" spans="1:18">
      <c r="A1347" s="4" t="s">
        <v>1815</v>
      </c>
      <c r="B1347" s="4">
        <f t="shared" si="20"/>
        <v>2</v>
      </c>
      <c r="C1347" s="4" t="s">
        <v>36</v>
      </c>
      <c r="D1347" s="1" t="str">
        <f>IFERROR(VLOOKUP(A1347,[1]biopep_DB!$F$2:$J$1654,5,0),)</f>
        <v>Angiotensin I-converting enzyme inhibitory peptides in an alkaline protease hydrolyzate derived from sardine muscle.; Structural requirements of Angiotensin I-converting enzyme inhibitory peptides: quantitative structure-activity relationship study of di- and tripeptides.; Bioactive peptides in amaranth (Amaranthus hypochondriacus) seed.; Review on the angiotensin-I-converting enzyme (ACE) inhibitor peptides from marine proteins.; What are the ideal properties for functional food peptides with antihypertensive effect? A computational peptidology approach.</v>
      </c>
      <c r="E1347" s="1" t="str">
        <f>IFERROR(VLOOKUP(A1347,[1]biopep_DB!$F$2:$L$1654,6,0),0)</f>
        <v>10.1271/bbb.58.2244; 10.1021/jf051263l; 10.1021/jf072911z; 10.1007/s12010-012-0024-y; 10.1016/j.foodchem.2013.05.140</v>
      </c>
      <c r="F1347" s="1" t="str">
        <f>IFERROR(VLOOKUP(A1347,[1]biopep_DB!$F$2:$L$1654,7,0),0)</f>
        <v>7765718 16448176 18211015 23271625 23871047</v>
      </c>
      <c r="G1347" s="5">
        <v>337.37</v>
      </c>
      <c r="H1347" s="5">
        <v>8.75</v>
      </c>
      <c r="I1347" s="5">
        <v>0.76</v>
      </c>
      <c r="J1347" s="6">
        <v>-2.9</v>
      </c>
      <c r="K1347" s="5">
        <v>-32.7</v>
      </c>
      <c r="L1347" s="6">
        <v>0</v>
      </c>
      <c r="M1347" s="6">
        <v>1.43</v>
      </c>
      <c r="N1347" s="6">
        <v>0</v>
      </c>
      <c r="O1347" s="6">
        <v>0</v>
      </c>
      <c r="P1347" s="6">
        <v>0.5</v>
      </c>
      <c r="Q1347" s="7"/>
      <c r="R1347" s="7"/>
    </row>
    <row r="1348" spans="1:18">
      <c r="A1348" s="4" t="s">
        <v>1816</v>
      </c>
      <c r="B1348" s="4">
        <f t="shared" si="20"/>
        <v>5</v>
      </c>
      <c r="C1348" s="4" t="s">
        <v>1817</v>
      </c>
      <c r="D1348" s="1" t="str">
        <f>IFERROR(VLOOKUP(A1348,[1]biopep_DB!$F$2:$J$1654,5,0),)</f>
        <v>Antihypertensive peptides: production, bioavailability and incorporation into foods.; Antihypertensive peptides from food proteins: a review.; A new QSAR model, for angiotensin I-converting enzyme inhibitory oligopeptides.; Glycinyl-histidinyl-serine (GHS), a novel rapeseed protein-derived peptide has blood pressure-lowering effect in spontaneously hypertensive rats.; Isolation and characterization of peptides with antihypertensive activity in foodstuffs.</v>
      </c>
      <c r="E1348" s="1" t="str">
        <f>IFERROR(VLOOKUP(A1348,[1]biopep_DB!$F$2:$L$1654,6,0),0)</f>
        <v>10.1016/j.cis.2010.11.001; 10.1039/c2fo10192k; 10.1016/j.foodchem.2012.09.092; 10.1021/jf400865m; 10.1080/10408398.2012.664829</v>
      </c>
      <c r="F1348" s="1" t="str">
        <f>IFERROR(VLOOKUP(A1348,[1]biopep_DB!$F$2:$L$1654,7,0),0)</f>
        <v>21185549 22249830 23194537 23919612 24915368</v>
      </c>
      <c r="G1348" s="5">
        <v>670.76</v>
      </c>
      <c r="H1348" s="5">
        <v>8.59</v>
      </c>
      <c r="I1348" s="5">
        <v>0.76</v>
      </c>
      <c r="J1348" s="6">
        <v>-0.74</v>
      </c>
      <c r="K1348" s="5">
        <v>-24.06</v>
      </c>
      <c r="L1348" s="6">
        <v>0.2</v>
      </c>
      <c r="M1348" s="6">
        <v>-0.572</v>
      </c>
      <c r="N1348" s="6">
        <v>0.2</v>
      </c>
      <c r="O1348" s="6">
        <v>0.2</v>
      </c>
      <c r="P1348" s="6">
        <v>0.6</v>
      </c>
      <c r="Q1348" s="7"/>
      <c r="R1348" s="7"/>
    </row>
    <row r="1349" spans="1:18">
      <c r="A1349" s="4" t="s">
        <v>1818</v>
      </c>
      <c r="B1349" s="4">
        <f t="shared" si="20"/>
        <v>6</v>
      </c>
      <c r="C1349" s="4"/>
      <c r="D1349" s="1" t="str">
        <f>IFERROR(VLOOKUP(A1349,[1]biopep_DB!$F$2:$J$1654,5,0),)</f>
        <v>Antihypertensive peptides from food proteins: a review.</v>
      </c>
      <c r="E1349" s="1" t="str">
        <f>IFERROR(VLOOKUP(A1349,[1]biopep_DB!$F$2:$L$1654,6,0),0)</f>
        <v>10.1039/c2fo10192k</v>
      </c>
      <c r="F1349" s="1" t="str">
        <f>IFERROR(VLOOKUP(A1349,[1]biopep_DB!$F$2:$L$1654,7,0),0)</f>
        <v>22249830</v>
      </c>
      <c r="G1349" s="5">
        <v>741.79</v>
      </c>
      <c r="H1349" s="5">
        <v>8.59</v>
      </c>
      <c r="I1349" s="5">
        <v>0.76</v>
      </c>
      <c r="J1349" s="6">
        <v>-1.65</v>
      </c>
      <c r="K1349" s="5">
        <v>34.28</v>
      </c>
      <c r="L1349" s="6">
        <v>0.1667</v>
      </c>
      <c r="M1349" s="6">
        <v>0.4833</v>
      </c>
      <c r="N1349" s="6">
        <v>0</v>
      </c>
      <c r="O1349" s="6">
        <v>0.5</v>
      </c>
      <c r="P1349" s="6">
        <v>0.3333</v>
      </c>
      <c r="Q1349" s="7"/>
      <c r="R1349" s="7"/>
    </row>
    <row r="1350" spans="1:18">
      <c r="A1350" s="4" t="s">
        <v>1819</v>
      </c>
      <c r="B1350" s="4">
        <f t="shared" ref="B1350:B1413" si="21">LEN(A1350)</f>
        <v>7</v>
      </c>
      <c r="C1350" s="4" t="s">
        <v>705</v>
      </c>
      <c r="D1350" s="1" t="str">
        <f>IFERROR(VLOOKUP(A1350,[1]biopep_DB!$F$2:$J$1654,5,0),)</f>
        <v/>
      </c>
      <c r="E1350" s="1" t="str">
        <f>IFERROR(VLOOKUP(A1350,[1]biopep_DB!$F$2:$L$1654,6,0),0)</f>
        <v/>
      </c>
      <c r="F1350" s="1" t="str">
        <f>IFERROR(VLOOKUP(A1350,[1]biopep_DB!$F$2:$L$1654,7,0),0)</f>
        <v/>
      </c>
      <c r="G1350" s="5">
        <v>804.93</v>
      </c>
      <c r="H1350" s="5">
        <v>8.46</v>
      </c>
      <c r="I1350" s="5">
        <v>0.46</v>
      </c>
      <c r="J1350" s="6">
        <v>0.2286</v>
      </c>
      <c r="K1350" s="5">
        <v>52.83</v>
      </c>
      <c r="L1350" s="6">
        <v>0.5714</v>
      </c>
      <c r="M1350" s="6">
        <v>-1.01</v>
      </c>
      <c r="N1350" s="6">
        <v>0.2857</v>
      </c>
      <c r="O1350" s="6">
        <v>0.2857</v>
      </c>
      <c r="P1350" s="6">
        <v>0.4286</v>
      </c>
      <c r="Q1350" s="7"/>
      <c r="R1350" s="7"/>
    </row>
    <row r="1351" spans="1:18">
      <c r="A1351" s="4" t="s">
        <v>1820</v>
      </c>
      <c r="B1351" s="4">
        <f t="shared" si="21"/>
        <v>10</v>
      </c>
      <c r="C1351" s="4" t="s">
        <v>25</v>
      </c>
      <c r="D1351" s="1" t="str">
        <f>IFERROR(VLOOKUP(A1351,[1]biopep_DB!$F$2:$J$1654,5,0),)</f>
        <v/>
      </c>
      <c r="E1351" s="1" t="str">
        <f>IFERROR(VLOOKUP(A1351,[1]biopep_DB!$F$2:$L$1654,6,0),0)</f>
        <v/>
      </c>
      <c r="F1351" s="1" t="str">
        <f>IFERROR(VLOOKUP(A1351,[1]biopep_DB!$F$2:$L$1654,7,0),0)</f>
        <v/>
      </c>
      <c r="G1351" s="5">
        <v>1037.08</v>
      </c>
      <c r="H1351" s="5">
        <v>5.24</v>
      </c>
      <c r="I1351" s="5">
        <v>-0.54</v>
      </c>
      <c r="J1351" s="6">
        <v>-0.63</v>
      </c>
      <c r="K1351" s="5">
        <v>21.34</v>
      </c>
      <c r="L1351" s="6">
        <v>0.3</v>
      </c>
      <c r="M1351" s="6">
        <v>-0.261</v>
      </c>
      <c r="N1351" s="6">
        <v>0.1</v>
      </c>
      <c r="O1351" s="6">
        <v>0.5</v>
      </c>
      <c r="P1351" s="6">
        <v>0.3</v>
      </c>
      <c r="Q1351" s="7"/>
      <c r="R1351" s="7"/>
    </row>
    <row r="1352" spans="1:18">
      <c r="A1352" s="4" t="s">
        <v>1821</v>
      </c>
      <c r="B1352" s="4">
        <f t="shared" si="21"/>
        <v>5</v>
      </c>
      <c r="C1352" s="4" t="s">
        <v>31</v>
      </c>
      <c r="D1352" s="1" t="str">
        <f>IFERROR(VLOOKUP(A1352,[1]biopep_DB!$F$2:$J$1654,5,0),)</f>
        <v/>
      </c>
      <c r="E1352" s="1" t="str">
        <f>IFERROR(VLOOKUP(A1352,[1]biopep_DB!$F$2:$L$1654,6,0),0)</f>
        <v/>
      </c>
      <c r="F1352" s="1" t="str">
        <f>IFERROR(VLOOKUP(A1352,[1]biopep_DB!$F$2:$L$1654,7,0),0)</f>
        <v/>
      </c>
      <c r="G1352" s="5">
        <v>503.53</v>
      </c>
      <c r="H1352" s="5">
        <v>6.45</v>
      </c>
      <c r="I1352" s="5">
        <v>-0.46</v>
      </c>
      <c r="J1352" s="6">
        <v>-0.52</v>
      </c>
      <c r="K1352" s="5">
        <v>106.34</v>
      </c>
      <c r="L1352" s="6">
        <v>0</v>
      </c>
      <c r="M1352" s="6">
        <v>-0.026</v>
      </c>
      <c r="N1352" s="6">
        <v>0</v>
      </c>
      <c r="O1352" s="6">
        <v>0.4</v>
      </c>
      <c r="P1352" s="6">
        <v>0.2</v>
      </c>
      <c r="Q1352" s="7"/>
      <c r="R1352" s="7"/>
    </row>
    <row r="1353" spans="1:18">
      <c r="A1353" s="4" t="s">
        <v>1822</v>
      </c>
      <c r="B1353" s="4">
        <f t="shared" si="21"/>
        <v>8</v>
      </c>
      <c r="C1353" s="4"/>
      <c r="G1353" s="5">
        <v>952.92</v>
      </c>
      <c r="H1353" s="5">
        <v>5.55</v>
      </c>
      <c r="I1353" s="5">
        <v>-0.54</v>
      </c>
      <c r="J1353" s="6">
        <v>-2.625</v>
      </c>
      <c r="K1353" s="5">
        <v>4.14</v>
      </c>
      <c r="L1353" s="6">
        <v>0</v>
      </c>
      <c r="M1353" s="6">
        <v>1.13</v>
      </c>
      <c r="N1353" s="6">
        <v>0</v>
      </c>
      <c r="O1353" s="6">
        <v>0.625</v>
      </c>
      <c r="P1353" s="6">
        <v>0.125</v>
      </c>
      <c r="Q1353" s="7"/>
      <c r="R1353" s="7"/>
    </row>
    <row r="1354" spans="1:18">
      <c r="A1354" s="4" t="s">
        <v>1823</v>
      </c>
      <c r="B1354" s="4">
        <f t="shared" si="21"/>
        <v>2</v>
      </c>
      <c r="C1354" s="4" t="s">
        <v>36</v>
      </c>
      <c r="D1354" s="1" t="str">
        <f>IFERROR(VLOOKUP(A1354,[1]biopep_DB!$F$2:$J$1654,5,0),)</f>
        <v>Structural requirements of Angiotensin I-converting enzyme inhibitory peptides: quantitative structure-activity relationship study of di- and tripeptides.; Max-E47, a designed minimalist protein that targets the E-box DNA site in vivo and in vitro.;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1354" s="1" t="str">
        <f>IFERROR(VLOOKUP(A1354,[1]biopep_DB!$F$2:$L$1654,6,0),0)</f>
        <v>10.1021/jf051263l; 10.1021/ja901306q; 10.1016/j.talanta.2012.12.041; 10.1016/j.foodchem.2013.05.140; 10.1080/10408398.2012.664829</v>
      </c>
      <c r="F1354" s="1" t="str">
        <f>IFERROR(VLOOKUP(A1354,[1]biopep_DB!$F$2:$L$1654,7,0),0)</f>
        <v>16448176 19449889 23598136 23871047 24915368</v>
      </c>
      <c r="G1354" s="5">
        <v>252.27</v>
      </c>
      <c r="H1354" s="5">
        <v>5.24</v>
      </c>
      <c r="I1354" s="5">
        <v>-0.54</v>
      </c>
      <c r="J1354" s="6">
        <v>1</v>
      </c>
      <c r="K1354" s="5">
        <v>5</v>
      </c>
      <c r="L1354" s="6">
        <v>0.5</v>
      </c>
      <c r="M1354" s="6">
        <v>-1.07</v>
      </c>
      <c r="N1354" s="6">
        <v>0</v>
      </c>
      <c r="O1354" s="6">
        <v>0.5</v>
      </c>
      <c r="P1354" s="6">
        <v>0.5</v>
      </c>
      <c r="Q1354" s="7"/>
      <c r="R1354" s="7"/>
    </row>
    <row r="1355" spans="1:18">
      <c r="A1355" s="4" t="s">
        <v>1824</v>
      </c>
      <c r="B1355" s="4">
        <f t="shared" si="21"/>
        <v>8</v>
      </c>
      <c r="C1355" s="4"/>
      <c r="G1355" s="5">
        <v>1047.12</v>
      </c>
      <c r="H1355" s="5">
        <v>6.46</v>
      </c>
      <c r="I1355" s="5">
        <v>-0.45</v>
      </c>
      <c r="J1355" s="6">
        <v>-0.425</v>
      </c>
      <c r="K1355" s="5">
        <v>5.15</v>
      </c>
      <c r="L1355" s="6">
        <v>0.375</v>
      </c>
      <c r="M1355" s="6">
        <v>-0.3763</v>
      </c>
      <c r="N1355" s="6">
        <v>0</v>
      </c>
      <c r="O1355" s="6">
        <v>0.375</v>
      </c>
      <c r="P1355" s="6">
        <v>0.5</v>
      </c>
      <c r="Q1355" s="7"/>
      <c r="R1355" s="7"/>
    </row>
    <row r="1356" spans="1:18">
      <c r="A1356" s="4" t="s">
        <v>1825</v>
      </c>
      <c r="B1356" s="4">
        <f t="shared" si="21"/>
        <v>10</v>
      </c>
      <c r="C1356" s="4" t="s">
        <v>902</v>
      </c>
      <c r="D1356" s="1" t="str">
        <f>IFERROR(VLOOKUP(A1356,[1]biopep_DB!$F$2:$J$1654,5,0),)</f>
        <v>Inhibition of angiotensin-converting enzyme by synthetic peptide fragments of various beta-caseins.</v>
      </c>
      <c r="E1356" s="1" t="str">
        <f>IFERROR(VLOOKUP(A1356,[1]biopep_DB!$F$2:$L$1654,6,0),0)</f>
        <v/>
      </c>
      <c r="F1356" s="1" t="str">
        <f>IFERROR(VLOOKUP(A1356,[1]biopep_DB!$F$2:$L$1654,7,0),0)</f>
        <v>1368548</v>
      </c>
      <c r="G1356" s="5">
        <v>1189.36</v>
      </c>
      <c r="H1356" s="5">
        <v>5.24</v>
      </c>
      <c r="I1356" s="5">
        <v>-0.54</v>
      </c>
      <c r="J1356" s="6">
        <v>-0.28</v>
      </c>
      <c r="K1356" s="5">
        <v>79.12</v>
      </c>
      <c r="L1356" s="6">
        <v>0.6</v>
      </c>
      <c r="M1356" s="6">
        <v>-0.912</v>
      </c>
      <c r="N1356" s="6">
        <v>0.1</v>
      </c>
      <c r="O1356" s="6">
        <v>0.4</v>
      </c>
      <c r="P1356" s="6">
        <v>0.4</v>
      </c>
      <c r="Q1356" s="7"/>
      <c r="R1356" s="7"/>
    </row>
    <row r="1357" spans="1:18">
      <c r="A1357" s="4" t="s">
        <v>1826</v>
      </c>
      <c r="B1357" s="4">
        <f t="shared" si="21"/>
        <v>2</v>
      </c>
      <c r="C1357" s="4" t="s">
        <v>36</v>
      </c>
      <c r="D1357" s="1" t="str">
        <f>IFERROR(VLOOKUP(A1357,[1]biopep_DB!$F$2:$J$1654,5,0),)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Model of the exofacial substrate-binding site and helical folding of the human Glut1 glucose transporter based on scanning mutagenesis.;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1357" s="1" t="str">
        <f>IFERROR(VLOOKUP(A1357,[1]biopep_DB!$F$2:$L$1654,6,0),0)</f>
        <v>10.1021/jf051263l; 10.1002/psc.892; 10.1021/bi900521n; 10.1007/s00894-010-0862-x; 10.1016/j.jprot.2013.06.023; 10.1016/j.foodchem.2013.05.140</v>
      </c>
      <c r="F1357" s="1" t="str">
        <f>IFERROR(VLOOKUP(A1357,[1]biopep_DB!$F$2:$L$1654,7,0),0)</f>
        <v>6243277 16448176 17654623 19449892 20941517 23806758 23871047</v>
      </c>
      <c r="G1357" s="5">
        <v>162.14</v>
      </c>
      <c r="H1357" s="5">
        <v>5.24</v>
      </c>
      <c r="I1357" s="5">
        <v>-0.54</v>
      </c>
      <c r="J1357" s="6">
        <v>-0.6</v>
      </c>
      <c r="K1357" s="5">
        <v>5</v>
      </c>
      <c r="L1357" s="6">
        <v>0</v>
      </c>
      <c r="M1357" s="6">
        <v>-0.05</v>
      </c>
      <c r="N1357" s="6">
        <v>0</v>
      </c>
      <c r="O1357" s="6">
        <v>1</v>
      </c>
      <c r="P1357" s="6">
        <v>0</v>
      </c>
      <c r="Q1357" s="7"/>
      <c r="R1357" s="7"/>
    </row>
    <row r="1358" spans="1:18">
      <c r="A1358" s="4" t="s">
        <v>1827</v>
      </c>
      <c r="B1358" s="4">
        <f t="shared" si="21"/>
        <v>11</v>
      </c>
      <c r="C1358" s="4"/>
      <c r="G1358" s="5">
        <v>1126.26</v>
      </c>
      <c r="H1358" s="5">
        <v>5.72</v>
      </c>
      <c r="I1358" s="5">
        <v>-0.54</v>
      </c>
      <c r="J1358" s="6">
        <v>-0.4818</v>
      </c>
      <c r="K1358" s="5">
        <v>73.72</v>
      </c>
      <c r="L1358" s="6">
        <v>0.4545</v>
      </c>
      <c r="M1358" s="6">
        <v>-0.5755</v>
      </c>
      <c r="N1358" s="6">
        <v>0.2727</v>
      </c>
      <c r="O1358" s="6">
        <v>0.4545</v>
      </c>
      <c r="P1358" s="6">
        <v>0.1818</v>
      </c>
      <c r="Q1358" s="7"/>
      <c r="R1358" s="7"/>
    </row>
    <row r="1359" spans="1:18">
      <c r="A1359" s="4" t="s">
        <v>1828</v>
      </c>
      <c r="B1359" s="4">
        <f t="shared" si="21"/>
        <v>8</v>
      </c>
      <c r="C1359" s="4"/>
      <c r="G1359" s="5">
        <v>920.07</v>
      </c>
      <c r="H1359" s="5">
        <v>9.47</v>
      </c>
      <c r="I1359" s="5">
        <v>0.46</v>
      </c>
      <c r="J1359" s="6">
        <v>0.0625</v>
      </c>
      <c r="K1359" s="5">
        <v>80.97</v>
      </c>
      <c r="L1359" s="6">
        <v>0.625</v>
      </c>
      <c r="M1359" s="6">
        <v>-1.0325</v>
      </c>
      <c r="N1359" s="6">
        <v>0.125</v>
      </c>
      <c r="O1359" s="6">
        <v>0.5</v>
      </c>
      <c r="P1359" s="6">
        <v>0.375</v>
      </c>
      <c r="Q1359" s="7"/>
      <c r="R1359" s="7"/>
    </row>
    <row r="1360" spans="1:18">
      <c r="A1360" s="4" t="s">
        <v>1829</v>
      </c>
      <c r="B1360" s="4">
        <f t="shared" si="21"/>
        <v>3</v>
      </c>
      <c r="C1360" s="4" t="s">
        <v>1256</v>
      </c>
      <c r="D1360" s="1" t="str">
        <f>IFERROR(VLOOKUP(A1360,[1]biopep_DB!$F$2:$J$1654,5,0),)</f>
        <v>Inhibition of angiotensin-converting enzyme by synthetic peptide fragments of human kappa-casein.; What are the ideal properties for functional food peptides with antihypertensive effect? A computational peptidology approach.</v>
      </c>
      <c r="E1360" s="1" t="str">
        <f>IFERROR(VLOOKUP(A1360,[1]biopep_DB!$F$2:$L$1654,6,0),0)</f>
        <v>10.1016/j.foodchem.2013.05.140</v>
      </c>
      <c r="F1360" s="1" t="str">
        <f>IFERROR(VLOOKUP(A1360,[1]biopep_DB!$F$2:$L$1654,7,0),0)</f>
        <v>1368540 23871047</v>
      </c>
      <c r="G1360" s="5">
        <v>339.35</v>
      </c>
      <c r="H1360" s="5">
        <v>6.46</v>
      </c>
      <c r="I1360" s="5">
        <v>-0.45</v>
      </c>
      <c r="J1360" s="6">
        <v>-1.8667</v>
      </c>
      <c r="K1360" s="5">
        <v>-2.93</v>
      </c>
      <c r="L1360" s="6">
        <v>0.3333</v>
      </c>
      <c r="M1360" s="6">
        <v>0.61</v>
      </c>
      <c r="N1360" s="6">
        <v>0</v>
      </c>
      <c r="O1360" s="6">
        <v>0.6667</v>
      </c>
      <c r="P1360" s="6">
        <v>0</v>
      </c>
      <c r="Q1360" s="7"/>
      <c r="R1360" s="7"/>
    </row>
    <row r="1361" spans="1:18">
      <c r="A1361" s="4" t="s">
        <v>1830</v>
      </c>
      <c r="B1361" s="4">
        <f t="shared" si="21"/>
        <v>10</v>
      </c>
      <c r="C1361" s="4"/>
      <c r="G1361" s="5">
        <v>1102.2</v>
      </c>
      <c r="H1361" s="5">
        <v>5.24</v>
      </c>
      <c r="I1361" s="5">
        <v>-0.54</v>
      </c>
      <c r="J1361" s="6">
        <v>-0.62</v>
      </c>
      <c r="K1361" s="5">
        <v>129.98</v>
      </c>
      <c r="L1361" s="6">
        <v>0.5</v>
      </c>
      <c r="M1361" s="6">
        <v>-0.395</v>
      </c>
      <c r="N1361" s="6">
        <v>0.1</v>
      </c>
      <c r="O1361" s="6">
        <v>0.4</v>
      </c>
      <c r="P1361" s="6">
        <v>0.2</v>
      </c>
      <c r="Q1361" s="7"/>
      <c r="R1361" s="7"/>
    </row>
    <row r="1362" spans="1:18">
      <c r="A1362" s="4" t="s">
        <v>1831</v>
      </c>
      <c r="B1362" s="4">
        <f t="shared" si="21"/>
        <v>5</v>
      </c>
      <c r="C1362" s="4" t="s">
        <v>31</v>
      </c>
      <c r="D1362" s="1" t="str">
        <f>IFERROR(VLOOKUP(A1362,[1]biopep_DB!$F$2:$J$1654,5,0),)</f>
        <v/>
      </c>
      <c r="E1362" s="1" t="str">
        <f>IFERROR(VLOOKUP(A1362,[1]biopep_DB!$F$2:$L$1654,6,0),0)</f>
        <v/>
      </c>
      <c r="F1362" s="1" t="str">
        <f>IFERROR(VLOOKUP(A1362,[1]biopep_DB!$F$2:$L$1654,7,0),0)</f>
        <v/>
      </c>
      <c r="G1362" s="5">
        <v>568.62</v>
      </c>
      <c r="H1362" s="5">
        <v>8.49</v>
      </c>
      <c r="I1362" s="5">
        <v>0.55</v>
      </c>
      <c r="J1362" s="6">
        <v>-2.04</v>
      </c>
      <c r="K1362" s="5">
        <v>-22.16</v>
      </c>
      <c r="L1362" s="6">
        <v>0.2</v>
      </c>
      <c r="M1362" s="6">
        <v>0.734</v>
      </c>
      <c r="N1362" s="6">
        <v>0.2</v>
      </c>
      <c r="O1362" s="6">
        <v>0.4</v>
      </c>
      <c r="P1362" s="6">
        <v>0.2</v>
      </c>
      <c r="Q1362" s="7"/>
      <c r="R1362" s="7"/>
    </row>
    <row r="1363" spans="1:18">
      <c r="A1363" s="4" t="s">
        <v>1832</v>
      </c>
      <c r="B1363" s="4">
        <f t="shared" si="21"/>
        <v>8</v>
      </c>
      <c r="C1363" s="4" t="s">
        <v>25</v>
      </c>
      <c r="D1363" s="1" t="str">
        <f>IFERROR(VLOOKUP(A1363,[1]biopep_DB!$F$2:$J$1654,5,0),)</f>
        <v>Antihypertensive effect of the peptides derived from casein by an extracellular proteinase from Lactobacillus helveticus CP790.</v>
      </c>
      <c r="E1363" s="1" t="str">
        <f>IFERROR(VLOOKUP(A1363,[1]biopep_DB!$F$2:$L$1654,6,0),0)</f>
        <v>10.3168/jds.S0022-0302(94)77026-0</v>
      </c>
      <c r="F1363" s="1" t="str">
        <f>IFERROR(VLOOKUP(A1363,[1]biopep_DB!$F$2:$L$1654,7,0),0)</f>
        <v>8201050</v>
      </c>
      <c r="G1363" s="5">
        <v>868.03</v>
      </c>
      <c r="H1363" s="5">
        <v>5.94</v>
      </c>
      <c r="I1363" s="5">
        <v>-0.53</v>
      </c>
      <c r="J1363" s="6">
        <v>0.1</v>
      </c>
      <c r="K1363" s="5">
        <v>92.09</v>
      </c>
      <c r="L1363" s="6">
        <v>0.625</v>
      </c>
      <c r="M1363" s="6">
        <v>-1.1175</v>
      </c>
      <c r="N1363" s="6">
        <v>0.375</v>
      </c>
      <c r="O1363" s="6">
        <v>0.375</v>
      </c>
      <c r="P1363" s="6">
        <v>0.375</v>
      </c>
      <c r="Q1363" s="7"/>
      <c r="R1363" s="7"/>
    </row>
    <row r="1364" spans="1:18">
      <c r="A1364" s="4" t="s">
        <v>1833</v>
      </c>
      <c r="B1364" s="4">
        <f t="shared" si="21"/>
        <v>8</v>
      </c>
      <c r="C1364" s="4"/>
      <c r="D1364" s="1" t="str">
        <f>IFERROR(VLOOKUP(A1364,[1]biopep_DB!$F$2:$J$1654,5,0),)</f>
        <v>Identification of angiotensin-I-converting enzyme inhibitory peptides derived from sodium caseinate hydrolysates produced by Lactobacillus helveticus NCC 2765.</v>
      </c>
      <c r="E1364" s="1" t="str">
        <f>IFERROR(VLOOKUP(A1364,[1]biopep_DB!$F$2:$L$1654,6,0),0)</f>
        <v>10.1021/jf049510t</v>
      </c>
      <c r="F1364" s="1" t="str">
        <f>IFERROR(VLOOKUP(A1364,[1]biopep_DB!$F$2:$L$1654,7,0),0)</f>
        <v>15537298</v>
      </c>
      <c r="G1364" s="5">
        <v>867.04</v>
      </c>
      <c r="H1364" s="5">
        <v>8.47</v>
      </c>
      <c r="I1364" s="5">
        <v>0.46</v>
      </c>
      <c r="J1364" s="6">
        <v>0.1</v>
      </c>
      <c r="K1364" s="5">
        <v>94.44</v>
      </c>
      <c r="L1364" s="6">
        <v>0.625</v>
      </c>
      <c r="M1364" s="6">
        <v>-1.1525</v>
      </c>
      <c r="N1364" s="6">
        <v>0.25</v>
      </c>
      <c r="O1364" s="6">
        <v>0.375</v>
      </c>
      <c r="P1364" s="6">
        <v>0.375</v>
      </c>
      <c r="Q1364" s="7"/>
      <c r="R1364" s="7"/>
    </row>
    <row r="1365" spans="1:18">
      <c r="A1365" s="4" t="s">
        <v>1834</v>
      </c>
      <c r="B1365" s="4">
        <f t="shared" si="21"/>
        <v>9</v>
      </c>
      <c r="C1365" s="4"/>
      <c r="D1365" s="1" t="str">
        <f>IFERROR(VLOOKUP(A1365,[1]biopep_DB!$F$2:$J$1654,5,0),)</f>
        <v>Isolation and characterization of peptides with antihypertensive activity in foodstuffs.</v>
      </c>
      <c r="E1365" s="1" t="str">
        <f>IFERROR(VLOOKUP(A1365,[1]biopep_DB!$F$2:$L$1654,6,0),0)</f>
        <v>10.1080/10408398.2012.664829</v>
      </c>
      <c r="F1365" s="1" t="str">
        <f>IFERROR(VLOOKUP(A1365,[1]biopep_DB!$F$2:$L$1654,7,0),0)</f>
        <v>24915368</v>
      </c>
      <c r="G1365" s="5">
        <v>995.22</v>
      </c>
      <c r="H1365" s="5">
        <v>10</v>
      </c>
      <c r="I1365" s="5">
        <v>1.46</v>
      </c>
      <c r="J1365" s="6">
        <v>-0.3444</v>
      </c>
      <c r="K1365" s="5">
        <v>85.06</v>
      </c>
      <c r="L1365" s="6">
        <v>0.5556</v>
      </c>
      <c r="M1365" s="6">
        <v>-0.8489</v>
      </c>
      <c r="N1365" s="6">
        <v>0.3333</v>
      </c>
      <c r="O1365" s="6">
        <v>0.3333</v>
      </c>
      <c r="P1365" s="6">
        <v>0.3333</v>
      </c>
      <c r="Q1365" s="7"/>
      <c r="R1365" s="7"/>
    </row>
    <row r="1366" spans="1:18">
      <c r="A1366" s="4" t="s">
        <v>1835</v>
      </c>
      <c r="B1366" s="4">
        <f t="shared" si="21"/>
        <v>5</v>
      </c>
      <c r="C1366" s="4" t="s">
        <v>1836</v>
      </c>
      <c r="D1366" s="1" t="str">
        <f>IFERROR(VLOOKUP(A1366,[1]biopep_DB!$F$2:$J$1654,5,0),)</f>
        <v>Effects of angiotensin I-converting enzyme inhibitory substances derived from Indonesian dried-salted fish on blood pressure of rats.</v>
      </c>
      <c r="E1366" s="1" t="str">
        <f>IFERROR(VLOOKUP(A1366,[1]biopep_DB!$F$2:$L$1654,6,0),0)</f>
        <v>10.1271/bbb.59.425</v>
      </c>
      <c r="F1366" s="1" t="str">
        <f>IFERROR(VLOOKUP(A1366,[1]biopep_DB!$F$2:$L$1654,7,0),0)</f>
        <v>7766180</v>
      </c>
      <c r="G1366" s="5">
        <v>526.63</v>
      </c>
      <c r="H1366" s="5">
        <v>8.47</v>
      </c>
      <c r="I1366" s="5">
        <v>0.46</v>
      </c>
      <c r="J1366" s="6">
        <v>-0.74</v>
      </c>
      <c r="K1366" s="5">
        <v>68.06</v>
      </c>
      <c r="L1366" s="6">
        <v>0.6</v>
      </c>
      <c r="M1366" s="6">
        <v>-0.324</v>
      </c>
      <c r="N1366" s="6">
        <v>0.2</v>
      </c>
      <c r="O1366" s="6">
        <v>0.6</v>
      </c>
      <c r="P1366" s="6">
        <v>0.2</v>
      </c>
      <c r="Q1366" s="7"/>
      <c r="R1366" s="7"/>
    </row>
    <row r="1367" spans="1:18">
      <c r="A1367" s="4" t="s">
        <v>1837</v>
      </c>
      <c r="B1367" s="4">
        <f t="shared" si="21"/>
        <v>5</v>
      </c>
      <c r="C1367" s="4" t="s">
        <v>902</v>
      </c>
      <c r="D1367" s="1" t="str">
        <f>IFERROR(VLOOKUP(A1367,[1]biopep_DB!$F$2:$J$1654,5,0),)</f>
        <v>Technological options for the production of health-promoting proteins and peptides derived from milk and colostrum.; Antihypertensive peptides: production, bioavailability and incorporation into foods.; A new QSAR model, for angiotensin I-converting enzyme inhibitory oligopeptides.; The impact of milk proteins and peptides on blood pressure and vascular function: a review of evidence from human intervention studies.</v>
      </c>
      <c r="E1367" s="1" t="str">
        <f>IFERROR(VLOOKUP(A1367,[1]biopep_DB!$F$2:$L$1654,6,0),0)</f>
        <v>10.2174/138161207780363112; 10.1016/j.cis.2010.11.001; 10.1016/j.foodchem.2012.09.092; 10.1017/S0954422413000139</v>
      </c>
      <c r="F1367" s="1" t="str">
        <f>IFERROR(VLOOKUP(A1367,[1]biopep_DB!$F$2:$L$1654,7,0),0)</f>
        <v>17430184 21185549 23194537 24135454</v>
      </c>
      <c r="G1367" s="5">
        <v>592.68</v>
      </c>
      <c r="H1367" s="5">
        <v>8.31</v>
      </c>
      <c r="I1367" s="5">
        <v>0.46</v>
      </c>
      <c r="J1367" s="6">
        <v>-0.68</v>
      </c>
      <c r="K1367" s="5">
        <v>0.62</v>
      </c>
      <c r="L1367" s="6">
        <v>0.4</v>
      </c>
      <c r="M1367" s="6">
        <v>-0.296</v>
      </c>
      <c r="N1367" s="6">
        <v>0.2</v>
      </c>
      <c r="O1367" s="6">
        <v>0.4</v>
      </c>
      <c r="P1367" s="6">
        <v>0.4</v>
      </c>
      <c r="Q1367" s="7"/>
      <c r="R1367" s="7"/>
    </row>
    <row r="1368" spans="1:18">
      <c r="A1368" s="4" t="s">
        <v>1838</v>
      </c>
      <c r="B1368" s="4">
        <f t="shared" si="21"/>
        <v>10</v>
      </c>
      <c r="C1368" s="4" t="s">
        <v>1839</v>
      </c>
      <c r="D1368" s="1" t="str">
        <f>IFERROR(VLOOKUP(A1368,[1]biopep_DB!$F$2:$J$1654,5,0),)</f>
        <v>Technological options for the production of health-promoting proteins and peptides derived from milk and colostrum.</v>
      </c>
      <c r="E1368" s="1" t="str">
        <f>IFERROR(VLOOKUP(A1368,[1]biopep_DB!$F$2:$L$1654,6,0),0)</f>
        <v>10.2174/138161207780363112</v>
      </c>
      <c r="F1368" s="1" t="str">
        <f>IFERROR(VLOOKUP(A1368,[1]biopep_DB!$F$2:$L$1654,7,0),0)</f>
        <v>17430184</v>
      </c>
      <c r="G1368" s="5">
        <v>1104.3</v>
      </c>
      <c r="H1368" s="5">
        <v>8.31</v>
      </c>
      <c r="I1368" s="5">
        <v>0.46</v>
      </c>
      <c r="J1368" s="6">
        <v>0.03</v>
      </c>
      <c r="K1368" s="5">
        <v>43.83</v>
      </c>
      <c r="L1368" s="6">
        <v>0.6</v>
      </c>
      <c r="M1368" s="6">
        <v>-1.032</v>
      </c>
      <c r="N1368" s="6">
        <v>0.1</v>
      </c>
      <c r="O1368" s="6">
        <v>0.5</v>
      </c>
      <c r="P1368" s="6">
        <v>0.4</v>
      </c>
      <c r="Q1368" s="7"/>
      <c r="R1368" s="7"/>
    </row>
    <row r="1369" spans="1:18">
      <c r="A1369" s="4" t="s">
        <v>1840</v>
      </c>
      <c r="B1369" s="4">
        <f t="shared" si="21"/>
        <v>2</v>
      </c>
      <c r="C1369" s="4"/>
      <c r="D1369" s="1" t="str">
        <f>IFERROR(VLOOKUP(A1369,[1]biopep_DB!$F$2:$J$1654,5,0),)</f>
        <v>Three-dimensional holograph vector of atomic interaction field (3D-HoVAIF): a novel rotation-translation invariant 3D structure descriptor and its applications to peptides.</v>
      </c>
      <c r="E1369" s="1" t="str">
        <f>IFERROR(VLOOKUP(A1369,[1]biopep_DB!$F$2:$L$1654,6,0),0)</f>
        <v>10.1002/psc.892</v>
      </c>
      <c r="F1369" s="1" t="str">
        <f>IFERROR(VLOOKUP(A1369,[1]biopep_DB!$F$2:$L$1654,7,0),0)</f>
        <v>17654623</v>
      </c>
      <c r="G1369" s="5">
        <v>218.25</v>
      </c>
      <c r="H1369" s="5">
        <v>5.24</v>
      </c>
      <c r="I1369" s="5">
        <v>-0.54</v>
      </c>
      <c r="J1369" s="6">
        <v>1.5</v>
      </c>
      <c r="K1369" s="5">
        <v>5</v>
      </c>
      <c r="L1369" s="6">
        <v>0.5</v>
      </c>
      <c r="M1369" s="6">
        <v>-2.04</v>
      </c>
      <c r="N1369" s="6">
        <v>0.5</v>
      </c>
      <c r="O1369" s="6">
        <v>0.5</v>
      </c>
      <c r="P1369" s="6">
        <v>0.5</v>
      </c>
      <c r="Q1369" s="7"/>
      <c r="R1369" s="7"/>
    </row>
    <row r="1370" spans="1:18">
      <c r="A1370" s="4" t="s">
        <v>1841</v>
      </c>
      <c r="B1370" s="4">
        <f t="shared" si="21"/>
        <v>4</v>
      </c>
      <c r="C1370" s="4" t="s">
        <v>1842</v>
      </c>
      <c r="D1370" s="1" t="str">
        <f>IFERROR(VLOOKUP(A1370,[1]biopep_DB!$F$2:$J$1654,5,0),)</f>
        <v>Identification and characterization of novel angiotensin-converting enzyme inhibitors obtained from goat milk.; What are the ideal properties for functional food peptides with antihypertensive effect? A computational peptidology approach.; Isolation and characterization of peptides with antihypertensive activity in foodstuffs.</v>
      </c>
      <c r="E1370" s="1" t="str">
        <f>IFERROR(VLOOKUP(A1370,[1]biopep_DB!$F$2:$L$1654,6,0),0)</f>
        <v>10.3168/jds.S0022-0302(06)72369-4; 10.1016/j.foodchem.2013.05.140; 10.1080/10408398.2012.664829</v>
      </c>
      <c r="F1370" s="1" t="str">
        <f>IFERROR(VLOOKUP(A1370,[1]biopep_DB!$F$2:$L$1654,7,0),0)</f>
        <v>16899665 23871047 24915368</v>
      </c>
      <c r="G1370" s="5">
        <v>443.49</v>
      </c>
      <c r="H1370" s="5">
        <v>5.24</v>
      </c>
      <c r="I1370" s="5">
        <v>-0.54</v>
      </c>
      <c r="J1370" s="6">
        <v>-0.525</v>
      </c>
      <c r="K1370" s="5">
        <v>103.8</v>
      </c>
      <c r="L1370" s="6">
        <v>0.5</v>
      </c>
      <c r="M1370" s="6">
        <v>-0.68</v>
      </c>
      <c r="N1370" s="6">
        <v>0.25</v>
      </c>
      <c r="O1370" s="6">
        <v>0.5</v>
      </c>
      <c r="P1370" s="6">
        <v>0.25</v>
      </c>
      <c r="Q1370" s="7"/>
      <c r="R1370" s="7"/>
    </row>
    <row r="1371" spans="1:18">
      <c r="A1371" s="4" t="s">
        <v>1843</v>
      </c>
      <c r="B1371" s="4">
        <f t="shared" si="21"/>
        <v>8</v>
      </c>
      <c r="C1371" s="4" t="s">
        <v>1036</v>
      </c>
      <c r="D1371" s="1" t="str">
        <f>IFERROR(VLOOKUP(A1371,[1]biopep_DB!$F$2:$J$1654,5,0),)</f>
        <v>A new QSAR model, for angiotensin I-converting enzyme inhibitory oligopeptides.</v>
      </c>
      <c r="E1371" s="1" t="str">
        <f>IFERROR(VLOOKUP(A1371,[1]biopep_DB!$F$2:$L$1654,6,0),0)</f>
        <v>10.1016/j.foodchem.2012.09.092</v>
      </c>
      <c r="F1371" s="1" t="str">
        <f>IFERROR(VLOOKUP(A1371,[1]biopep_DB!$F$2:$L$1654,7,0),0)</f>
        <v>23194537</v>
      </c>
      <c r="G1371" s="5">
        <v>853.01</v>
      </c>
      <c r="H1371" s="5">
        <v>4.6</v>
      </c>
      <c r="I1371" s="5">
        <v>-1.53</v>
      </c>
      <c r="J1371" s="6">
        <v>1.0625</v>
      </c>
      <c r="K1371" s="5">
        <v>102.7</v>
      </c>
      <c r="L1371" s="6">
        <v>0.75</v>
      </c>
      <c r="M1371" s="6">
        <v>-1.93</v>
      </c>
      <c r="N1371" s="6">
        <v>0.375</v>
      </c>
      <c r="O1371" s="6">
        <v>0.375</v>
      </c>
      <c r="P1371" s="6">
        <v>0.5</v>
      </c>
      <c r="Q1371" s="7"/>
      <c r="R1371" s="7"/>
    </row>
    <row r="1372" spans="1:18">
      <c r="A1372" s="4" t="s">
        <v>1844</v>
      </c>
      <c r="B1372" s="4">
        <f t="shared" si="21"/>
        <v>5</v>
      </c>
      <c r="C1372" s="4" t="s">
        <v>1845</v>
      </c>
      <c r="D1372" s="1" t="str">
        <f>IFERROR(VLOOKUP(A1372,[1]biopep_DB!$F$2:$J$1654,5,0),)</f>
        <v>Inhibition of angiotensin-converting enzyme by synthetic peptide fragments of various beta-caseins.; Evaluation of the allergenicity of goat milk, cow milk, and their lactosera in a guinea pig model.; A new QSAR model, for angiotensin I-converting enzyme inhibitory oligopeptides.</v>
      </c>
      <c r="E1372" s="1" t="str">
        <f>IFERROR(VLOOKUP(A1372,[1]biopep_DB!$F$2:$L$1654,6,0),0)</f>
        <v>10.3168/jds.2008-1125; 10.1016/j.foodchem.2012.09.092</v>
      </c>
      <c r="F1372" s="1" t="str">
        <f>IFERROR(VLOOKUP(A1372,[1]biopep_DB!$F$2:$L$1654,7,0),0)</f>
        <v>1368548 19233776 23194537</v>
      </c>
      <c r="G1372" s="5">
        <v>577.67</v>
      </c>
      <c r="H1372" s="5">
        <v>5.24</v>
      </c>
      <c r="I1372" s="5">
        <v>-0.54</v>
      </c>
      <c r="J1372" s="6">
        <v>0.86</v>
      </c>
      <c r="K1372" s="5">
        <v>17.6</v>
      </c>
      <c r="L1372" s="6">
        <v>0.6</v>
      </c>
      <c r="M1372" s="6">
        <v>-1.596</v>
      </c>
      <c r="N1372" s="6">
        <v>0.2</v>
      </c>
      <c r="O1372" s="6">
        <v>0.4</v>
      </c>
      <c r="P1372" s="6">
        <v>0.6</v>
      </c>
      <c r="Q1372" s="7"/>
      <c r="R1372" s="7"/>
    </row>
    <row r="1373" spans="1:18">
      <c r="A1373" s="4" t="s">
        <v>1846</v>
      </c>
      <c r="B1373" s="4">
        <f t="shared" si="21"/>
        <v>4</v>
      </c>
      <c r="C1373" s="4" t="s">
        <v>1847</v>
      </c>
      <c r="D1373" s="1" t="str">
        <f>IFERROR(VLOOKUP(A1373,[1]biopep_DB!$F$2:$J$1654,5,0),)</f>
        <v/>
      </c>
      <c r="E1373" s="1" t="str">
        <f>IFERROR(VLOOKUP(A1373,[1]biopep_DB!$F$2:$L$1654,6,0),0)</f>
        <v/>
      </c>
      <c r="F1373" s="1" t="str">
        <f>IFERROR(VLOOKUP(A1373,[1]biopep_DB!$F$2:$L$1654,7,0),0)</f>
        <v/>
      </c>
      <c r="G1373" s="5">
        <v>429.47</v>
      </c>
      <c r="H1373" s="5">
        <v>5.24</v>
      </c>
      <c r="I1373" s="5">
        <v>-0.54</v>
      </c>
      <c r="J1373" s="6">
        <v>-0.35</v>
      </c>
      <c r="K1373" s="5">
        <v>110.15</v>
      </c>
      <c r="L1373" s="6">
        <v>0.5</v>
      </c>
      <c r="M1373" s="6">
        <v>-0.615</v>
      </c>
      <c r="N1373" s="6">
        <v>0</v>
      </c>
      <c r="O1373" s="6">
        <v>0.75</v>
      </c>
      <c r="P1373" s="6">
        <v>0.25</v>
      </c>
      <c r="Q1373" s="7"/>
      <c r="R1373" s="7"/>
    </row>
    <row r="1374" spans="1:18">
      <c r="A1374" s="4" t="s">
        <v>1848</v>
      </c>
      <c r="B1374" s="4">
        <f t="shared" si="21"/>
        <v>3</v>
      </c>
      <c r="C1374" s="4"/>
      <c r="D1374" s="1" t="str">
        <f>IFERROR(VLOOKUP(A1374,[1]biopep_DB!$F$2:$J$1654,5,0),)</f>
        <v/>
      </c>
      <c r="E1374" s="1" t="str">
        <f>IFERROR(VLOOKUP(A1374,[1]biopep_DB!$F$2:$L$1654,6,0),0)</f>
        <v/>
      </c>
      <c r="F1374" s="1" t="str">
        <f>IFERROR(VLOOKUP(A1374,[1]biopep_DB!$F$2:$L$1654,7,0),0)</f>
        <v/>
      </c>
      <c r="G1374" s="5">
        <v>299.32</v>
      </c>
      <c r="H1374" s="5">
        <v>5.24</v>
      </c>
      <c r="I1374" s="5">
        <v>-0.54</v>
      </c>
      <c r="J1374" s="6">
        <v>-1.3333</v>
      </c>
      <c r="K1374" s="5">
        <v>217.33</v>
      </c>
      <c r="L1374" s="6">
        <v>0.6667</v>
      </c>
      <c r="M1374" s="6">
        <v>0.28</v>
      </c>
      <c r="N1374" s="6">
        <v>0</v>
      </c>
      <c r="O1374" s="6">
        <v>1</v>
      </c>
      <c r="P1374" s="6">
        <v>0</v>
      </c>
      <c r="Q1374" s="7"/>
      <c r="R1374" s="7"/>
    </row>
    <row r="1375" spans="1:18">
      <c r="A1375" s="4" t="s">
        <v>1849</v>
      </c>
      <c r="B1375" s="4">
        <f t="shared" si="21"/>
        <v>6</v>
      </c>
      <c r="C1375" s="4"/>
      <c r="D1375" s="1" t="str">
        <f>IFERROR(VLOOKUP(A1375,[1]biopep_DB!$F$2:$J$1654,5,0),)</f>
        <v/>
      </c>
      <c r="E1375" s="1" t="str">
        <f>IFERROR(VLOOKUP(A1375,[1]biopep_DB!$F$2:$L$1654,6,0),0)</f>
        <v/>
      </c>
      <c r="F1375" s="1" t="str">
        <f>IFERROR(VLOOKUP(A1375,[1]biopep_DB!$F$2:$L$1654,7,0),0)</f>
        <v/>
      </c>
      <c r="G1375" s="5">
        <v>655.7</v>
      </c>
      <c r="H1375" s="5">
        <v>4.05</v>
      </c>
      <c r="I1375" s="5">
        <v>-1.54</v>
      </c>
      <c r="J1375" s="6">
        <v>-1.0833</v>
      </c>
      <c r="K1375" s="5">
        <v>174.73</v>
      </c>
      <c r="L1375" s="6">
        <v>0.5</v>
      </c>
      <c r="M1375" s="6">
        <v>-0.1367</v>
      </c>
      <c r="N1375" s="6">
        <v>0.1667</v>
      </c>
      <c r="O1375" s="6">
        <v>0.6667</v>
      </c>
      <c r="P1375" s="6">
        <v>0.1667</v>
      </c>
      <c r="Q1375" s="7"/>
      <c r="R1375" s="7"/>
    </row>
    <row r="1376" spans="1:18">
      <c r="A1376" s="4" t="s">
        <v>1850</v>
      </c>
      <c r="B1376" s="4">
        <f t="shared" si="21"/>
        <v>7</v>
      </c>
      <c r="C1376" s="4" t="s">
        <v>1851</v>
      </c>
      <c r="D1376" s="1" t="str">
        <f>IFERROR(VLOOKUP(A1376,[1]biopep_DB!$F$2:$J$1654,5,0),)</f>
        <v>A new QSAR model, for angiotensin I-converting enzyme inhibitory oligopeptides.</v>
      </c>
      <c r="E1376" s="1" t="str">
        <f>IFERROR(VLOOKUP(A1376,[1]biopep_DB!$F$2:$L$1654,6,0),0)</f>
        <v>10.1016/j.foodchem.2012.09.092</v>
      </c>
      <c r="F1376" s="1" t="str">
        <f>IFERROR(VLOOKUP(A1376,[1]biopep_DB!$F$2:$L$1654,7,0),0)</f>
        <v>23194537</v>
      </c>
      <c r="G1376" s="5">
        <v>819.94</v>
      </c>
      <c r="H1376" s="5">
        <v>5.24</v>
      </c>
      <c r="I1376" s="5">
        <v>-0.54</v>
      </c>
      <c r="J1376" s="6">
        <v>-0.0429</v>
      </c>
      <c r="K1376" s="5">
        <v>200.46</v>
      </c>
      <c r="L1376" s="6">
        <v>0.7143</v>
      </c>
      <c r="M1376" s="6">
        <v>-0.9886</v>
      </c>
      <c r="N1376" s="6">
        <v>0.1429</v>
      </c>
      <c r="O1376" s="6">
        <v>0.5714</v>
      </c>
      <c r="P1376" s="6">
        <v>0.4286</v>
      </c>
      <c r="Q1376" s="7"/>
      <c r="R1376" s="7"/>
    </row>
    <row r="1377" spans="1:18">
      <c r="A1377" s="4" t="s">
        <v>1852</v>
      </c>
      <c r="B1377" s="4">
        <f t="shared" si="21"/>
        <v>4</v>
      </c>
      <c r="C1377" s="4" t="s">
        <v>1853</v>
      </c>
      <c r="D1377" s="1" t="str">
        <f>IFERROR(VLOOKUP(A1377,[1]biopep_DB!$F$2:$J$1654,5,0),)</f>
        <v>What are the ideal properties for functional food peptides with antihypertensive effect? A computational peptidology approach.</v>
      </c>
      <c r="E1377" s="1" t="str">
        <f>IFERROR(VLOOKUP(A1377,[1]biopep_DB!$F$2:$L$1654,6,0),0)</f>
        <v>10.1016/j.foodchem.2013.05.140</v>
      </c>
      <c r="F1377" s="1" t="str">
        <f>IFERROR(VLOOKUP(A1377,[1]biopep_DB!$F$2:$L$1654,7,0),0)</f>
        <v>23871047</v>
      </c>
      <c r="G1377" s="5">
        <v>462.5</v>
      </c>
      <c r="H1377" s="5">
        <v>5.24</v>
      </c>
      <c r="I1377" s="5">
        <v>-0.54</v>
      </c>
      <c r="J1377" s="6">
        <v>-1.325</v>
      </c>
      <c r="K1377" s="5">
        <v>148.2</v>
      </c>
      <c r="L1377" s="6">
        <v>0.5</v>
      </c>
      <c r="M1377" s="6">
        <v>0.245</v>
      </c>
      <c r="N1377" s="6">
        <v>0</v>
      </c>
      <c r="O1377" s="6">
        <v>0.75</v>
      </c>
      <c r="P1377" s="6">
        <v>0.25</v>
      </c>
      <c r="Q1377" s="7"/>
      <c r="R1377" s="7"/>
    </row>
    <row r="1378" spans="1:18">
      <c r="A1378" s="4" t="s">
        <v>1854</v>
      </c>
      <c r="B1378" s="4">
        <f t="shared" si="21"/>
        <v>4</v>
      </c>
      <c r="C1378" s="4" t="s">
        <v>1855</v>
      </c>
      <c r="D1378" s="1" t="str">
        <f>IFERROR(VLOOKUP(A1378,[1]biopep_DB!$F$2:$J$1654,5,0),)</f>
        <v>Identification and characterization of novel angiotensin-converting enzyme inhibitors obtained from goat milk.; What are the ideal properties for functional food peptides with antihypertensive effect? A computational peptidology approach.; Isolation and characterization of peptides with antihypertensive activity in foodstuffs.</v>
      </c>
      <c r="E1378" s="1" t="str">
        <f>IFERROR(VLOOKUP(A1378,[1]biopep_DB!$F$2:$L$1654,6,0),0)</f>
        <v>10.3168/jds.S0022-0302(06)72369-4; 10.1016/j.foodchem.2013.05.140; 10.1080/10408398.2012.664829</v>
      </c>
      <c r="F1378" s="1" t="str">
        <f>IFERROR(VLOOKUP(A1378,[1]biopep_DB!$F$2:$L$1654,7,0),0)</f>
        <v>16899665 23871047 24915368</v>
      </c>
      <c r="G1378" s="5">
        <v>458.51</v>
      </c>
      <c r="H1378" s="5">
        <v>8.47</v>
      </c>
      <c r="I1378" s="5">
        <v>0.46</v>
      </c>
      <c r="J1378" s="6">
        <v>-2.45</v>
      </c>
      <c r="K1378" s="5">
        <v>103.8</v>
      </c>
      <c r="L1378" s="6">
        <v>0.25</v>
      </c>
      <c r="M1378" s="6">
        <v>0.945</v>
      </c>
      <c r="N1378" s="6">
        <v>0.25</v>
      </c>
      <c r="O1378" s="6">
        <v>0.5</v>
      </c>
      <c r="P1378" s="6">
        <v>0</v>
      </c>
      <c r="Q1378" s="7"/>
      <c r="R1378" s="7"/>
    </row>
    <row r="1379" spans="1:18">
      <c r="A1379" s="4" t="s">
        <v>1856</v>
      </c>
      <c r="B1379" s="4">
        <f t="shared" si="21"/>
        <v>10</v>
      </c>
      <c r="C1379" s="4" t="s">
        <v>1857</v>
      </c>
      <c r="D1379" s="1" t="str">
        <f>IFERROR(VLOOKUP(A1379,[1]biopep_DB!$F$2:$J$1654,5,0),)</f>
        <v>Casein fermentate of Lactobacillus animalis DPC6134 contains a range of novel propeptide angiotensin-converting enzyme inhibitors.</v>
      </c>
      <c r="E1379" s="1" t="str">
        <f>IFERROR(VLOOKUP(A1379,[1]biopep_DB!$F$2:$L$1654,6,0),0)</f>
        <v>10.1128/AEM.00096-07</v>
      </c>
      <c r="F1379" s="1" t="str">
        <f>IFERROR(VLOOKUP(A1379,[1]biopep_DB!$F$2:$L$1654,7,0),0)</f>
        <v>17483275</v>
      </c>
      <c r="G1379" s="5">
        <v>1082.25</v>
      </c>
      <c r="H1379" s="5">
        <v>8.47</v>
      </c>
      <c r="I1379" s="5">
        <v>0.46</v>
      </c>
      <c r="J1379" s="6">
        <v>-0.35</v>
      </c>
      <c r="K1379" s="5">
        <v>140.75</v>
      </c>
      <c r="L1379" s="6">
        <v>0.5</v>
      </c>
      <c r="M1379" s="6">
        <v>-0.702</v>
      </c>
      <c r="N1379" s="6">
        <v>0.2</v>
      </c>
      <c r="O1379" s="6">
        <v>0.4</v>
      </c>
      <c r="P1379" s="6">
        <v>0.3</v>
      </c>
      <c r="Q1379" s="7"/>
      <c r="R1379" s="7"/>
    </row>
    <row r="1380" spans="1:18">
      <c r="A1380" s="4" t="s">
        <v>1858</v>
      </c>
      <c r="B1380" s="4">
        <f t="shared" si="21"/>
        <v>5</v>
      </c>
      <c r="C1380" s="4" t="s">
        <v>31</v>
      </c>
      <c r="D1380" s="1" t="str">
        <f>IFERROR(VLOOKUP(A1380,[1]biopep_DB!$F$2:$J$1654,5,0),)</f>
        <v/>
      </c>
      <c r="E1380" s="1" t="str">
        <f>IFERROR(VLOOKUP(A1380,[1]biopep_DB!$F$2:$L$1654,6,0),0)</f>
        <v/>
      </c>
      <c r="F1380" s="1" t="str">
        <f>IFERROR(VLOOKUP(A1380,[1]biopep_DB!$F$2:$L$1654,7,0),0)</f>
        <v/>
      </c>
      <c r="G1380" s="5">
        <v>574.63</v>
      </c>
      <c r="H1380" s="5">
        <v>11</v>
      </c>
      <c r="I1380" s="5">
        <v>1.46</v>
      </c>
      <c r="J1380" s="6">
        <v>-2.62</v>
      </c>
      <c r="K1380" s="5">
        <v>59.84</v>
      </c>
      <c r="L1380" s="6">
        <v>0</v>
      </c>
      <c r="M1380" s="6">
        <v>1.112</v>
      </c>
      <c r="N1380" s="6">
        <v>0.2</v>
      </c>
      <c r="O1380" s="6">
        <v>0.4</v>
      </c>
      <c r="P1380" s="6">
        <v>0</v>
      </c>
      <c r="Q1380" s="7"/>
      <c r="R1380" s="7"/>
    </row>
    <row r="1381" spans="1:18">
      <c r="A1381" s="4" t="s">
        <v>1859</v>
      </c>
      <c r="B1381" s="4">
        <f t="shared" si="21"/>
        <v>3</v>
      </c>
      <c r="C1381" s="4" t="s">
        <v>31</v>
      </c>
      <c r="D1381" s="1" t="str">
        <f>IFERROR(VLOOKUP(A1381,[1]biopep_DB!$F$2:$J$1654,5,0),)</f>
        <v/>
      </c>
      <c r="E1381" s="1" t="str">
        <f>IFERROR(VLOOKUP(A1381,[1]biopep_DB!$F$2:$L$1654,6,0),0)</f>
        <v/>
      </c>
      <c r="F1381" s="1" t="str">
        <f>IFERROR(VLOOKUP(A1381,[1]biopep_DB!$F$2:$L$1654,7,0),0)</f>
        <v/>
      </c>
      <c r="G1381" s="5">
        <v>424.45</v>
      </c>
      <c r="H1381" s="5">
        <v>8.46</v>
      </c>
      <c r="I1381" s="5">
        <v>0.46</v>
      </c>
      <c r="J1381" s="6">
        <v>-2.2</v>
      </c>
      <c r="K1381" s="5">
        <v>45.73</v>
      </c>
      <c r="L1381" s="6">
        <v>0</v>
      </c>
      <c r="M1381" s="6">
        <v>1.2333</v>
      </c>
      <c r="N1381" s="6">
        <v>0</v>
      </c>
      <c r="O1381" s="6">
        <v>0.3333</v>
      </c>
      <c r="P1381" s="6">
        <v>0.3333</v>
      </c>
      <c r="Q1381" s="7"/>
      <c r="R1381" s="7"/>
    </row>
    <row r="1382" spans="1:18">
      <c r="A1382" s="4" t="s">
        <v>1860</v>
      </c>
      <c r="B1382" s="4">
        <f t="shared" si="21"/>
        <v>11</v>
      </c>
      <c r="C1382" s="4" t="s">
        <v>559</v>
      </c>
      <c r="D1382" s="1" t="str">
        <f>IFERROR(VLOOKUP(A1382,[1]biopep_DB!$F$2:$J$1654,5,0),)</f>
        <v>A new QSAR model, for angiotensin I-converting enzyme inhibitory oligopeptides.</v>
      </c>
      <c r="E1382" s="1" t="str">
        <f>IFERROR(VLOOKUP(A1382,[1]biopep_DB!$F$2:$L$1654,6,0),0)</f>
        <v>10.1016/j.foodchem.2012.09.092</v>
      </c>
      <c r="F1382" s="1" t="str">
        <f>IFERROR(VLOOKUP(A1382,[1]biopep_DB!$F$2:$L$1654,7,0),0)</f>
        <v>23194537</v>
      </c>
      <c r="G1382" s="5">
        <v>1193.26</v>
      </c>
      <c r="H1382" s="5">
        <v>5.24</v>
      </c>
      <c r="I1382" s="5">
        <v>-0.54</v>
      </c>
      <c r="J1382" s="6">
        <v>-0.5545</v>
      </c>
      <c r="K1382" s="5">
        <v>119.07</v>
      </c>
      <c r="L1382" s="6">
        <v>0.3636</v>
      </c>
      <c r="M1382" s="6">
        <v>-0.2591</v>
      </c>
      <c r="N1382" s="6">
        <v>0.0909</v>
      </c>
      <c r="O1382" s="6">
        <v>0.3636</v>
      </c>
      <c r="P1382" s="6">
        <v>0.2727</v>
      </c>
      <c r="Q1382" s="7"/>
      <c r="R1382" s="7"/>
    </row>
    <row r="1383" spans="1:18">
      <c r="A1383" s="4" t="s">
        <v>1861</v>
      </c>
      <c r="B1383" s="4">
        <f t="shared" si="21"/>
        <v>2</v>
      </c>
      <c r="C1383" s="4" t="s">
        <v>1862</v>
      </c>
      <c r="D1383" s="1" t="str">
        <f>IFERROR(VLOOKUP(A1383,[1]biopep_DB!$F$2:$J$1654,5,0),)</f>
        <v>Review on the angiotensin-I-converting enzyme (ACE) inhibitor peptides from marine proteins.; Isolation and characterization of peptides with antihypertensive activity in foodstuffs.</v>
      </c>
      <c r="E1383" s="1" t="str">
        <f>IFERROR(VLOOKUP(A1383,[1]biopep_DB!$F$2:$L$1654,6,0),0)</f>
        <v>10.1007/s12010-012-0024-y; 10.1080/10408398.2012.664829</v>
      </c>
      <c r="F1383" s="1" t="str">
        <f>IFERROR(VLOOKUP(A1383,[1]biopep_DB!$F$2:$L$1654,7,0),0)</f>
        <v>23271625 24915368</v>
      </c>
      <c r="G1383" s="5">
        <v>206.2</v>
      </c>
      <c r="H1383" s="5">
        <v>5.24</v>
      </c>
      <c r="I1383" s="5">
        <v>-0.54</v>
      </c>
      <c r="J1383" s="6">
        <v>-0.75</v>
      </c>
      <c r="K1383" s="5">
        <v>5</v>
      </c>
      <c r="L1383" s="6">
        <v>0</v>
      </c>
      <c r="M1383" s="6">
        <v>0.55</v>
      </c>
      <c r="N1383" s="6">
        <v>0</v>
      </c>
      <c r="O1383" s="6">
        <v>0.5</v>
      </c>
      <c r="P1383" s="6">
        <v>0.5</v>
      </c>
      <c r="Q1383" s="7"/>
      <c r="R1383" s="7"/>
    </row>
    <row r="1384" spans="1:18">
      <c r="A1384" s="4" t="s">
        <v>1863</v>
      </c>
      <c r="B1384" s="4">
        <f t="shared" si="21"/>
        <v>5</v>
      </c>
      <c r="C1384" s="4" t="s">
        <v>1864</v>
      </c>
      <c r="D1384" s="1" t="str">
        <f>IFERROR(VLOOKUP(A1384,[1]biopep_DB!$F$2:$J$1654,5,0),)</f>
        <v/>
      </c>
      <c r="E1384" s="1" t="str">
        <f>IFERROR(VLOOKUP(A1384,[1]biopep_DB!$F$2:$L$1654,6,0),0)</f>
        <v/>
      </c>
      <c r="F1384" s="1" t="str">
        <f>IFERROR(VLOOKUP(A1384,[1]biopep_DB!$F$2:$L$1654,7,0),0)</f>
        <v/>
      </c>
      <c r="G1384" s="5">
        <v>598.6</v>
      </c>
      <c r="H1384" s="5">
        <v>5.24</v>
      </c>
      <c r="I1384" s="5">
        <v>-0.54</v>
      </c>
      <c r="J1384" s="6">
        <v>-1.4</v>
      </c>
      <c r="K1384" s="5">
        <v>8</v>
      </c>
      <c r="L1384" s="6">
        <v>0</v>
      </c>
      <c r="M1384" s="6">
        <v>0.572</v>
      </c>
      <c r="N1384" s="6">
        <v>0</v>
      </c>
      <c r="O1384" s="6">
        <v>0.2</v>
      </c>
      <c r="P1384" s="6">
        <v>0.6</v>
      </c>
      <c r="Q1384" s="7"/>
      <c r="R1384" s="7"/>
    </row>
    <row r="1385" spans="1:18">
      <c r="A1385" s="4" t="s">
        <v>1865</v>
      </c>
      <c r="B1385" s="4">
        <f t="shared" si="21"/>
        <v>5</v>
      </c>
      <c r="C1385" s="4" t="s">
        <v>1866</v>
      </c>
      <c r="D1385" s="1" t="str">
        <f>IFERROR(VLOOKUP(A1385,[1]biopep_DB!$F$2:$J$1654,5,0),)</f>
        <v>A new QSAR model, for angiotensin I-converting enzyme inhibitory oligopeptides.</v>
      </c>
      <c r="E1385" s="1" t="str">
        <f>IFERROR(VLOOKUP(A1385,[1]biopep_DB!$F$2:$L$1654,6,0),0)</f>
        <v>10.1016/j.foodchem.2012.09.092</v>
      </c>
      <c r="F1385" s="1" t="str">
        <f>IFERROR(VLOOKUP(A1385,[1]biopep_DB!$F$2:$L$1654,7,0),0)</f>
        <v>23194537</v>
      </c>
      <c r="G1385" s="5">
        <v>516.63</v>
      </c>
      <c r="H1385" s="5">
        <v>8.47</v>
      </c>
      <c r="I1385" s="5">
        <v>0.46</v>
      </c>
      <c r="J1385" s="6">
        <v>1.02</v>
      </c>
      <c r="K1385" s="5">
        <v>-8.98</v>
      </c>
      <c r="L1385" s="6">
        <v>0.6</v>
      </c>
      <c r="M1385" s="6">
        <v>-1.67</v>
      </c>
      <c r="N1385" s="6">
        <v>0.6</v>
      </c>
      <c r="O1385" s="6">
        <v>0.2</v>
      </c>
      <c r="P1385" s="6">
        <v>0.4</v>
      </c>
      <c r="Q1385" s="7"/>
      <c r="R1385" s="7"/>
    </row>
    <row r="1386" spans="1:18">
      <c r="A1386" s="4" t="s">
        <v>1867</v>
      </c>
      <c r="B1386" s="4">
        <f t="shared" si="21"/>
        <v>6</v>
      </c>
      <c r="C1386" s="4" t="s">
        <v>1868</v>
      </c>
      <c r="D1386" s="1" t="str">
        <f>IFERROR(VLOOKUP(A1386,[1]biopep_DB!$F$2:$J$1654,5,0),)</f>
        <v>A new QSAR model, for angiotensin I-converting enzyme inhibitory oligopeptides.</v>
      </c>
      <c r="E1386" s="1" t="str">
        <f>IFERROR(VLOOKUP(A1386,[1]biopep_DB!$F$2:$L$1654,6,0),0)</f>
        <v>10.1016/j.foodchem.2012.09.092</v>
      </c>
      <c r="F1386" s="1" t="str">
        <f>IFERROR(VLOOKUP(A1386,[1]biopep_DB!$F$2:$L$1654,7,0),0)</f>
        <v>23194537</v>
      </c>
      <c r="G1386" s="5">
        <v>645.75</v>
      </c>
      <c r="H1386" s="5">
        <v>5.94</v>
      </c>
      <c r="I1386" s="5">
        <v>-0.53</v>
      </c>
      <c r="J1386" s="6">
        <v>0.2667</v>
      </c>
      <c r="K1386" s="5">
        <v>-5.82</v>
      </c>
      <c r="L1386" s="6">
        <v>0.5</v>
      </c>
      <c r="M1386" s="6">
        <v>-1.1183</v>
      </c>
      <c r="N1386" s="6">
        <v>0.6667</v>
      </c>
      <c r="O1386" s="6">
        <v>0.1667</v>
      </c>
      <c r="P1386" s="6">
        <v>0.3333</v>
      </c>
      <c r="Q1386" s="7"/>
      <c r="R1386" s="7"/>
    </row>
    <row r="1387" spans="1:18">
      <c r="A1387" s="4" t="s">
        <v>1869</v>
      </c>
      <c r="B1387" s="4">
        <f t="shared" si="21"/>
        <v>7</v>
      </c>
      <c r="C1387" s="4" t="s">
        <v>1870</v>
      </c>
      <c r="D1387" s="1" t="str">
        <f>IFERROR(VLOOKUP(A1387,[1]biopep_DB!$F$2:$J$1654,5,0),)</f>
        <v>Isolation and characterization of angiotensin I-converting enzyme inhibitory peptides derived from bonito bowels.</v>
      </c>
      <c r="E1387" s="1" t="str">
        <f>IFERROR(VLOOKUP(A1387,[1]biopep_DB!$F$2:$L$1654,6,0),0)</f>
        <v>10.1271/bbb.57.1743</v>
      </c>
      <c r="F1387" s="1" t="str">
        <f>IFERROR(VLOOKUP(A1387,[1]biopep_DB!$F$2:$L$1654,7,0),0)</f>
        <v>7764272</v>
      </c>
      <c r="G1387" s="5">
        <v>773.92</v>
      </c>
      <c r="H1387" s="5">
        <v>8.31</v>
      </c>
      <c r="I1387" s="5">
        <v>0.46</v>
      </c>
      <c r="J1387" s="6">
        <v>-0.3286</v>
      </c>
      <c r="K1387" s="5">
        <v>-3.56</v>
      </c>
      <c r="L1387" s="6">
        <v>0.4286</v>
      </c>
      <c r="M1387" s="6">
        <v>-0.7329</v>
      </c>
      <c r="N1387" s="6">
        <v>0.7143</v>
      </c>
      <c r="O1387" s="6">
        <v>0.1429</v>
      </c>
      <c r="P1387" s="6">
        <v>0.2857</v>
      </c>
      <c r="Q1387" s="7"/>
      <c r="R1387" s="7"/>
    </row>
    <row r="1388" spans="1:18">
      <c r="A1388" s="4" t="s">
        <v>1871</v>
      </c>
      <c r="B1388" s="4">
        <f t="shared" si="21"/>
        <v>3</v>
      </c>
      <c r="C1388" s="4"/>
      <c r="D1388" s="1" t="str">
        <f>IFERROR(VLOOKUP(A1388,[1]biopep_DB!$F$2:$J$1654,5,0),)</f>
        <v/>
      </c>
      <c r="E1388" s="1" t="str">
        <f>IFERROR(VLOOKUP(A1388,[1]biopep_DB!$F$2:$L$1654,6,0),0)</f>
        <v/>
      </c>
      <c r="F1388" s="1" t="str">
        <f>IFERROR(VLOOKUP(A1388,[1]biopep_DB!$F$2:$L$1654,7,0),0)</f>
        <v/>
      </c>
      <c r="G1388" s="5">
        <v>360.41</v>
      </c>
      <c r="H1388" s="5">
        <v>9.47</v>
      </c>
      <c r="I1388" s="5">
        <v>0.46</v>
      </c>
      <c r="J1388" s="6">
        <v>-0.3667</v>
      </c>
      <c r="K1388" s="5">
        <v>6.67</v>
      </c>
      <c r="L1388" s="6">
        <v>0.3333</v>
      </c>
      <c r="M1388" s="6">
        <v>-0.16</v>
      </c>
      <c r="N1388" s="6">
        <v>0</v>
      </c>
      <c r="O1388" s="6">
        <v>0.3333</v>
      </c>
      <c r="P1388" s="6">
        <v>0.3333</v>
      </c>
      <c r="Q1388" s="7"/>
      <c r="R1388" s="7"/>
    </row>
    <row r="1389" spans="1:18">
      <c r="A1389" s="4" t="s">
        <v>1872</v>
      </c>
      <c r="B1389" s="4">
        <f t="shared" si="21"/>
        <v>3</v>
      </c>
      <c r="C1389" s="4" t="s">
        <v>36</v>
      </c>
      <c r="D1389" s="1" t="str">
        <f>IFERROR(VLOOKUP(A1389,[1]biopep_DB!$F$2:$J$1654,5,0),)</f>
        <v>Structural requirements of Angiotensin I-converting enzyme inhibitory peptides: quantitative structure-activity relationship study of di- and tripeptides.</v>
      </c>
      <c r="E1389" s="1" t="str">
        <f>IFERROR(VLOOKUP(A1389,[1]biopep_DB!$F$2:$L$1654,6,0),0)</f>
        <v>10.1021/jf051263l</v>
      </c>
      <c r="F1389" s="1" t="str">
        <f>IFERROR(VLOOKUP(A1389,[1]biopep_DB!$F$2:$L$1654,7,0),0)</f>
        <v>16448176</v>
      </c>
      <c r="G1389" s="5">
        <v>367.4</v>
      </c>
      <c r="H1389" s="5">
        <v>5.24</v>
      </c>
      <c r="I1389" s="5">
        <v>-0.54</v>
      </c>
      <c r="J1389" s="6">
        <v>0.7</v>
      </c>
      <c r="K1389" s="5">
        <v>-18.47</v>
      </c>
      <c r="L1389" s="6">
        <v>0.3333</v>
      </c>
      <c r="M1389" s="6">
        <v>-1.02</v>
      </c>
      <c r="N1389" s="6">
        <v>0</v>
      </c>
      <c r="O1389" s="6">
        <v>0.3333</v>
      </c>
      <c r="P1389" s="6">
        <v>0.6667</v>
      </c>
      <c r="Q1389" s="7"/>
      <c r="R1389" s="7"/>
    </row>
    <row r="1390" spans="1:18">
      <c r="A1390" s="4" t="s">
        <v>1873</v>
      </c>
      <c r="B1390" s="4">
        <f t="shared" si="21"/>
        <v>4</v>
      </c>
      <c r="C1390" s="4" t="s">
        <v>1874</v>
      </c>
      <c r="D1390" s="1" t="str">
        <f>IFERROR(VLOOKUP(A1390,[1]biopep_DB!$F$2:$J$1654,5,0),)</f>
        <v>Vegetable foods: a cheap source of proteins and peptides with antihypertensive, antioxidant, and other less occurrence bioactivities.</v>
      </c>
      <c r="E1390" s="1" t="str">
        <f>IFERROR(VLOOKUP(A1390,[1]biopep_DB!$F$2:$L$1654,6,0),0)</f>
        <v>10.1016/j.talanta.2012.12.041</v>
      </c>
      <c r="F1390" s="1" t="str">
        <f>IFERROR(VLOOKUP(A1390,[1]biopep_DB!$F$2:$L$1654,7,0),0)</f>
        <v>23598136</v>
      </c>
      <c r="G1390" s="5">
        <v>525.55</v>
      </c>
      <c r="H1390" s="5">
        <v>5.24</v>
      </c>
      <c r="I1390" s="5">
        <v>-0.54</v>
      </c>
      <c r="J1390" s="6">
        <v>0.075</v>
      </c>
      <c r="K1390" s="5">
        <v>7.5</v>
      </c>
      <c r="L1390" s="6">
        <v>0.5</v>
      </c>
      <c r="M1390" s="6">
        <v>-0.9075</v>
      </c>
      <c r="N1390" s="6">
        <v>0</v>
      </c>
      <c r="O1390" s="6">
        <v>0.5</v>
      </c>
      <c r="P1390" s="6">
        <v>0.5</v>
      </c>
      <c r="Q1390" s="7"/>
      <c r="R1390" s="7"/>
    </row>
    <row r="1391" spans="1:18">
      <c r="A1391" s="4" t="s">
        <v>1875</v>
      </c>
      <c r="B1391" s="4">
        <f t="shared" si="21"/>
        <v>2</v>
      </c>
      <c r="C1391" s="4" t="s">
        <v>36</v>
      </c>
      <c r="D1391" s="1" t="str">
        <f>IFERROR(VLOOKUP(A1391,[1]biopep_DB!$F$2:$J$1654,5,0),)</f>
        <v>Structural requirements of Angiotensin I-converting enzyme inhibitory peptides: quantitative structure-activity relationship study of di- and tripeptides.; Max-E47, a designed minimalist protein that targets the E-box DNA site in vivo and in vitro.; Antihypertensive effect of peptide-enriched soy sauce-like seasoning and identification of its angiotensin I-converting enzyme inhibitory substances.;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
      <c r="E1391" s="1" t="str">
        <f>IFERROR(VLOOKUP(A1391,[1]biopep_DB!$F$2:$L$1654,6,0),0)</f>
        <v>10.1021/jf051263l; 10.1021/ja901306q; 10.1021/jf903261h; 10.1016/j.talanta.2012.12.041; 10.1016/j.jprot.2013.06.023; 10.1016/j.foodchem.2013.05.140; 10.1080/10408398.2012.664829</v>
      </c>
      <c r="F1391" s="1" t="str">
        <f>IFERROR(VLOOKUP(A1391,[1]biopep_DB!$F$2:$L$1654,7,0),0)</f>
        <v>16448176 19449889 19994857 23598136 23806758 23871047 24915368</v>
      </c>
      <c r="G1391" s="5">
        <v>268.27</v>
      </c>
      <c r="H1391" s="5">
        <v>5.24</v>
      </c>
      <c r="I1391" s="5">
        <v>-0.54</v>
      </c>
      <c r="J1391" s="6">
        <v>-1.05</v>
      </c>
      <c r="K1391" s="5">
        <v>5</v>
      </c>
      <c r="L1391" s="6">
        <v>0</v>
      </c>
      <c r="M1391" s="6">
        <v>0.49</v>
      </c>
      <c r="N1391" s="6">
        <v>0</v>
      </c>
      <c r="O1391" s="6">
        <v>0.5</v>
      </c>
      <c r="P1391" s="6">
        <v>0.5</v>
      </c>
      <c r="Q1391" s="7"/>
      <c r="R1391" s="7"/>
    </row>
    <row r="1392" spans="1:18">
      <c r="A1392" s="4" t="s">
        <v>1876</v>
      </c>
      <c r="B1392" s="4">
        <f t="shared" si="21"/>
        <v>3</v>
      </c>
      <c r="C1392" s="4" t="s">
        <v>36</v>
      </c>
      <c r="D1392" s="1" t="str">
        <f>IFERROR(VLOOKUP(A1392,[1]biopep_DB!$F$2:$J$1654,5,0),)</f>
        <v>Inhibition of angiotensin-converting enzyme by synthetic peptide fragments of human kappa-casein.; Structural requirements of Angiotensin I-converting enzyme inhibitory peptides: quantitative structure-activity relationship study of di- and tripeptides.; Bioactive peptides in amaranth (Amaranthus hypochondriacus) seed.; What are the ideal properties for functional food peptides with antihypertensive effect? A computational peptidology approach.</v>
      </c>
      <c r="E1392" s="1" t="str">
        <f>IFERROR(VLOOKUP(A1392,[1]biopep_DB!$F$2:$L$1654,6,0),0)</f>
        <v>10.1021/jf051263l; 10.1021/jf072911z; 10.1016/j.foodchem.2013.05.140</v>
      </c>
      <c r="F1392" s="1" t="str">
        <f>IFERROR(VLOOKUP(A1392,[1]biopep_DB!$F$2:$L$1654,7,0),0)</f>
        <v>1368540 16448176 18211015 23871047</v>
      </c>
      <c r="G1392" s="5">
        <v>287.31</v>
      </c>
      <c r="H1392" s="5">
        <v>5.18</v>
      </c>
      <c r="I1392" s="5">
        <v>-0.6</v>
      </c>
      <c r="J1392" s="6">
        <v>-0.1667</v>
      </c>
      <c r="K1392" s="5">
        <v>70.87</v>
      </c>
      <c r="L1392" s="6">
        <v>0.6667</v>
      </c>
      <c r="M1392" s="6">
        <v>-0.5167</v>
      </c>
      <c r="N1392" s="6">
        <v>0.3333</v>
      </c>
      <c r="O1392" s="6">
        <v>0.3333</v>
      </c>
      <c r="P1392" s="6">
        <v>0.3333</v>
      </c>
      <c r="Q1392" s="7"/>
      <c r="R1392" s="7"/>
    </row>
    <row r="1393" spans="1:18">
      <c r="A1393" s="4" t="s">
        <v>1877</v>
      </c>
      <c r="B1393" s="4">
        <f t="shared" si="21"/>
        <v>4</v>
      </c>
      <c r="C1393" s="4"/>
      <c r="D1393" s="1" t="str">
        <f>IFERROR(VLOOKUP(A1393,[1]biopep_DB!$F$2:$J$1654,5,0),)</f>
        <v>Preparation and characterization of novel bioactive peptides responsible for angiotensin I-converting enzyme inhibition from wheat germ.</v>
      </c>
      <c r="E1393" s="1" t="str">
        <f>IFERROR(VLOOKUP(A1393,[1]biopep_DB!$F$2:$L$1654,6,0),0)</f>
        <v>10.1002/(SICI)1099-1387(199907)5:7&lt;289::AID-PSC196&gt;3.0.CO;2-6</v>
      </c>
      <c r="F1393" s="1" t="str">
        <f>IFERROR(VLOOKUP(A1393,[1]biopep_DB!$F$2:$L$1654,7,0),0)</f>
        <v>10442764</v>
      </c>
      <c r="G1393" s="5">
        <v>450.49</v>
      </c>
      <c r="H1393" s="5">
        <v>5.18</v>
      </c>
      <c r="I1393" s="5">
        <v>-0.6</v>
      </c>
      <c r="J1393" s="6">
        <v>-0.45</v>
      </c>
      <c r="K1393" s="5">
        <v>55.65</v>
      </c>
      <c r="L1393" s="6">
        <v>0.5</v>
      </c>
      <c r="M1393" s="6">
        <v>-0.3525</v>
      </c>
      <c r="N1393" s="6">
        <v>0.25</v>
      </c>
      <c r="O1393" s="6">
        <v>0.25</v>
      </c>
      <c r="P1393" s="6">
        <v>0.5</v>
      </c>
      <c r="Q1393" s="7"/>
      <c r="R1393" s="7"/>
    </row>
    <row r="1394" spans="1:18">
      <c r="A1394" s="4" t="s">
        <v>1878</v>
      </c>
      <c r="B1394" s="4">
        <f t="shared" si="21"/>
        <v>9</v>
      </c>
      <c r="C1394" s="4"/>
      <c r="D1394" s="1" t="str">
        <f>IFERROR(VLOOKUP(A1394,[1]biopep_DB!$F$2:$J$1654,5,0),)</f>
        <v>Sheep kappa-casein peptides inhibit platelet aggregation.</v>
      </c>
      <c r="E1394" s="1" t="str">
        <f>IFERROR(VLOOKUP(A1394,[1]biopep_DB!$F$2:$L$1654,6,0),0)</f>
        <v>10.1016/0304-4165(95)00047-f</v>
      </c>
      <c r="F1394" s="1" t="str">
        <f>IFERROR(VLOOKUP(A1394,[1]biopep_DB!$F$2:$L$1654,7,0),0)</f>
        <v>7599162</v>
      </c>
      <c r="G1394" s="5">
        <v>934.99</v>
      </c>
      <c r="H1394" s="5">
        <v>4.05</v>
      </c>
      <c r="I1394" s="5">
        <v>-1.6</v>
      </c>
      <c r="J1394" s="6">
        <v>0.0333</v>
      </c>
      <c r="K1394" s="5">
        <v>12.48</v>
      </c>
      <c r="L1394" s="6">
        <v>0.3333</v>
      </c>
      <c r="M1394" s="6">
        <v>-0.5856</v>
      </c>
      <c r="N1394" s="6">
        <v>0.2222</v>
      </c>
      <c r="O1394" s="6">
        <v>0.1111</v>
      </c>
      <c r="P1394" s="6">
        <v>0.5556</v>
      </c>
      <c r="Q1394" s="7"/>
      <c r="R1394" s="7"/>
    </row>
    <row r="1395" spans="1:18">
      <c r="A1395" s="4" t="s">
        <v>1879</v>
      </c>
      <c r="B1395" s="4">
        <f t="shared" si="21"/>
        <v>8</v>
      </c>
      <c r="C1395" s="4"/>
      <c r="D1395" s="1" t="str">
        <f>IFERROR(VLOOKUP(A1395,[1]biopep_DB!$F$2:$J$1654,5,0),)</f>
        <v/>
      </c>
      <c r="E1395" s="1" t="str">
        <f>IFERROR(VLOOKUP(A1395,[1]biopep_DB!$F$2:$L$1654,6,0),0)</f>
        <v/>
      </c>
      <c r="F1395" s="1" t="str">
        <f>IFERROR(VLOOKUP(A1395,[1]biopep_DB!$F$2:$L$1654,7,0),0)</f>
        <v/>
      </c>
      <c r="G1395" s="5">
        <v>905.03</v>
      </c>
      <c r="H1395" s="5">
        <v>7.91</v>
      </c>
      <c r="I1395" s="5">
        <v>0.39</v>
      </c>
      <c r="J1395" s="6">
        <v>-0.6875</v>
      </c>
      <c r="K1395" s="5">
        <v>-1.86</v>
      </c>
      <c r="L1395" s="6">
        <v>0.25</v>
      </c>
      <c r="M1395" s="6">
        <v>-0.2013</v>
      </c>
      <c r="N1395" s="6">
        <v>0.375</v>
      </c>
      <c r="O1395" s="6">
        <v>0.125</v>
      </c>
      <c r="P1395" s="6">
        <v>0.25</v>
      </c>
      <c r="Q1395" s="7"/>
      <c r="R1395" s="7"/>
    </row>
    <row r="1396" spans="1:18">
      <c r="A1396" s="4" t="s">
        <v>1880</v>
      </c>
      <c r="B1396" s="4">
        <f t="shared" si="21"/>
        <v>4</v>
      </c>
      <c r="C1396" s="4" t="s">
        <v>1881</v>
      </c>
      <c r="D1396" s="1" t="str">
        <f>IFERROR(VLOOKUP(A1396,[1]biopep_DB!$F$2:$J$1654,5,0),)</f>
        <v>Free radical scavenging and angiotensin-I converting enzyme inhibitory peptides from Pacific cod (Gadus macrocephalus) skin gelatin.</v>
      </c>
      <c r="E1396" s="1" t="str">
        <f>IFERROR(VLOOKUP(A1396,[1]biopep_DB!$F$2:$L$1654,6,0),0)</f>
        <v>10.1016/j.ijbiomac.2011.09.009</v>
      </c>
      <c r="F1396" s="1" t="str">
        <f>IFERROR(VLOOKUP(A1396,[1]biopep_DB!$F$2:$L$1654,7,0),0)</f>
        <v>21945677</v>
      </c>
      <c r="G1396" s="5">
        <v>406.45</v>
      </c>
      <c r="H1396" s="5">
        <v>5.18</v>
      </c>
      <c r="I1396" s="5">
        <v>-0.61</v>
      </c>
      <c r="J1396" s="6">
        <v>-0.15</v>
      </c>
      <c r="K1396" s="5">
        <v>117.35</v>
      </c>
      <c r="L1396" s="6">
        <v>0.25</v>
      </c>
      <c r="M1396" s="6">
        <v>-0.045</v>
      </c>
      <c r="N1396" s="6">
        <v>0</v>
      </c>
      <c r="O1396" s="6">
        <v>0.5</v>
      </c>
      <c r="P1396" s="6">
        <v>0.25</v>
      </c>
      <c r="Q1396" s="7"/>
      <c r="R1396" s="7"/>
    </row>
    <row r="1397" spans="1:18">
      <c r="A1397" s="4" t="s">
        <v>1882</v>
      </c>
      <c r="B1397" s="4">
        <f t="shared" si="21"/>
        <v>10</v>
      </c>
      <c r="C1397" s="4" t="s">
        <v>1062</v>
      </c>
      <c r="D1397" s="1" t="str">
        <f>IFERROR(VLOOKUP(A1397,[1]biopep_DB!$F$2:$J$1654,5,0),)</f>
        <v>Inhibition of angiotensin-converting enzyme by synthetic peptide fragments of various beta-caseins.; A new QSAR model, for angiotensin I-converting enzyme inhibitory oligopeptides.</v>
      </c>
      <c r="E1397" s="1" t="str">
        <f>IFERROR(VLOOKUP(A1397,[1]biopep_DB!$F$2:$L$1654,6,0),0)</f>
        <v>10.1016/j.foodchem.2012.09.092</v>
      </c>
      <c r="F1397" s="1" t="str">
        <f>IFERROR(VLOOKUP(A1397,[1]biopep_DB!$F$2:$L$1654,7,0),0)</f>
        <v>1368548 23194537</v>
      </c>
      <c r="G1397" s="5">
        <v>1244.31</v>
      </c>
      <c r="H1397" s="5">
        <v>5.18</v>
      </c>
      <c r="I1397" s="5">
        <v>-1.51</v>
      </c>
      <c r="J1397" s="6">
        <v>-2.02</v>
      </c>
      <c r="K1397" s="5">
        <v>23.62</v>
      </c>
      <c r="L1397" s="6">
        <v>0.2</v>
      </c>
      <c r="M1397" s="6">
        <v>0.413</v>
      </c>
      <c r="N1397" s="6">
        <v>0.1</v>
      </c>
      <c r="O1397" s="6">
        <v>0.3</v>
      </c>
      <c r="P1397" s="6">
        <v>0.3</v>
      </c>
      <c r="Q1397" s="7"/>
      <c r="R1397" s="7"/>
    </row>
    <row r="1398" spans="1:18">
      <c r="A1398" s="4" t="s">
        <v>1883</v>
      </c>
      <c r="B1398" s="4">
        <f t="shared" si="21"/>
        <v>5</v>
      </c>
      <c r="C1398" s="4"/>
      <c r="D1398" s="1" t="str">
        <f>IFERROR(VLOOKUP(A1398,[1]biopep_DB!$F$2:$J$1654,5,0),)</f>
        <v/>
      </c>
      <c r="E1398" s="1" t="str">
        <f>IFERROR(VLOOKUP(A1398,[1]biopep_DB!$F$2:$L$1654,6,0),0)</f>
        <v/>
      </c>
      <c r="F1398" s="1" t="str">
        <f>IFERROR(VLOOKUP(A1398,[1]biopep_DB!$F$2:$L$1654,7,0),0)</f>
        <v/>
      </c>
      <c r="G1398" s="5">
        <v>590.62</v>
      </c>
      <c r="H1398" s="5">
        <v>4.37</v>
      </c>
      <c r="I1398" s="5">
        <v>-1.6</v>
      </c>
      <c r="J1398" s="6">
        <v>-1.48</v>
      </c>
      <c r="K1398" s="5">
        <v>8</v>
      </c>
      <c r="L1398" s="6">
        <v>0.2</v>
      </c>
      <c r="M1398" s="6">
        <v>0.224</v>
      </c>
      <c r="N1398" s="6">
        <v>0.4</v>
      </c>
      <c r="O1398" s="6">
        <v>0.2</v>
      </c>
      <c r="P1398" s="6">
        <v>0.4</v>
      </c>
      <c r="Q1398" s="7"/>
      <c r="R1398" s="7"/>
    </row>
    <row r="1399" spans="1:18">
      <c r="A1399" s="4" t="s">
        <v>1884</v>
      </c>
      <c r="B1399" s="4">
        <f t="shared" si="21"/>
        <v>2</v>
      </c>
      <c r="C1399" s="4" t="s">
        <v>62</v>
      </c>
      <c r="D1399" s="1" t="str">
        <f>IFERROR(VLOOKUP(A1399,[1]biopep_DB!$F$2:$J$1654,5,0),)</f>
        <v>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
      <c r="E1399" s="1" t="str">
        <f>IFERROR(VLOOKUP(A1399,[1]biopep_DB!$F$2:$L$1654,6,0),0)</f>
        <v>10.1007/s00216-008-1990-3; 10.1016/j.jprot.2013.06.023</v>
      </c>
      <c r="F1399" s="1" t="str">
        <f>IFERROR(VLOOKUP(A1399,[1]biopep_DB!$F$2:$L$1654,7,0),0)</f>
        <v>18392815 23806758</v>
      </c>
      <c r="G1399" s="5">
        <v>248.23</v>
      </c>
      <c r="H1399" s="5">
        <v>4.59</v>
      </c>
      <c r="I1399" s="5">
        <v>-1.59</v>
      </c>
      <c r="J1399" s="6">
        <v>-2.1</v>
      </c>
      <c r="K1399" s="5">
        <v>101.3</v>
      </c>
      <c r="L1399" s="6">
        <v>0</v>
      </c>
      <c r="M1399" s="6">
        <v>0.95</v>
      </c>
      <c r="N1399" s="6">
        <v>0.5</v>
      </c>
      <c r="O1399" s="6">
        <v>0</v>
      </c>
      <c r="P1399" s="6">
        <v>0.5</v>
      </c>
      <c r="Q1399" s="7"/>
      <c r="R1399" s="7"/>
    </row>
    <row r="1400" spans="1:18">
      <c r="A1400" s="4" t="s">
        <v>1885</v>
      </c>
      <c r="B1400" s="4">
        <f t="shared" si="21"/>
        <v>11</v>
      </c>
      <c r="C1400" s="4"/>
      <c r="D1400" s="1" t="str">
        <f>IFERROR(VLOOKUP(A1400,[1]biopep_DB!$F$2:$J$1654,5,0),)</f>
        <v>Casein fermentate of Lactobacillus animalis DPC6134 contains a range of novel propeptide angiotensin-converting enzyme inhibitors.</v>
      </c>
      <c r="E1400" s="1" t="str">
        <f>IFERROR(VLOOKUP(A1400,[1]biopep_DB!$F$2:$L$1654,6,0),0)</f>
        <v>10.1128/AEM.00096-07</v>
      </c>
      <c r="F1400" s="1" t="str">
        <f>IFERROR(VLOOKUP(A1400,[1]biopep_DB!$F$2:$L$1654,7,0),0)</f>
        <v>17483275</v>
      </c>
      <c r="G1400" s="5">
        <v>1324.39</v>
      </c>
      <c r="H1400" s="5">
        <v>4.31</v>
      </c>
      <c r="I1400" s="5">
        <v>-3.51</v>
      </c>
      <c r="J1400" s="6">
        <v>-1.6909</v>
      </c>
      <c r="K1400" s="5">
        <v>84.42</v>
      </c>
      <c r="L1400" s="6">
        <v>0.2727</v>
      </c>
      <c r="M1400" s="6">
        <v>0.09</v>
      </c>
      <c r="N1400" s="6">
        <v>0.3636</v>
      </c>
      <c r="O1400" s="6">
        <v>0.2727</v>
      </c>
      <c r="P1400" s="6">
        <v>0.2727</v>
      </c>
      <c r="Q1400" s="7"/>
      <c r="R1400" s="7"/>
    </row>
    <row r="1401" spans="1:18">
      <c r="A1401" s="4" t="s">
        <v>1886</v>
      </c>
      <c r="B1401" s="4">
        <f t="shared" si="21"/>
        <v>2</v>
      </c>
      <c r="C1401" s="4" t="s">
        <v>36</v>
      </c>
      <c r="D1401" s="1" t="str">
        <f>IFERROR(VLOOKUP(A1401,[1]biopep_DB!$F$2:$J$1654,5,0),)</f>
        <v>Structural requirements of Angiotensin I-converting enzyme inhibitory peptides: quantitative structure-activity relationship study of di- and tripeptides.; Angiotensin I converting enzyme inhibitory peptides produced by autolysis reactions from wheat bran.;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Glycinyl-histidinyl-serine (GHS), a novel rapeseed protein-derived peptide has blood pressure-lowering effect in spontaneously hypertensive rats.; Isolation and characterization of peptides with antihypertensive activity in foodstuffs.</v>
      </c>
      <c r="E1401" s="1" t="str">
        <f>IFERROR(VLOOKUP(A1401,[1]biopep_DB!$F$2:$L$1654,6,0),0)</f>
        <v>10.1021/jf051263l; 10.1021/jf900857w; 10.1016/j.talanta.2012.12.041; 10.1016/j.jprot.2013.06.023; 10.1016/j.foodchem.2013.05.140; 10.1021/jf400865m; 10.1080/10408398.2012.664829</v>
      </c>
      <c r="F1401" s="1" t="str">
        <f>IFERROR(VLOOKUP(A1401,[1]biopep_DB!$F$2:$L$1654,7,0),0)</f>
        <v>16448176 19572648 23598136 23806758 23871047 23919612 24915368</v>
      </c>
      <c r="G1401" s="5">
        <v>266.29</v>
      </c>
      <c r="H1401" s="5">
        <v>5.18</v>
      </c>
      <c r="I1401" s="5">
        <v>-0.6</v>
      </c>
      <c r="J1401" s="6">
        <v>1.05</v>
      </c>
      <c r="K1401" s="5">
        <v>66.7</v>
      </c>
      <c r="L1401" s="6">
        <v>0.5</v>
      </c>
      <c r="M1401" s="6">
        <v>-1.36</v>
      </c>
      <c r="N1401" s="6">
        <v>0</v>
      </c>
      <c r="O1401" s="6">
        <v>0</v>
      </c>
      <c r="P1401" s="6">
        <v>1</v>
      </c>
      <c r="Q1401" s="7"/>
      <c r="R1401" s="7"/>
    </row>
    <row r="1402" spans="1:18">
      <c r="A1402" s="4" t="s">
        <v>1887</v>
      </c>
      <c r="B1402" s="4">
        <f t="shared" si="21"/>
        <v>6</v>
      </c>
      <c r="C1402" s="4" t="s">
        <v>1888</v>
      </c>
      <c r="D1402" s="1" t="str">
        <f>IFERROR(VLOOKUP(A1402,[1]biopep_DB!$F$2:$J$1654,5,0),)</f>
        <v>Review on the angiotensin-I-converting enzyme (ACE) inhibitor peptides from marine proteins.</v>
      </c>
      <c r="E1402" s="1" t="str">
        <f>IFERROR(VLOOKUP(A1402,[1]biopep_DB!$F$2:$L$1654,6,0),0)</f>
        <v>10.1007/s12010-012-0024-y</v>
      </c>
      <c r="F1402" s="1" t="str">
        <f>IFERROR(VLOOKUP(A1402,[1]biopep_DB!$F$2:$L$1654,7,0),0)</f>
        <v>23271625</v>
      </c>
      <c r="G1402" s="5">
        <v>654.71</v>
      </c>
      <c r="H1402" s="5">
        <v>6.4</v>
      </c>
      <c r="I1402" s="5">
        <v>-0.51</v>
      </c>
      <c r="J1402" s="6">
        <v>-0.7833</v>
      </c>
      <c r="K1402" s="5">
        <v>43.72</v>
      </c>
      <c r="L1402" s="6">
        <v>0.5</v>
      </c>
      <c r="M1402" s="6">
        <v>-0.445</v>
      </c>
      <c r="N1402" s="6">
        <v>0</v>
      </c>
      <c r="O1402" s="6">
        <v>0.5</v>
      </c>
      <c r="P1402" s="6">
        <v>0.3333</v>
      </c>
      <c r="Q1402" s="7"/>
      <c r="R1402" s="7"/>
    </row>
    <row r="1403" spans="1:18">
      <c r="A1403" s="4" t="s">
        <v>1889</v>
      </c>
      <c r="B1403" s="4">
        <f t="shared" si="21"/>
        <v>2</v>
      </c>
      <c r="C1403" s="4" t="s">
        <v>36</v>
      </c>
      <c r="D1403" s="1" t="str">
        <f>IFERROR(VLOOKUP(A1403,[1]biopep_DB!$F$2:$J$1654,5,0),)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1403" s="1" t="str">
        <f>IFERROR(VLOOKUP(A1403,[1]biopep_DB!$F$2:$L$1654,6,0),0)</f>
        <v>10.1021/jf051263l; 10.1002/psc.892; 10.1007/s00894-010-0862-x; 10.1016/j.jprot.2013.06.023; 10.1016/j.foodchem.2013.05.140</v>
      </c>
      <c r="F1403" s="1" t="str">
        <f>IFERROR(VLOOKUP(A1403,[1]biopep_DB!$F$2:$L$1654,7,0),0)</f>
        <v>6243277 16448176 17654623 20941517 23806758 23871047</v>
      </c>
      <c r="G1403" s="5">
        <v>176.17</v>
      </c>
      <c r="H1403" s="5">
        <v>5.18</v>
      </c>
      <c r="I1403" s="5">
        <v>-0.6</v>
      </c>
      <c r="J1403" s="6">
        <v>-0.55</v>
      </c>
      <c r="K1403" s="5">
        <v>-37.45</v>
      </c>
      <c r="L1403" s="6">
        <v>0</v>
      </c>
      <c r="M1403" s="6">
        <v>-0.34</v>
      </c>
      <c r="N1403" s="6">
        <v>0</v>
      </c>
      <c r="O1403" s="6">
        <v>0.5</v>
      </c>
      <c r="P1403" s="6">
        <v>0.5</v>
      </c>
      <c r="Q1403" s="7"/>
      <c r="R1403" s="7"/>
    </row>
    <row r="1404" spans="1:18">
      <c r="A1404" s="4" t="s">
        <v>1890</v>
      </c>
      <c r="B1404" s="4">
        <f t="shared" si="21"/>
        <v>6</v>
      </c>
      <c r="C1404" s="4" t="s">
        <v>1891</v>
      </c>
      <c r="D1404" s="1" t="str">
        <f>IFERROR(VLOOKUP(A1404,[1]biopep_DB!$F$2:$J$1654,5,0),)</f>
        <v/>
      </c>
      <c r="E1404" s="1" t="str">
        <f>IFERROR(VLOOKUP(A1404,[1]biopep_DB!$F$2:$L$1654,6,0),0)</f>
        <v/>
      </c>
      <c r="F1404" s="1" t="str">
        <f>IFERROR(VLOOKUP(A1404,[1]biopep_DB!$F$2:$L$1654,7,0),0)</f>
        <v/>
      </c>
      <c r="G1404" s="5">
        <v>475.45</v>
      </c>
      <c r="H1404" s="5">
        <v>5.18</v>
      </c>
      <c r="I1404" s="5">
        <v>-0.6</v>
      </c>
      <c r="J1404" s="6">
        <v>-0.6</v>
      </c>
      <c r="K1404" s="5">
        <v>21.17</v>
      </c>
      <c r="L1404" s="6">
        <v>0.1667</v>
      </c>
      <c r="M1404" s="6">
        <v>-0.4583</v>
      </c>
      <c r="N1404" s="6">
        <v>0.1667</v>
      </c>
      <c r="O1404" s="6">
        <v>0.6667</v>
      </c>
      <c r="P1404" s="6">
        <v>0.1667</v>
      </c>
      <c r="Q1404" s="7"/>
      <c r="R1404" s="7"/>
    </row>
    <row r="1405" spans="1:18">
      <c r="A1405" s="4" t="s">
        <v>1892</v>
      </c>
      <c r="B1405" s="4">
        <f t="shared" si="21"/>
        <v>6</v>
      </c>
      <c r="C1405" s="4" t="s">
        <v>1881</v>
      </c>
      <c r="D1405" s="1" t="str">
        <f>IFERROR(VLOOKUP(A1405,[1]biopep_DB!$F$2:$J$1654,5,0),)</f>
        <v>Free radical scavenging and angiotensin-I converting enzyme inhibitory peptides from Pacific cod (Gadus macrocephalus) skin gelatin.</v>
      </c>
      <c r="E1405" s="1" t="str">
        <f>IFERROR(VLOOKUP(A1405,[1]biopep_DB!$F$2:$L$1654,6,0),0)</f>
        <v>10.1016/j.ijbiomac.2011.09.009</v>
      </c>
      <c r="F1405" s="1" t="str">
        <f>IFERROR(VLOOKUP(A1405,[1]biopep_DB!$F$2:$L$1654,7,0),0)</f>
        <v>21945677</v>
      </c>
      <c r="G1405" s="5">
        <v>503.51</v>
      </c>
      <c r="H1405" s="5">
        <v>5.18</v>
      </c>
      <c r="I1405" s="5">
        <v>-0.6</v>
      </c>
      <c r="J1405" s="6">
        <v>-0.2</v>
      </c>
      <c r="K1405" s="5">
        <v>21.17</v>
      </c>
      <c r="L1405" s="6">
        <v>0.1667</v>
      </c>
      <c r="M1405" s="6">
        <v>-0.83</v>
      </c>
      <c r="N1405" s="6">
        <v>0</v>
      </c>
      <c r="O1405" s="6">
        <v>0.6667</v>
      </c>
      <c r="P1405" s="6">
        <v>0.3333</v>
      </c>
      <c r="Q1405" s="7"/>
      <c r="R1405" s="7"/>
    </row>
    <row r="1406" spans="1:18">
      <c r="A1406" s="4" t="s">
        <v>1893</v>
      </c>
      <c r="B1406" s="4">
        <f t="shared" si="21"/>
        <v>6</v>
      </c>
      <c r="C1406" s="4" t="s">
        <v>1894</v>
      </c>
      <c r="D1406" s="1" t="str">
        <f>IFERROR(VLOOKUP(A1406,[1]biopep_DB!$F$2:$J$1654,5,0),)</f>
        <v>Identification and characterization of novel angiotensin-converting enzyme inhibitors obtained from goat milk.</v>
      </c>
      <c r="E1406" s="1" t="str">
        <f>IFERROR(VLOOKUP(A1406,[1]biopep_DB!$F$2:$L$1654,6,0),0)</f>
        <v>10.3168/jds.S0022-0302(06)72369-4</v>
      </c>
      <c r="F1406" s="1" t="str">
        <f>IFERROR(VLOOKUP(A1406,[1]biopep_DB!$F$2:$L$1654,7,0),0)</f>
        <v>16899665</v>
      </c>
      <c r="G1406" s="5">
        <v>597.66</v>
      </c>
      <c r="H1406" s="5">
        <v>5.18</v>
      </c>
      <c r="I1406" s="5">
        <v>-0.6</v>
      </c>
      <c r="J1406" s="6">
        <v>-0.55</v>
      </c>
      <c r="K1406" s="5">
        <v>-10.62</v>
      </c>
      <c r="L1406" s="6">
        <v>0.5</v>
      </c>
      <c r="M1406" s="6">
        <v>-0.6633</v>
      </c>
      <c r="N1406" s="6">
        <v>0</v>
      </c>
      <c r="O1406" s="6">
        <v>0.6667</v>
      </c>
      <c r="P1406" s="6">
        <v>0.3333</v>
      </c>
      <c r="Q1406" s="7"/>
      <c r="R1406" s="7"/>
    </row>
    <row r="1407" spans="1:18">
      <c r="A1407" s="4" t="s">
        <v>1895</v>
      </c>
      <c r="B1407" s="4">
        <f t="shared" si="21"/>
        <v>10</v>
      </c>
      <c r="C1407" s="4" t="s">
        <v>311</v>
      </c>
      <c r="D1407" s="1" t="str">
        <f>IFERROR(VLOOKUP(A1407,[1]biopep_DB!$F$2:$J$1654,5,0),)</f>
        <v>Angiotensin-converting enzyme inhibitory activity of peptides derived from caprine kefir.</v>
      </c>
      <c r="E1407" s="1" t="str">
        <f>IFERROR(VLOOKUP(A1407,[1]biopep_DB!$F$2:$L$1654,6,0),0)</f>
        <v>10.3168/jds.S0022-0302(05)73032-0</v>
      </c>
      <c r="F1407" s="1" t="str">
        <f>IFERROR(VLOOKUP(A1407,[1]biopep_DB!$F$2:$L$1654,7,0),0)</f>
        <v>16162521</v>
      </c>
      <c r="G1407" s="5">
        <v>1023.14</v>
      </c>
      <c r="H1407" s="5">
        <v>5.18</v>
      </c>
      <c r="I1407" s="5">
        <v>-0.6</v>
      </c>
      <c r="J1407" s="6">
        <v>-0.54</v>
      </c>
      <c r="K1407" s="5">
        <v>36.15</v>
      </c>
      <c r="L1407" s="6">
        <v>0.5</v>
      </c>
      <c r="M1407" s="6">
        <v>-0.67</v>
      </c>
      <c r="N1407" s="6">
        <v>0.1</v>
      </c>
      <c r="O1407" s="6">
        <v>0.6</v>
      </c>
      <c r="P1407" s="6">
        <v>0.3</v>
      </c>
      <c r="Q1407" s="7"/>
      <c r="R1407" s="7"/>
    </row>
    <row r="1408" spans="1:18">
      <c r="A1408" s="4" t="s">
        <v>1896</v>
      </c>
      <c r="B1408" s="4">
        <f t="shared" si="21"/>
        <v>4</v>
      </c>
      <c r="C1408" s="4" t="s">
        <v>1897</v>
      </c>
      <c r="D1408" s="1" t="str">
        <f>IFERROR(VLOOKUP(A1408,[1]biopep_DB!$F$2:$J$1654,5,0),)</f>
        <v>Antihypertensive peptides from food proteins: a review.; What are the ideal properties for functional food peptides with antihypertensive effect? A computational peptidology approach.</v>
      </c>
      <c r="E1408" s="1" t="str">
        <f>IFERROR(VLOOKUP(A1408,[1]biopep_DB!$F$2:$L$1654,6,0),0)</f>
        <v>10.1039/c2fo10192k; 10.1016/j.foodchem.2013.05.140</v>
      </c>
      <c r="F1408" s="1" t="str">
        <f>IFERROR(VLOOKUP(A1408,[1]biopep_DB!$F$2:$L$1654,7,0),0)</f>
        <v>22249830 23871047</v>
      </c>
      <c r="G1408" s="5">
        <v>438.47</v>
      </c>
      <c r="H1408" s="5">
        <v>5.18</v>
      </c>
      <c r="I1408" s="5">
        <v>-0.6</v>
      </c>
      <c r="J1408" s="6">
        <v>0.45</v>
      </c>
      <c r="K1408" s="5">
        <v>-32.58</v>
      </c>
      <c r="L1408" s="6">
        <v>0.25</v>
      </c>
      <c r="M1408" s="6">
        <v>-1.145</v>
      </c>
      <c r="N1408" s="6">
        <v>0</v>
      </c>
      <c r="O1408" s="6">
        <v>0.25</v>
      </c>
      <c r="P1408" s="6">
        <v>0.75</v>
      </c>
      <c r="Q1408" s="7"/>
      <c r="R1408" s="7"/>
    </row>
    <row r="1409" spans="1:18">
      <c r="A1409" s="4" t="s">
        <v>1898</v>
      </c>
      <c r="B1409" s="4">
        <f t="shared" si="21"/>
        <v>8</v>
      </c>
      <c r="C1409" s="4"/>
      <c r="G1409" s="5">
        <v>1157.24</v>
      </c>
      <c r="H1409" s="5">
        <v>6.42</v>
      </c>
      <c r="I1409" s="5">
        <v>-0.51</v>
      </c>
      <c r="J1409" s="6">
        <v>-2.6375</v>
      </c>
      <c r="K1409" s="5">
        <v>8.75</v>
      </c>
      <c r="L1409" s="6">
        <v>0.25</v>
      </c>
      <c r="M1409" s="6">
        <v>0.5262</v>
      </c>
      <c r="N1409" s="6">
        <v>0.25</v>
      </c>
      <c r="O1409" s="6">
        <v>0.125</v>
      </c>
      <c r="P1409" s="6">
        <v>0.375</v>
      </c>
      <c r="Q1409" s="7"/>
      <c r="R1409" s="7"/>
    </row>
    <row r="1410" spans="1:18">
      <c r="A1410" s="4" t="s">
        <v>1899</v>
      </c>
      <c r="B1410" s="4">
        <f t="shared" si="21"/>
        <v>7</v>
      </c>
      <c r="C1410" s="4" t="s">
        <v>714</v>
      </c>
      <c r="D1410" s="1" t="str">
        <f>IFERROR(VLOOKUP(A1410,[1]biopep_DB!$F$2:$J$1654,5,0),)</f>
        <v>Potent synthetic analogues of angiotensin-converting enzyme inhibitor derived from Tuna muscle.</v>
      </c>
      <c r="E1410" s="1" t="str">
        <f>IFERROR(VLOOKUP(A1410,[1]biopep_DB!$F$2:$L$1654,6,0),0)</f>
        <v/>
      </c>
      <c r="F1410" s="1" t="str">
        <f>IFERROR(VLOOKUP(A1410,[1]biopep_DB!$F$2:$L$1654,7,0),0)</f>
        <v>1368734</v>
      </c>
      <c r="G1410" s="5">
        <v>855.94</v>
      </c>
      <c r="H1410" s="5">
        <v>6.42</v>
      </c>
      <c r="I1410" s="5">
        <v>-0.51</v>
      </c>
      <c r="J1410" s="6">
        <v>-1.1571</v>
      </c>
      <c r="K1410" s="5">
        <v>44.4</v>
      </c>
      <c r="L1410" s="6">
        <v>0.2857</v>
      </c>
      <c r="M1410" s="6">
        <v>-0.5257</v>
      </c>
      <c r="N1410" s="6">
        <v>0.1429</v>
      </c>
      <c r="O1410" s="6">
        <v>0.2857</v>
      </c>
      <c r="P1410" s="6">
        <v>0.4286</v>
      </c>
      <c r="Q1410" s="7"/>
      <c r="R1410" s="7"/>
    </row>
    <row r="1411" spans="1:18">
      <c r="A1411" s="4" t="s">
        <v>1900</v>
      </c>
      <c r="B1411" s="4">
        <f t="shared" si="21"/>
        <v>7</v>
      </c>
      <c r="C1411" s="4"/>
      <c r="D1411" s="1" t="str">
        <f>IFERROR(VLOOKUP(A1411,[1]biopep_DB!$F$2:$J$1654,5,0),)</f>
        <v/>
      </c>
      <c r="E1411" s="1" t="str">
        <f>IFERROR(VLOOKUP(A1411,[1]biopep_DB!$F$2:$L$1654,6,0),0)</f>
        <v/>
      </c>
      <c r="F1411" s="1" t="str">
        <f>IFERROR(VLOOKUP(A1411,[1]biopep_DB!$F$2:$L$1654,7,0),0)</f>
        <v/>
      </c>
      <c r="G1411" s="5">
        <v>751.95</v>
      </c>
      <c r="H1411" s="5">
        <v>5.18</v>
      </c>
      <c r="I1411" s="5">
        <v>-0.6</v>
      </c>
      <c r="J1411" s="6">
        <v>1.8714</v>
      </c>
      <c r="K1411" s="5">
        <v>59.49</v>
      </c>
      <c r="L1411" s="6">
        <v>0.8571</v>
      </c>
      <c r="M1411" s="6">
        <v>-2.6486</v>
      </c>
      <c r="N1411" s="6">
        <v>0.1429</v>
      </c>
      <c r="O1411" s="6">
        <v>0.2857</v>
      </c>
      <c r="P1411" s="6">
        <v>0.7143</v>
      </c>
      <c r="Q1411" s="7"/>
      <c r="R1411" s="7"/>
    </row>
    <row r="1412" spans="1:18">
      <c r="A1412" s="4" t="s">
        <v>1901</v>
      </c>
      <c r="B1412" s="4">
        <f t="shared" si="21"/>
        <v>2</v>
      </c>
      <c r="C1412" s="4" t="s">
        <v>36</v>
      </c>
      <c r="D1412" s="1" t="str">
        <f>IFERROR(VLOOKUP(A1412,[1]biopep_DB!$F$2:$J$1654,5,0),)</f>
        <v>Structural requirements of Angiotensin I-converting enzyme inhibitory peptides: quantitative structure-activity relationship study of di- and tripeptides.</v>
      </c>
      <c r="E1412" s="1" t="str">
        <f>IFERROR(VLOOKUP(A1412,[1]biopep_DB!$F$2:$L$1654,6,0),0)</f>
        <v>10.1021/jf051263l</v>
      </c>
      <c r="F1412" s="1" t="str">
        <f>IFERROR(VLOOKUP(A1412,[1]biopep_DB!$F$2:$L$1654,7,0),0)</f>
        <v>16448176</v>
      </c>
      <c r="G1412" s="5">
        <v>247.29</v>
      </c>
      <c r="H1412" s="5">
        <v>8.41</v>
      </c>
      <c r="I1412" s="5">
        <v>0.4</v>
      </c>
      <c r="J1412" s="6">
        <v>-2.3</v>
      </c>
      <c r="K1412" s="5">
        <v>5</v>
      </c>
      <c r="L1412" s="6">
        <v>0</v>
      </c>
      <c r="M1412" s="6">
        <v>0.92</v>
      </c>
      <c r="N1412" s="6">
        <v>0.5</v>
      </c>
      <c r="O1412" s="6">
        <v>0</v>
      </c>
      <c r="P1412" s="6">
        <v>0.5</v>
      </c>
      <c r="Q1412" s="7"/>
      <c r="R1412" s="7"/>
    </row>
    <row r="1413" spans="1:18">
      <c r="A1413" s="4" t="s">
        <v>1902</v>
      </c>
      <c r="B1413" s="4">
        <f t="shared" si="21"/>
        <v>5</v>
      </c>
      <c r="C1413" s="4" t="s">
        <v>1903</v>
      </c>
      <c r="D1413" s="1" t="str">
        <f>IFERROR(VLOOKUP(A1413,[1]biopep_DB!$F$2:$J$1654,5,0),)</f>
        <v>A new QSAR model, for angiotensin I-converting enzyme inhibitory oligopeptides.</v>
      </c>
      <c r="E1413" s="1" t="str">
        <f>IFERROR(VLOOKUP(A1413,[1]biopep_DB!$F$2:$L$1654,6,0),0)</f>
        <v>10.1016/j.foodchem.2012.09.092</v>
      </c>
      <c r="F1413" s="1" t="str">
        <f>IFERROR(VLOOKUP(A1413,[1]biopep_DB!$F$2:$L$1654,7,0),0)</f>
        <v>23194537</v>
      </c>
      <c r="G1413" s="5">
        <v>556.7</v>
      </c>
      <c r="H1413" s="5">
        <v>8.41</v>
      </c>
      <c r="I1413" s="5">
        <v>0.4</v>
      </c>
      <c r="J1413" s="6">
        <v>0.5</v>
      </c>
      <c r="K1413" s="5">
        <v>12.56</v>
      </c>
      <c r="L1413" s="6">
        <v>0.6</v>
      </c>
      <c r="M1413" s="6">
        <v>-1.424</v>
      </c>
      <c r="N1413" s="6">
        <v>0.2</v>
      </c>
      <c r="O1413" s="6">
        <v>0.2</v>
      </c>
      <c r="P1413" s="6">
        <v>0.6</v>
      </c>
      <c r="Q1413" s="7"/>
      <c r="R1413" s="7"/>
    </row>
    <row r="1414" spans="1:18">
      <c r="A1414" s="4" t="s">
        <v>1904</v>
      </c>
      <c r="B1414" s="4">
        <f t="shared" ref="B1414:B1477" si="22">LEN(A1414)</f>
        <v>14</v>
      </c>
      <c r="C1414" s="4"/>
      <c r="D1414" s="1" t="str">
        <f>IFERROR(VLOOKUP(A1414,[1]biopep_DB!$F$2:$J$1654,5,0),)</f>
        <v/>
      </c>
      <c r="E1414" s="1" t="str">
        <f>IFERROR(VLOOKUP(A1414,[1]biopep_DB!$F$2:$L$1654,6,0),0)</f>
        <v/>
      </c>
      <c r="F1414" s="1" t="str">
        <f>IFERROR(VLOOKUP(A1414,[1]biopep_DB!$F$2:$L$1654,7,0),0)</f>
        <v/>
      </c>
      <c r="G1414" s="5">
        <v>1717.96</v>
      </c>
      <c r="H1414" s="5">
        <v>9.52</v>
      </c>
      <c r="I1414" s="5">
        <v>1.4</v>
      </c>
      <c r="J1414" s="6">
        <v>-2.0429</v>
      </c>
      <c r="K1414" s="5">
        <v>63.55</v>
      </c>
      <c r="L1414" s="6">
        <v>0.1429</v>
      </c>
      <c r="M1414" s="6">
        <v>0.4657</v>
      </c>
      <c r="N1414" s="6">
        <v>0.6429</v>
      </c>
      <c r="O1414" s="6">
        <v>0.0714</v>
      </c>
      <c r="P1414" s="6">
        <v>0.3571</v>
      </c>
      <c r="Q1414" s="7"/>
      <c r="R1414" s="7"/>
    </row>
    <row r="1415" spans="1:18">
      <c r="A1415" s="4" t="s">
        <v>1905</v>
      </c>
      <c r="B1415" s="4">
        <f t="shared" si="22"/>
        <v>17</v>
      </c>
      <c r="C1415" s="4" t="s">
        <v>408</v>
      </c>
      <c r="D1415" s="1" t="str">
        <f>IFERROR(VLOOKUP(A1415,[1]biopep_DB!$F$2:$J$1654,5,0),)</f>
        <v/>
      </c>
      <c r="E1415" s="1" t="str">
        <f>IFERROR(VLOOKUP(A1415,[1]biopep_DB!$F$2:$L$1654,6,0),0)</f>
        <v/>
      </c>
      <c r="F1415" s="1" t="str">
        <f>IFERROR(VLOOKUP(A1415,[1]biopep_DB!$F$2:$L$1654,7,0),0)</f>
        <v/>
      </c>
      <c r="G1415" s="5">
        <v>1956.22</v>
      </c>
      <c r="H1415" s="5">
        <v>12</v>
      </c>
      <c r="I1415" s="5">
        <v>4.48</v>
      </c>
      <c r="J1415" s="6">
        <v>-1.1647</v>
      </c>
      <c r="K1415" s="5">
        <v>29.11</v>
      </c>
      <c r="L1415" s="6">
        <v>0.2941</v>
      </c>
      <c r="M1415" s="6">
        <v>0.1335</v>
      </c>
      <c r="N1415" s="6">
        <v>0.2353</v>
      </c>
      <c r="O1415" s="6">
        <v>0.2353</v>
      </c>
      <c r="P1415" s="6">
        <v>0.2941</v>
      </c>
      <c r="Q1415" s="7"/>
      <c r="R1415" s="7"/>
    </row>
    <row r="1416" spans="1:18">
      <c r="A1416" s="4" t="s">
        <v>1906</v>
      </c>
      <c r="B1416" s="4">
        <f t="shared" si="22"/>
        <v>5</v>
      </c>
      <c r="C1416" s="4" t="s">
        <v>1903</v>
      </c>
      <c r="D1416" s="1" t="str">
        <f>IFERROR(VLOOKUP(A1416,[1]biopep_DB!$F$2:$J$1654,5,0),)</f>
        <v>Identification of two distinct antibacterial domains within the sequence of bovine alpha(s2)-casein.; Antihypertensive peptides: production, bioavailability and incorporation into foods.; Antihypertensive peptides from food proteins: a review.; A new QSAR model, for angiotensin I-converting enzyme inhibitory oligopeptides.</v>
      </c>
      <c r="E1416" s="1" t="str">
        <f>IFERROR(VLOOKUP(A1416,[1]biopep_DB!$F$2:$L$1654,6,0),0)</f>
        <v>10.1016/s0304-4165(99)00079-3; 10.1016/j.cis.2010.11.001; 10.1039/c2fo10192k; 10.1016/j.foodchem.2012.09.092</v>
      </c>
      <c r="F1416" s="1" t="str">
        <f>IFERROR(VLOOKUP(A1416,[1]biopep_DB!$F$2:$L$1654,7,0),0)</f>
        <v>10434050 21185549 22249830 23194537</v>
      </c>
      <c r="G1416" s="5">
        <v>556.7</v>
      </c>
      <c r="H1416" s="5">
        <v>8.41</v>
      </c>
      <c r="I1416" s="5">
        <v>0.4</v>
      </c>
      <c r="J1416" s="6">
        <v>0.5</v>
      </c>
      <c r="K1416" s="5">
        <v>-14.74</v>
      </c>
      <c r="L1416" s="6">
        <v>0.6</v>
      </c>
      <c r="M1416" s="6">
        <v>-1.424</v>
      </c>
      <c r="N1416" s="6">
        <v>0.2</v>
      </c>
      <c r="O1416" s="6">
        <v>0.2</v>
      </c>
      <c r="P1416" s="6">
        <v>0.6</v>
      </c>
      <c r="Q1416" s="7"/>
      <c r="R1416" s="7"/>
    </row>
    <row r="1417" spans="1:18">
      <c r="A1417" s="4" t="s">
        <v>1907</v>
      </c>
      <c r="B1417" s="4">
        <f t="shared" si="22"/>
        <v>3</v>
      </c>
      <c r="C1417" s="4" t="s">
        <v>36</v>
      </c>
      <c r="D1417" s="1" t="str">
        <f>IFERROR(VLOOKUP(A1417,[1]biopep_DB!$F$2:$J$1654,5,0),)</f>
        <v>Structural requirements of Angiotensin I-converting enzyme inhibitory peptides: quantitative structure-activity relationship study of di- and tripeptides.; Inhibition strength of short peptides derived from an ACE inhibitory peptide.; Isolation and characterization of peptides with antihypertensive activity in foodstuffs.</v>
      </c>
      <c r="E1417" s="1" t="str">
        <f>IFERROR(VLOOKUP(A1417,[1]biopep_DB!$F$2:$L$1654,6,0),0)</f>
        <v>10.1021/jf051263l; 10.1021/jf202902r; 10.1080/10408398.2012.664829</v>
      </c>
      <c r="F1417" s="1" t="str">
        <f>IFERROR(VLOOKUP(A1417,[1]biopep_DB!$F$2:$L$1654,7,0),0)</f>
        <v>16448176 21923188 24915368</v>
      </c>
      <c r="G1417" s="5">
        <v>410.46</v>
      </c>
      <c r="H1417" s="5">
        <v>8.26</v>
      </c>
      <c r="I1417" s="5">
        <v>0.4</v>
      </c>
      <c r="J1417" s="6">
        <v>-1.9667</v>
      </c>
      <c r="K1417" s="5">
        <v>6.67</v>
      </c>
      <c r="L1417" s="6">
        <v>0</v>
      </c>
      <c r="M1417" s="6">
        <v>0.66</v>
      </c>
      <c r="N1417" s="6">
        <v>0.3333</v>
      </c>
      <c r="O1417" s="6">
        <v>0</v>
      </c>
      <c r="P1417" s="6">
        <v>0.6667</v>
      </c>
      <c r="Q1417" s="7"/>
      <c r="R1417" s="7"/>
    </row>
    <row r="1418" spans="1:18">
      <c r="A1418" s="4" t="s">
        <v>1908</v>
      </c>
      <c r="B1418" s="4">
        <f t="shared" si="22"/>
        <v>6</v>
      </c>
      <c r="C1418" s="4" t="s">
        <v>1112</v>
      </c>
      <c r="D1418" s="1" t="str">
        <f>IFERROR(VLOOKUP(A1418,[1]biopep_DB!$F$2:$J$1654,5,0),)</f>
        <v/>
      </c>
      <c r="E1418" s="1" t="str">
        <f>IFERROR(VLOOKUP(A1418,[1]biopep_DB!$F$2:$L$1654,6,0),0)</f>
        <v/>
      </c>
      <c r="F1418" s="1" t="str">
        <f>IFERROR(VLOOKUP(A1418,[1]biopep_DB!$F$2:$L$1654,7,0),0)</f>
        <v/>
      </c>
      <c r="G1418" s="5">
        <v>672.77</v>
      </c>
      <c r="H1418" s="5">
        <v>9.41</v>
      </c>
      <c r="I1418" s="5">
        <v>0.4</v>
      </c>
      <c r="J1418" s="6">
        <v>-0.0167</v>
      </c>
      <c r="K1418" s="5">
        <v>-55.92</v>
      </c>
      <c r="L1418" s="6">
        <v>0.3333</v>
      </c>
      <c r="M1418" s="6">
        <v>-1.03</v>
      </c>
      <c r="N1418" s="6">
        <v>0</v>
      </c>
      <c r="O1418" s="6">
        <v>0.3333</v>
      </c>
      <c r="P1418" s="6">
        <v>0.5</v>
      </c>
      <c r="Q1418" s="7"/>
      <c r="R1418" s="7"/>
    </row>
    <row r="1419" spans="1:18">
      <c r="A1419" s="4" t="s">
        <v>1909</v>
      </c>
      <c r="B1419" s="4">
        <f t="shared" si="22"/>
        <v>3</v>
      </c>
      <c r="C1419" s="4" t="s">
        <v>36</v>
      </c>
      <c r="D1419" s="1" t="str">
        <f>IFERROR(VLOOKUP(A1419,[1]biopep_DB!$F$2:$J$1654,5,0),)</f>
        <v>Structural requirements of Angiotensin I-converting enzyme inhibitory peptides: quantitative structure-activity relationship study of di- and tripeptides.; Peptide inhibitors for angiotensin I-converting enzyme from enzymatic hydrolysates of porcine skeletal muscle proteins.</v>
      </c>
      <c r="E1419" s="1" t="str">
        <f>IFERROR(VLOOKUP(A1419,[1]biopep_DB!$F$2:$L$1654,6,0),0)</f>
        <v>10.1021/jf051263l; 10.1016/s0309-1740(00)00108-x</v>
      </c>
      <c r="F1419" s="1" t="str">
        <f>IFERROR(VLOOKUP(A1419,[1]biopep_DB!$F$2:$L$1654,7,0),0)</f>
        <v>16448176 22061507</v>
      </c>
      <c r="G1419" s="5">
        <v>330.34</v>
      </c>
      <c r="H1419" s="5">
        <v>5.18</v>
      </c>
      <c r="I1419" s="5">
        <v>-0.6</v>
      </c>
      <c r="J1419" s="6">
        <v>-1.9333</v>
      </c>
      <c r="K1419" s="5">
        <v>-53.03</v>
      </c>
      <c r="L1419" s="6">
        <v>0.3333</v>
      </c>
      <c r="M1419" s="6">
        <v>0.6267</v>
      </c>
      <c r="N1419" s="6">
        <v>0</v>
      </c>
      <c r="O1419" s="6">
        <v>0.6667</v>
      </c>
      <c r="P1419" s="6">
        <v>0.3333</v>
      </c>
      <c r="Q1419" s="7"/>
      <c r="R1419" s="7"/>
    </row>
    <row r="1420" spans="1:18">
      <c r="A1420" s="4" t="s">
        <v>1910</v>
      </c>
      <c r="B1420" s="4">
        <f t="shared" si="22"/>
        <v>2</v>
      </c>
      <c r="C1420" s="4" t="s">
        <v>36</v>
      </c>
      <c r="D1420" s="1" t="str">
        <f>IFERROR(VLOOKUP(A1420,[1]biopep_DB!$F$2:$J$1654,5,0),)</f>
        <v>Angiotensin I-converting enzyme inhibitory activity and insulin secretion stimulative activity of fermented fish sauce.; Structural requirements of Angiotensin I-converting enzyme inhibitory peptides: quantitative structure-activity relationship study of di- and tripeptides.; What are the ideal properties for functional food peptides with antihypertensive effect? A computational peptidology approach.</v>
      </c>
      <c r="E1420" s="1" t="str">
        <f>IFERROR(VLOOKUP(A1420,[1]biopep_DB!$F$2:$L$1654,6,0),0)</f>
        <v>10.1016/S1389-1723(03)70138-8; 10.1021/jf051263l; 10.1016/j.foodchem.2013.05.140</v>
      </c>
      <c r="F1420" s="1" t="str">
        <f>IFERROR(VLOOKUP(A1420,[1]biopep_DB!$F$2:$L$1654,7,0),0)</f>
        <v>16233562 16448176 23871047</v>
      </c>
      <c r="G1420" s="5">
        <v>216.23</v>
      </c>
      <c r="H1420" s="5">
        <v>5.18</v>
      </c>
      <c r="I1420" s="5">
        <v>-0.6</v>
      </c>
      <c r="J1420" s="6">
        <v>-1.15</v>
      </c>
      <c r="K1420" s="5">
        <v>5</v>
      </c>
      <c r="L1420" s="6">
        <v>0.5</v>
      </c>
      <c r="M1420" s="6">
        <v>0.13</v>
      </c>
      <c r="N1420" s="6">
        <v>0</v>
      </c>
      <c r="O1420" s="6">
        <v>0.5</v>
      </c>
      <c r="P1420" s="6">
        <v>0.5</v>
      </c>
      <c r="Q1420" s="7"/>
      <c r="R1420" s="7"/>
    </row>
    <row r="1421" spans="1:18">
      <c r="A1421" s="4" t="s">
        <v>1911</v>
      </c>
      <c r="B1421" s="4">
        <f t="shared" si="22"/>
        <v>10</v>
      </c>
      <c r="C1421" s="4"/>
      <c r="G1421" s="5">
        <v>1018.21</v>
      </c>
      <c r="H1421" s="5">
        <v>9.41</v>
      </c>
      <c r="I1421" s="5">
        <v>0.4</v>
      </c>
      <c r="J1421" s="6">
        <v>-0.26</v>
      </c>
      <c r="K1421" s="5">
        <v>39.98</v>
      </c>
      <c r="L1421" s="6">
        <v>0.7</v>
      </c>
      <c r="M1421" s="6">
        <v>-0.961</v>
      </c>
      <c r="N1421" s="6">
        <v>0.3</v>
      </c>
      <c r="O1421" s="6">
        <v>0.5</v>
      </c>
      <c r="P1421" s="6">
        <v>0.3</v>
      </c>
      <c r="Q1421" s="7"/>
      <c r="R1421" s="7"/>
    </row>
    <row r="1422" spans="1:18">
      <c r="A1422" s="4" t="s">
        <v>1912</v>
      </c>
      <c r="B1422" s="4">
        <f t="shared" si="22"/>
        <v>11</v>
      </c>
      <c r="C1422" s="4"/>
      <c r="D1422" s="1" t="str">
        <f>IFERROR(VLOOKUP(A1422,[1]biopep_DB!$F$2:$J$1654,5,0),)</f>
        <v>A novel peptide from the ACEI/BPP-CNP precursor in the venom of Crotalus durissus collilineatus.</v>
      </c>
      <c r="E1422" s="1" t="str">
        <f>IFERROR(VLOOKUP(A1422,[1]biopep_DB!$F$2:$L$1654,6,0),0)</f>
        <v>10.1016/j.cbpc.2006.04.006</v>
      </c>
      <c r="F1422" s="1" t="str">
        <f>IFERROR(VLOOKUP(A1422,[1]biopep_DB!$F$2:$L$1654,7,0),0)</f>
        <v>16979945</v>
      </c>
      <c r="G1422" s="5">
        <v>962.01</v>
      </c>
      <c r="H1422" s="5">
        <v>4.05</v>
      </c>
      <c r="I1422" s="5">
        <v>-1.6</v>
      </c>
      <c r="J1422" s="6">
        <v>-1.0545</v>
      </c>
      <c r="K1422" s="5">
        <v>65.98</v>
      </c>
      <c r="L1422" s="6">
        <v>0.5455</v>
      </c>
      <c r="M1422" s="6">
        <v>-0.2445</v>
      </c>
      <c r="N1422" s="6">
        <v>0.0909</v>
      </c>
      <c r="O1422" s="6">
        <v>0.8182</v>
      </c>
      <c r="P1422" s="6">
        <v>0.0909</v>
      </c>
      <c r="Q1422" s="7"/>
      <c r="R1422" s="7"/>
    </row>
    <row r="1423" spans="1:18">
      <c r="A1423" s="4" t="s">
        <v>1913</v>
      </c>
      <c r="B1423" s="4">
        <f t="shared" si="22"/>
        <v>5</v>
      </c>
      <c r="C1423" s="4" t="s">
        <v>1914</v>
      </c>
      <c r="D1423" s="1" t="str">
        <f>IFERROR(VLOOKUP(A1423,[1]biopep_DB!$F$2:$J$1654,5,0),)</f>
        <v/>
      </c>
      <c r="E1423" s="1" t="str">
        <f>IFERROR(VLOOKUP(A1423,[1]biopep_DB!$F$2:$L$1654,6,0),0)</f>
        <v/>
      </c>
      <c r="F1423" s="1" t="str">
        <f>IFERROR(VLOOKUP(A1423,[1]biopep_DB!$F$2:$L$1654,7,0),0)</f>
        <v/>
      </c>
      <c r="G1423" s="5">
        <v>618.72</v>
      </c>
      <c r="H1423" s="5">
        <v>9.41</v>
      </c>
      <c r="I1423" s="5">
        <v>0.4</v>
      </c>
      <c r="J1423" s="6">
        <v>0.04</v>
      </c>
      <c r="K1423" s="5">
        <v>-7.08</v>
      </c>
      <c r="L1423" s="6">
        <v>0.6</v>
      </c>
      <c r="M1423" s="6">
        <v>-0.808</v>
      </c>
      <c r="N1423" s="6">
        <v>0</v>
      </c>
      <c r="O1423" s="6">
        <v>0.2</v>
      </c>
      <c r="P1423" s="6">
        <v>0.6</v>
      </c>
      <c r="Q1423" s="7"/>
      <c r="R1423" s="7"/>
    </row>
    <row r="1424" spans="1:18">
      <c r="A1424" s="4" t="s">
        <v>1915</v>
      </c>
      <c r="B1424" s="4">
        <f t="shared" si="22"/>
        <v>5</v>
      </c>
      <c r="C1424" s="4"/>
      <c r="D1424" s="1" t="str">
        <f>IFERROR(VLOOKUP(A1424,[1]biopep_DB!$F$2:$J$1654,5,0),)</f>
        <v/>
      </c>
      <c r="E1424" s="1" t="str">
        <f>IFERROR(VLOOKUP(A1424,[1]biopep_DB!$F$2:$L$1654,6,0),0)</f>
        <v/>
      </c>
      <c r="F1424" s="1" t="str">
        <f>IFERROR(VLOOKUP(A1424,[1]biopep_DB!$F$2:$L$1654,7,0),0)</f>
        <v/>
      </c>
      <c r="G1424" s="5">
        <v>556.61</v>
      </c>
      <c r="H1424" s="5">
        <v>9.41</v>
      </c>
      <c r="I1424" s="5">
        <v>0.4</v>
      </c>
      <c r="J1424" s="6">
        <v>-1.84</v>
      </c>
      <c r="K1424" s="5">
        <v>119.32</v>
      </c>
      <c r="L1424" s="6">
        <v>0.4</v>
      </c>
      <c r="M1424" s="6">
        <v>0.764</v>
      </c>
      <c r="N1424" s="6">
        <v>0</v>
      </c>
      <c r="O1424" s="6">
        <v>0.6</v>
      </c>
      <c r="P1424" s="6">
        <v>0.2</v>
      </c>
      <c r="Q1424" s="7"/>
      <c r="R1424" s="7"/>
    </row>
    <row r="1425" spans="1:18">
      <c r="A1425" s="4" t="s">
        <v>1916</v>
      </c>
      <c r="B1425" s="4">
        <f t="shared" si="22"/>
        <v>11</v>
      </c>
      <c r="C1425" s="4" t="s">
        <v>1917</v>
      </c>
      <c r="D1425" s="1" t="str">
        <f>IFERROR(VLOOKUP(A1425,[1]biopep_DB!$F$2:$J$1654,5,0),)</f>
        <v>Structural analysis of new antihypertensive peptides derived from cheese whey protein by proteinase K digestion.; Antihypertensive peptides: production, bioavailability and incorporation into foods.; Antihypertensive peptides from food proteins: a review.; Isolation and characterization of peptides with antihypertensive activity in foodstuffs.</v>
      </c>
      <c r="E1425" s="1" t="str">
        <f>IFERROR(VLOOKUP(A1425,[1]biopep_DB!$F$2:$L$1654,6,0),0)</f>
        <v>10.3168/jds.S0022-0302(98)75878-3; 10.1016/j.cis.2010.11.001; 10.1039/c2fo10192k; 10.1080/10408398.2012.664829</v>
      </c>
      <c r="F1425" s="1" t="str">
        <f>IFERROR(VLOOKUP(A1425,[1]biopep_DB!$F$2:$L$1654,7,0),0)</f>
        <v>9891260 21185549 22249830 24915368</v>
      </c>
      <c r="G1425" s="5">
        <v>1193.43</v>
      </c>
      <c r="H1425" s="5">
        <v>5.18</v>
      </c>
      <c r="I1425" s="5">
        <v>-0.6</v>
      </c>
      <c r="J1425" s="6">
        <v>0.7818</v>
      </c>
      <c r="K1425" s="5">
        <v>126.27</v>
      </c>
      <c r="L1425" s="6">
        <v>0.8182</v>
      </c>
      <c r="M1425" s="6">
        <v>-1.6727</v>
      </c>
      <c r="N1425" s="6">
        <v>0.0909</v>
      </c>
      <c r="O1425" s="6">
        <v>0.3636</v>
      </c>
      <c r="P1425" s="6">
        <v>0.5455</v>
      </c>
      <c r="Q1425" s="7"/>
      <c r="R1425" s="7"/>
    </row>
    <row r="1426" spans="1:18">
      <c r="A1426" s="4" t="s">
        <v>1918</v>
      </c>
      <c r="B1426" s="4">
        <f t="shared" si="22"/>
        <v>10</v>
      </c>
      <c r="C1426" s="4" t="s">
        <v>1917</v>
      </c>
      <c r="D1426" s="1" t="str">
        <f>IFERROR(VLOOKUP(A1426,[1]biopep_DB!$F$2:$J$1654,5,0),)</f>
        <v>A new QSAR model, for angiotensin I-converting enzyme inhibitory oligopeptides.</v>
      </c>
      <c r="E1426" s="1" t="str">
        <f>IFERROR(VLOOKUP(A1426,[1]biopep_DB!$F$2:$L$1654,6,0),0)</f>
        <v>10.1016/j.foodchem.2012.09.092</v>
      </c>
      <c r="F1426" s="1" t="str">
        <f>IFERROR(VLOOKUP(A1426,[1]biopep_DB!$F$2:$L$1654,7,0),0)</f>
        <v>23194537</v>
      </c>
      <c r="G1426" s="5">
        <v>1181.38</v>
      </c>
      <c r="H1426" s="5">
        <v>5.18</v>
      </c>
      <c r="I1426" s="5">
        <v>-0.6</v>
      </c>
      <c r="J1426" s="6">
        <v>-0.07</v>
      </c>
      <c r="K1426" s="5">
        <v>107.27</v>
      </c>
      <c r="L1426" s="6">
        <v>0.8</v>
      </c>
      <c r="M1426" s="6">
        <v>-1.265</v>
      </c>
      <c r="N1426" s="6">
        <v>0.1</v>
      </c>
      <c r="O1426" s="6">
        <v>0.4</v>
      </c>
      <c r="P1426" s="6">
        <v>0.5</v>
      </c>
      <c r="Q1426" s="7"/>
      <c r="R1426" s="7"/>
    </row>
    <row r="1427" spans="1:18">
      <c r="A1427" s="4" t="s">
        <v>1919</v>
      </c>
      <c r="B1427" s="4">
        <f t="shared" si="22"/>
        <v>2</v>
      </c>
      <c r="C1427" s="4" t="s">
        <v>62</v>
      </c>
      <c r="D1427" s="1" t="str">
        <f>IFERROR(VLOOKUP(A1427,[1]biopep_DB!$F$2:$J$1654,5,0),)</f>
        <v>Application of at-line two-dimensional liquid chromatography-mass spectrometry for identification of small hydrophilic angiotensin I-inhibiting peptides in milk hydrolysates.</v>
      </c>
      <c r="E1427" s="1" t="str">
        <f>IFERROR(VLOOKUP(A1427,[1]biopep_DB!$F$2:$L$1654,6,0),0)</f>
        <v>10.1007/s00216-008-1990-3</v>
      </c>
      <c r="F1427" s="1" t="str">
        <f>IFERROR(VLOOKUP(A1427,[1]biopep_DB!$F$2:$L$1654,7,0),0)</f>
        <v>18392815</v>
      </c>
      <c r="G1427" s="5">
        <v>247.25</v>
      </c>
      <c r="H1427" s="5">
        <v>5.18</v>
      </c>
      <c r="I1427" s="5">
        <v>-0.6</v>
      </c>
      <c r="J1427" s="6">
        <v>-2.1</v>
      </c>
      <c r="K1427" s="5">
        <v>-32.7</v>
      </c>
      <c r="L1427" s="6">
        <v>0</v>
      </c>
      <c r="M1427" s="6">
        <v>0.81</v>
      </c>
      <c r="N1427" s="6">
        <v>0</v>
      </c>
      <c r="O1427" s="6">
        <v>0</v>
      </c>
      <c r="P1427" s="6">
        <v>0.5</v>
      </c>
      <c r="Q1427" s="7"/>
      <c r="R1427" s="7"/>
    </row>
    <row r="1428" spans="1:18">
      <c r="A1428" s="4" t="s">
        <v>1920</v>
      </c>
      <c r="B1428" s="4">
        <f t="shared" si="22"/>
        <v>10</v>
      </c>
      <c r="C1428" s="4"/>
      <c r="D1428" s="1" t="str">
        <f>IFERROR(VLOOKUP(A1428,[1]biopep_DB!$F$2:$J$1654,5,0),)</f>
        <v/>
      </c>
      <c r="E1428" s="1" t="str">
        <f>IFERROR(VLOOKUP(A1428,[1]biopep_DB!$F$2:$L$1654,6,0),0)</f>
        <v/>
      </c>
      <c r="F1428" s="1" t="str">
        <f>IFERROR(VLOOKUP(A1428,[1]biopep_DB!$F$2:$L$1654,7,0),0)</f>
        <v/>
      </c>
      <c r="G1428" s="5">
        <v>1132.27</v>
      </c>
      <c r="H1428" s="5">
        <v>8.26</v>
      </c>
      <c r="I1428" s="5">
        <v>0.4</v>
      </c>
      <c r="J1428" s="6">
        <v>-1.05</v>
      </c>
      <c r="K1428" s="5">
        <v>2.81</v>
      </c>
      <c r="L1428" s="6">
        <v>0.4</v>
      </c>
      <c r="M1428" s="6">
        <v>-0.151</v>
      </c>
      <c r="N1428" s="6">
        <v>0.2</v>
      </c>
      <c r="O1428" s="6">
        <v>0.3</v>
      </c>
      <c r="P1428" s="6">
        <v>0.4</v>
      </c>
      <c r="Q1428" s="7"/>
      <c r="R1428" s="7"/>
    </row>
    <row r="1429" spans="1:18">
      <c r="A1429" s="4" t="s">
        <v>1921</v>
      </c>
      <c r="B1429" s="4">
        <f t="shared" si="22"/>
        <v>7</v>
      </c>
      <c r="C1429" s="4" t="s">
        <v>871</v>
      </c>
      <c r="D1429" s="1" t="str">
        <f>IFERROR(VLOOKUP(A1429,[1]biopep_DB!$F$2:$J$1654,5,0),)</f>
        <v>Inhibition of angiotensin-converting enzyme by synthetic peptide fragments of various beta-caseins.; Evaluation of the allergenicity of goat milk, cow milk, and their lactosera in a guinea pig model.</v>
      </c>
      <c r="E1429" s="1" t="str">
        <f>IFERROR(VLOOKUP(A1429,[1]biopep_DB!$F$2:$L$1654,6,0),0)</f>
        <v>10.3168/jds.2008-1125</v>
      </c>
      <c r="F1429" s="1" t="str">
        <f>IFERROR(VLOOKUP(A1429,[1]biopep_DB!$F$2:$L$1654,7,0),0)</f>
        <v>1368548 19233776</v>
      </c>
      <c r="G1429" s="5">
        <v>806.9</v>
      </c>
      <c r="H1429" s="5">
        <v>5.18</v>
      </c>
      <c r="I1429" s="5">
        <v>-0.6</v>
      </c>
      <c r="J1429" s="6">
        <v>0.0143</v>
      </c>
      <c r="K1429" s="5">
        <v>67.43</v>
      </c>
      <c r="L1429" s="6">
        <v>0.4286</v>
      </c>
      <c r="M1429" s="6">
        <v>-0.9086</v>
      </c>
      <c r="N1429" s="6">
        <v>0.1429</v>
      </c>
      <c r="O1429" s="6">
        <v>0.2857</v>
      </c>
      <c r="P1429" s="6">
        <v>0.5714</v>
      </c>
      <c r="Q1429" s="7"/>
      <c r="R1429" s="7"/>
    </row>
    <row r="1430" spans="1:18">
      <c r="A1430" s="4" t="s">
        <v>1922</v>
      </c>
      <c r="B1430" s="4">
        <f t="shared" si="22"/>
        <v>14</v>
      </c>
      <c r="C1430" s="4"/>
      <c r="D1430" s="1" t="str">
        <f>IFERROR(VLOOKUP(A1430,[1]biopep_DB!$F$2:$J$1654,5,0),)</f>
        <v>Casein fermentate of Lactobacillus animalis DPC6134 contains a range of novel propeptide angiotensin-converting enzyme inhibitors.</v>
      </c>
      <c r="E1430" s="1" t="str">
        <f>IFERROR(VLOOKUP(A1430,[1]biopep_DB!$F$2:$L$1654,6,0),0)</f>
        <v>10.1128/AEM.00096-07</v>
      </c>
      <c r="F1430" s="1" t="str">
        <f>IFERROR(VLOOKUP(A1430,[1]biopep_DB!$F$2:$L$1654,7,0),0)</f>
        <v>17483275</v>
      </c>
      <c r="G1430" s="5">
        <v>1551.78</v>
      </c>
      <c r="H1430" s="5">
        <v>4.59</v>
      </c>
      <c r="I1430" s="5">
        <v>-1.59</v>
      </c>
      <c r="J1430" s="6">
        <v>0.1143</v>
      </c>
      <c r="K1430" s="5">
        <v>85.1</v>
      </c>
      <c r="L1430" s="6">
        <v>0.6429</v>
      </c>
      <c r="M1430" s="6">
        <v>-1.0814</v>
      </c>
      <c r="N1430" s="6">
        <v>0.0714</v>
      </c>
      <c r="O1430" s="6">
        <v>0.2857</v>
      </c>
      <c r="P1430" s="6">
        <v>0.5</v>
      </c>
      <c r="Q1430" s="7"/>
      <c r="R1430" s="7"/>
    </row>
    <row r="1431" spans="1:18">
      <c r="A1431" s="4" t="s">
        <v>1923</v>
      </c>
      <c r="B1431" s="4">
        <f t="shared" si="22"/>
        <v>4</v>
      </c>
      <c r="C1431" s="4" t="s">
        <v>1897</v>
      </c>
      <c r="D1431" s="1" t="str">
        <f>IFERROR(VLOOKUP(A1431,[1]biopep_DB!$F$2:$J$1654,5,0),)</f>
        <v>Depressor effect of wheat germ hydrolysate and its novel angiotensin I-converting enzyme inhibitory peptide, Ile-Val-Tyr, and the metabolism in rat and human plasma.; Antihypertensive effect of rice protein hydrolysate with in vitro angiotensin I-converting enzyme inhibitory activity in spontaneously hypertensive rats.; Vegetable foods: a cheap source of proteins and peptides with antihypertensive, antioxidant, and other less occurrence bioactivities.; Isolation and characterization of peptides with antihypertensive activity in foodstuffs.</v>
      </c>
      <c r="E1431" s="1" t="str">
        <f>IFERROR(VLOOKUP(A1431,[1]biopep_DB!$F$2:$L$1654,6,0),0)</f>
        <v>10.1248/bpb.23.427; 10.1016/j.talanta.2012.12.041; 10.1080/10408398.2012.664829</v>
      </c>
      <c r="F1431" s="1" t="str">
        <f>IFERROR(VLOOKUP(A1431,[1]biopep_DB!$F$2:$L$1654,7,0),0)</f>
        <v>10784421 17392118 23598136 24915368</v>
      </c>
      <c r="G1431" s="5">
        <v>509.55</v>
      </c>
      <c r="H1431" s="5">
        <v>5.18</v>
      </c>
      <c r="I1431" s="5">
        <v>-0.6</v>
      </c>
      <c r="J1431" s="6">
        <v>-0.325</v>
      </c>
      <c r="K1431" s="5">
        <v>-49.05</v>
      </c>
      <c r="L1431" s="6">
        <v>0.25</v>
      </c>
      <c r="M1431" s="6">
        <v>-0.57</v>
      </c>
      <c r="N1431" s="6">
        <v>0</v>
      </c>
      <c r="O1431" s="6">
        <v>0</v>
      </c>
      <c r="P1431" s="6">
        <v>0.75</v>
      </c>
      <c r="Q1431" s="7"/>
      <c r="R1431" s="7"/>
    </row>
    <row r="1432" spans="1:18">
      <c r="A1432" s="4" t="s">
        <v>1924</v>
      </c>
      <c r="B1432" s="4">
        <f t="shared" si="22"/>
        <v>5</v>
      </c>
      <c r="C1432" s="4" t="s">
        <v>31</v>
      </c>
      <c r="D1432" s="1" t="str">
        <f>IFERROR(VLOOKUP(A1432,[1]biopep_DB!$F$2:$J$1654,5,0),)</f>
        <v/>
      </c>
      <c r="E1432" s="1" t="str">
        <f>IFERROR(VLOOKUP(A1432,[1]biopep_DB!$F$2:$L$1654,6,0),0)</f>
        <v/>
      </c>
      <c r="F1432" s="1" t="str">
        <f>IFERROR(VLOOKUP(A1432,[1]biopep_DB!$F$2:$L$1654,7,0),0)</f>
        <v/>
      </c>
      <c r="G1432" s="5">
        <v>646.65</v>
      </c>
      <c r="H1432" s="5">
        <v>5.5</v>
      </c>
      <c r="I1432" s="5">
        <v>-0.6</v>
      </c>
      <c r="J1432" s="6">
        <v>-3.14</v>
      </c>
      <c r="K1432" s="5">
        <v>46.52</v>
      </c>
      <c r="L1432" s="6">
        <v>0</v>
      </c>
      <c r="M1432" s="6">
        <v>1.476</v>
      </c>
      <c r="N1432" s="6">
        <v>0</v>
      </c>
      <c r="O1432" s="6">
        <v>0.2</v>
      </c>
      <c r="P1432" s="6">
        <v>0.2</v>
      </c>
      <c r="Q1432" s="7"/>
      <c r="R1432" s="7"/>
    </row>
    <row r="1433" spans="1:18">
      <c r="A1433" s="4" t="s">
        <v>1925</v>
      </c>
      <c r="B1433" s="4">
        <f t="shared" si="22"/>
        <v>5</v>
      </c>
      <c r="C1433" s="4" t="s">
        <v>31</v>
      </c>
      <c r="D1433" s="1" t="str">
        <f>IFERROR(VLOOKUP(A1433,[1]biopep_DB!$F$2:$J$1654,5,0),)</f>
        <v/>
      </c>
      <c r="E1433" s="1" t="str">
        <f>IFERROR(VLOOKUP(A1433,[1]biopep_DB!$F$2:$L$1654,6,0),0)</f>
        <v/>
      </c>
      <c r="F1433" s="1" t="str">
        <f>IFERROR(VLOOKUP(A1433,[1]biopep_DB!$F$2:$L$1654,7,0),0)</f>
        <v/>
      </c>
      <c r="G1433" s="5">
        <v>588.66</v>
      </c>
      <c r="H1433" s="5">
        <v>11</v>
      </c>
      <c r="I1433" s="5">
        <v>1.4</v>
      </c>
      <c r="J1433" s="6">
        <v>-2.6</v>
      </c>
      <c r="K1433" s="5">
        <v>21.32</v>
      </c>
      <c r="L1433" s="6">
        <v>0</v>
      </c>
      <c r="M1433" s="6">
        <v>0.996</v>
      </c>
      <c r="N1433" s="6">
        <v>0.2</v>
      </c>
      <c r="O1433" s="6">
        <v>0.2</v>
      </c>
      <c r="P1433" s="6">
        <v>0.2</v>
      </c>
      <c r="Q1433" s="7"/>
      <c r="R1433" s="7"/>
    </row>
    <row r="1434" spans="1:18">
      <c r="A1434" s="4" t="s">
        <v>1926</v>
      </c>
      <c r="B1434" s="4">
        <f t="shared" si="22"/>
        <v>8</v>
      </c>
      <c r="C1434" s="4" t="s">
        <v>1927</v>
      </c>
      <c r="G1434" s="5">
        <v>879.95</v>
      </c>
      <c r="H1434" s="5">
        <v>4.05</v>
      </c>
      <c r="I1434" s="5">
        <v>-1.6</v>
      </c>
      <c r="J1434" s="6">
        <v>0.25</v>
      </c>
      <c r="K1434" s="5">
        <v>32.83</v>
      </c>
      <c r="L1434" s="6">
        <v>0.375</v>
      </c>
      <c r="M1434" s="6">
        <v>-1.1375</v>
      </c>
      <c r="N1434" s="6">
        <v>0.25</v>
      </c>
      <c r="O1434" s="6">
        <v>0.25</v>
      </c>
      <c r="P1434" s="6">
        <v>0.625</v>
      </c>
      <c r="Q1434" s="7"/>
      <c r="R1434" s="7"/>
    </row>
    <row r="1435" spans="1:18">
      <c r="A1435" s="4" t="s">
        <v>1928</v>
      </c>
      <c r="B1435" s="4">
        <f t="shared" si="22"/>
        <v>3</v>
      </c>
      <c r="C1435" s="4" t="s">
        <v>337</v>
      </c>
      <c r="D1435" s="1" t="str">
        <f>IFERROR(VLOOKUP(A1435,[1]biopep_DB!$F$2:$J$1654,5,0),)</f>
        <v>Isolation and characterization of peptides with antihypertensive activity in foodstuffs.</v>
      </c>
      <c r="E1435" s="1" t="str">
        <f>IFERROR(VLOOKUP(A1435,[1]biopep_DB!$F$2:$L$1654,6,0),0)</f>
        <v>10.1080/10408398.2012.664829</v>
      </c>
      <c r="F1435" s="1" t="str">
        <f>IFERROR(VLOOKUP(A1435,[1]biopep_DB!$F$2:$L$1654,7,0),0)</f>
        <v>24915368</v>
      </c>
      <c r="G1435" s="5">
        <v>333.38</v>
      </c>
      <c r="H1435" s="5">
        <v>5.18</v>
      </c>
      <c r="I1435" s="5">
        <v>-0.6</v>
      </c>
      <c r="J1435" s="6">
        <v>1.0333</v>
      </c>
      <c r="K1435" s="5">
        <v>6.67</v>
      </c>
      <c r="L1435" s="6">
        <v>0.3333</v>
      </c>
      <c r="M1435" s="6">
        <v>-1.4667</v>
      </c>
      <c r="N1435" s="6">
        <v>0</v>
      </c>
      <c r="O1435" s="6">
        <v>0</v>
      </c>
      <c r="P1435" s="6">
        <v>1</v>
      </c>
      <c r="Q1435" s="7"/>
      <c r="R1435" s="7"/>
    </row>
    <row r="1436" spans="1:18">
      <c r="A1436" s="4" t="s">
        <v>1929</v>
      </c>
      <c r="B1436" s="4">
        <f t="shared" si="22"/>
        <v>14</v>
      </c>
      <c r="C1436" s="4"/>
      <c r="D1436" s="1" t="str">
        <f>IFERROR(VLOOKUP(A1436,[1]biopep_DB!$F$2:$J$1654,5,0),)</f>
        <v>Casein fermentate of Lactobacillus animalis DPC6134 contains a range of novel propeptide angiotensin-converting enzyme inhibitors.</v>
      </c>
      <c r="E1436" s="1" t="str">
        <f>IFERROR(VLOOKUP(A1436,[1]biopep_DB!$F$2:$L$1654,6,0),0)</f>
        <v>10.1128/AEM.00096-07</v>
      </c>
      <c r="F1436" s="1" t="str">
        <f>IFERROR(VLOOKUP(A1436,[1]biopep_DB!$F$2:$L$1654,7,0),0)</f>
        <v>17483275</v>
      </c>
      <c r="G1436" s="5">
        <v>1624.79</v>
      </c>
      <c r="H1436" s="5">
        <v>4.05</v>
      </c>
      <c r="I1436" s="5">
        <v>-5.59</v>
      </c>
      <c r="J1436" s="6">
        <v>-0.3357</v>
      </c>
      <c r="K1436" s="5">
        <v>45.61</v>
      </c>
      <c r="L1436" s="6">
        <v>0.4286</v>
      </c>
      <c r="M1436" s="6">
        <v>-0.7907</v>
      </c>
      <c r="N1436" s="6">
        <v>0.5</v>
      </c>
      <c r="O1436" s="6">
        <v>0.2143</v>
      </c>
      <c r="P1436" s="6">
        <v>0.3571</v>
      </c>
      <c r="Q1436" s="7"/>
      <c r="R1436" s="7"/>
    </row>
    <row r="1437" spans="1:18">
      <c r="A1437" s="4" t="s">
        <v>1930</v>
      </c>
      <c r="B1437" s="4">
        <f t="shared" si="22"/>
        <v>6</v>
      </c>
      <c r="C1437" s="4" t="s">
        <v>1931</v>
      </c>
      <c r="D1437" s="1" t="str">
        <f>IFERROR(VLOOKUP(A1437,[1]biopep_DB!$F$2:$J$1654,5,0),)</f>
        <v>Antihypertensive peptides: production, bioavailability and incorporation into foods.; Bioactive peptides derived from milk proteins and their health beneficial potentials: an update.; Antihypertensive peptides from food proteins: a review.; A new QSAR model, for angiotensin I-converting enzyme inhibitory oligopeptides.</v>
      </c>
      <c r="E1437" s="1" t="str">
        <f>IFERROR(VLOOKUP(A1437,[1]biopep_DB!$F$2:$L$1654,6,0),0)</f>
        <v>10.1016/j.cis.2010.11.001; 10.1039/c0fo00016g; 10.1039/c2fo10192k; 10.1016/j.foodchem.2012.09.092</v>
      </c>
      <c r="F1437" s="1" t="str">
        <f>IFERROR(VLOOKUP(A1437,[1]biopep_DB!$F$2:$L$1654,7,0),0)</f>
        <v>21185549 21773582 22249830 23194537</v>
      </c>
      <c r="G1437" s="5">
        <v>747.9</v>
      </c>
      <c r="H1437" s="5">
        <v>5.18</v>
      </c>
      <c r="I1437" s="5">
        <v>-0.6</v>
      </c>
      <c r="J1437" s="6">
        <v>0.3</v>
      </c>
      <c r="K1437" s="5">
        <v>121.03</v>
      </c>
      <c r="L1437" s="6">
        <v>0.6667</v>
      </c>
      <c r="M1437" s="6">
        <v>-1.5133</v>
      </c>
      <c r="N1437" s="6">
        <v>0.3333</v>
      </c>
      <c r="O1437" s="6">
        <v>0.1667</v>
      </c>
      <c r="P1437" s="6">
        <v>0.6667</v>
      </c>
      <c r="Q1437" s="7"/>
      <c r="R1437" s="7"/>
    </row>
    <row r="1438" spans="1:18">
      <c r="A1438" s="4" t="s">
        <v>1932</v>
      </c>
      <c r="B1438" s="4">
        <f t="shared" si="22"/>
        <v>3</v>
      </c>
      <c r="C1438" s="4" t="s">
        <v>36</v>
      </c>
      <c r="D1438" s="1" t="str">
        <f>IFERROR(VLOOKUP(A1438,[1]biopep_DB!$F$2:$J$1654,5,0),)</f>
        <v>Structural requirements of Angiotensin I-converting enzyme inhibitory peptides: quantitative structure-activity relationship study of di- and tripeptides.; Peptide inhibitors for angiotensin I-converting enzyme from enzymatic hydrolysates of porcine skeletal muscle proteins.</v>
      </c>
      <c r="E1438" s="1" t="str">
        <f>IFERROR(VLOOKUP(A1438,[1]biopep_DB!$F$2:$L$1654,6,0),0)</f>
        <v>10.1021/jf051263l; 10.1016/s0309-1740(00)00108-x</v>
      </c>
      <c r="F1438" s="1" t="str">
        <f>IFERROR(VLOOKUP(A1438,[1]biopep_DB!$F$2:$L$1654,7,0),0)</f>
        <v>16448176 22061507</v>
      </c>
      <c r="G1438" s="5">
        <v>334.33</v>
      </c>
      <c r="H1438" s="5">
        <v>5.18</v>
      </c>
      <c r="I1438" s="5">
        <v>-0.6</v>
      </c>
      <c r="J1438" s="6">
        <v>-1.6333</v>
      </c>
      <c r="K1438" s="5">
        <v>-43.43</v>
      </c>
      <c r="L1438" s="6">
        <v>0</v>
      </c>
      <c r="M1438" s="6">
        <v>0.7133</v>
      </c>
      <c r="N1438" s="6">
        <v>0</v>
      </c>
      <c r="O1438" s="6">
        <v>0.3333</v>
      </c>
      <c r="P1438" s="6">
        <v>0.6667</v>
      </c>
      <c r="Q1438" s="7"/>
      <c r="R1438" s="7"/>
    </row>
    <row r="1439" spans="1:18">
      <c r="A1439" s="4" t="s">
        <v>1933</v>
      </c>
      <c r="B1439" s="4">
        <f t="shared" si="22"/>
        <v>4</v>
      </c>
      <c r="C1439" s="4"/>
      <c r="D1439" s="1" t="str">
        <f>IFERROR(VLOOKUP(A1439,[1]biopep_DB!$F$2:$J$1654,5,0),)</f>
        <v>Angiotensin I-converting-enzyme-inhibitory and antibacterial peptides from Lactobacillus helveticus PR4 proteinase-hydrolyzed caseins of milk from six species.</v>
      </c>
      <c r="E1439" s="1" t="str">
        <f>IFERROR(VLOOKUP(A1439,[1]biopep_DB!$F$2:$L$1654,6,0),0)</f>
        <v>10.1128/AEM.69.9.5297-5305.2003</v>
      </c>
      <c r="F1439" s="1" t="str">
        <f>IFERROR(VLOOKUP(A1439,[1]biopep_DB!$F$2:$L$1654,7,0),0)</f>
        <v>12957917</v>
      </c>
      <c r="G1439" s="5">
        <v>461.47</v>
      </c>
      <c r="H1439" s="5">
        <v>4.05</v>
      </c>
      <c r="I1439" s="5">
        <v>-1.6</v>
      </c>
      <c r="J1439" s="6">
        <v>-0.875</v>
      </c>
      <c r="K1439" s="5">
        <v>-30.07</v>
      </c>
      <c r="L1439" s="6">
        <v>0.25</v>
      </c>
      <c r="M1439" s="6">
        <v>-0.185</v>
      </c>
      <c r="N1439" s="6">
        <v>0</v>
      </c>
      <c r="O1439" s="6">
        <v>0.25</v>
      </c>
      <c r="P1439" s="6">
        <v>0.5</v>
      </c>
      <c r="Q1439" s="7"/>
      <c r="R1439" s="7"/>
    </row>
    <row r="1440" spans="1:18">
      <c r="A1440" s="4" t="s">
        <v>1934</v>
      </c>
      <c r="B1440" s="4">
        <f t="shared" si="22"/>
        <v>6</v>
      </c>
      <c r="C1440" s="4" t="s">
        <v>1935</v>
      </c>
      <c r="D1440" s="1" t="str">
        <f>IFERROR(VLOOKUP(A1440,[1]biopep_DB!$F$2:$J$1654,5,0),)</f>
        <v>Angiotensin I-converting-enzyme-inhibitory and antibacterial peptides from Lactobacillus helveticus PR4 proteinase-hydrolyzed caseins of milk from six species.; A new QSAR model, for angiotensin I-converting enzyme inhibitory oligopeptides.</v>
      </c>
      <c r="E1440" s="1" t="str">
        <f>IFERROR(VLOOKUP(A1440,[1]biopep_DB!$F$2:$L$1654,6,0),0)</f>
        <v>10.1128/AEM.69.9.5297-5305.2003; 10.1016/j.foodchem.2012.09.092</v>
      </c>
      <c r="F1440" s="1" t="str">
        <f>IFERROR(VLOOKUP(A1440,[1]biopep_DB!$F$2:$L$1654,7,0),0)</f>
        <v>12957917 23194537</v>
      </c>
      <c r="G1440" s="5">
        <v>726.74</v>
      </c>
      <c r="H1440" s="5">
        <v>5.05</v>
      </c>
      <c r="I1440" s="5">
        <v>-1.51</v>
      </c>
      <c r="J1440" s="6">
        <v>-1.7</v>
      </c>
      <c r="K1440" s="5">
        <v>-16.72</v>
      </c>
      <c r="L1440" s="6">
        <v>0.1667</v>
      </c>
      <c r="M1440" s="6">
        <v>0.2683</v>
      </c>
      <c r="N1440" s="6">
        <v>0</v>
      </c>
      <c r="O1440" s="6">
        <v>0.1667</v>
      </c>
      <c r="P1440" s="6">
        <v>0.3333</v>
      </c>
      <c r="Q1440" s="7"/>
      <c r="R1440" s="7"/>
    </row>
    <row r="1441" spans="1:18">
      <c r="A1441" s="4" t="s">
        <v>1936</v>
      </c>
      <c r="B1441" s="4">
        <f t="shared" si="22"/>
        <v>4</v>
      </c>
      <c r="C1441" s="4" t="s">
        <v>1937</v>
      </c>
      <c r="D1441" s="1" t="str">
        <f>IFERROR(VLOOKUP(A1441,[1]biopep_DB!$F$2:$J$1654,5,0),)</f>
        <v>Preparation and characterization of novel bioactive peptides responsible for angiotensin I-converting enzyme inhibition from wheat germ.</v>
      </c>
      <c r="E1441" s="1" t="str">
        <f>IFERROR(VLOOKUP(A1441,[1]biopep_DB!$F$2:$L$1654,6,0),0)</f>
        <v>10.1002/(SICI)1099-1387(199907)5:7&lt;289::AID-PSC196&gt;3.0.CO;2-6</v>
      </c>
      <c r="F1441" s="1" t="str">
        <f>IFERROR(VLOOKUP(A1441,[1]biopep_DB!$F$2:$L$1654,7,0),0)</f>
        <v>10442764</v>
      </c>
      <c r="G1441" s="5">
        <v>478.54</v>
      </c>
      <c r="H1441" s="5">
        <v>5.18</v>
      </c>
      <c r="I1441" s="5">
        <v>-0.6</v>
      </c>
      <c r="J1441" s="6">
        <v>0.15</v>
      </c>
      <c r="K1441" s="5">
        <v>55.65</v>
      </c>
      <c r="L1441" s="6">
        <v>0.5</v>
      </c>
      <c r="M1441" s="6">
        <v>-0.91</v>
      </c>
      <c r="N1441" s="6">
        <v>0</v>
      </c>
      <c r="O1441" s="6">
        <v>0.25</v>
      </c>
      <c r="P1441" s="6">
        <v>0.75</v>
      </c>
      <c r="Q1441" s="7"/>
      <c r="R1441" s="7"/>
    </row>
    <row r="1442" spans="1:18">
      <c r="A1442" s="4" t="s">
        <v>1938</v>
      </c>
      <c r="B1442" s="4">
        <f t="shared" si="22"/>
        <v>5</v>
      </c>
      <c r="C1442" s="4" t="s">
        <v>183</v>
      </c>
      <c r="D1442" s="1" t="str">
        <f>IFERROR(VLOOKUP(A1442,[1]biopep_DB!$F$2:$J$1654,5,0),)</f>
        <v>A new QSAR model, for angiotensin I-converting enzyme inhibitory oligopeptides.</v>
      </c>
      <c r="E1442" s="1" t="str">
        <f>IFERROR(VLOOKUP(A1442,[1]biopep_DB!$F$2:$L$1654,6,0),0)</f>
        <v>10.1016/j.foodchem.2012.09.092</v>
      </c>
      <c r="F1442" s="1" t="str">
        <f>IFERROR(VLOOKUP(A1442,[1]biopep_DB!$F$2:$L$1654,7,0),0)</f>
        <v>23194537</v>
      </c>
      <c r="G1442" s="5">
        <v>471.55</v>
      </c>
      <c r="H1442" s="5">
        <v>5.18</v>
      </c>
      <c r="I1442" s="5">
        <v>-0.6</v>
      </c>
      <c r="J1442" s="6">
        <v>1.14</v>
      </c>
      <c r="K1442" s="5">
        <v>46.52</v>
      </c>
      <c r="L1442" s="6">
        <v>0.6</v>
      </c>
      <c r="M1442" s="6">
        <v>-1.752</v>
      </c>
      <c r="N1442" s="6">
        <v>0</v>
      </c>
      <c r="O1442" s="6">
        <v>0.4</v>
      </c>
      <c r="P1442" s="6">
        <v>0.6</v>
      </c>
      <c r="Q1442" s="7"/>
      <c r="R1442" s="7"/>
    </row>
    <row r="1443" spans="1:18">
      <c r="A1443" s="4" t="s">
        <v>1939</v>
      </c>
      <c r="B1443" s="4">
        <f t="shared" si="22"/>
        <v>3</v>
      </c>
      <c r="C1443" s="4" t="s">
        <v>36</v>
      </c>
      <c r="D1443" s="1" t="str">
        <f>IFERROR(VLOOKUP(A1443,[1]biopep_DB!$F$2:$J$1654,5,0),)</f>
        <v>Structural requirements of Angiotensin I-converting enzyme inhibitory peptides: quantitative structure-activity relationship study of di- and tripeptides.; What are the ideal properties for functional food peptides with antihypertensive effect? A computational peptidology approach.</v>
      </c>
      <c r="E1443" s="1" t="str">
        <f>IFERROR(VLOOKUP(A1443,[1]biopep_DB!$F$2:$L$1654,6,0),0)</f>
        <v>10.1021/jf051263l; 10.1016/j.foodchem.2013.05.140</v>
      </c>
      <c r="F1443" s="1" t="str">
        <f>IFERROR(VLOOKUP(A1443,[1]biopep_DB!$F$2:$L$1654,7,0),0)</f>
        <v>16448176 23871047</v>
      </c>
      <c r="G1443" s="5">
        <v>381.42</v>
      </c>
      <c r="H1443" s="5">
        <v>5.18</v>
      </c>
      <c r="I1443" s="5">
        <v>-0.6</v>
      </c>
      <c r="J1443" s="6">
        <v>0.7333</v>
      </c>
      <c r="K1443" s="5">
        <v>-18.47</v>
      </c>
      <c r="L1443" s="6">
        <v>0.3333</v>
      </c>
      <c r="M1443" s="6">
        <v>-1.2133</v>
      </c>
      <c r="N1443" s="6">
        <v>0</v>
      </c>
      <c r="O1443" s="6">
        <v>0</v>
      </c>
      <c r="P1443" s="6">
        <v>1</v>
      </c>
      <c r="Q1443" s="7"/>
      <c r="R1443" s="7"/>
    </row>
    <row r="1444" spans="1:18">
      <c r="A1444" s="4" t="s">
        <v>1940</v>
      </c>
      <c r="B1444" s="4">
        <f t="shared" si="22"/>
        <v>10</v>
      </c>
      <c r="C1444" s="4" t="s">
        <v>1641</v>
      </c>
      <c r="D1444" s="1" t="str">
        <f>IFERROR(VLOOKUP(A1444,[1]biopep_DB!$F$2:$J$1654,5,0),)</f>
        <v>Inhibition of angiotensin-converting enzyme by synthetic peptide fragments of various beta-caseins.</v>
      </c>
      <c r="E1444" s="1" t="str">
        <f>IFERROR(VLOOKUP(A1444,[1]biopep_DB!$F$2:$L$1654,6,0),0)</f>
        <v/>
      </c>
      <c r="F1444" s="1" t="str">
        <f>IFERROR(VLOOKUP(A1444,[1]biopep_DB!$F$2:$L$1654,7,0),0)</f>
        <v>1368548</v>
      </c>
      <c r="G1444" s="5">
        <v>1151.38</v>
      </c>
      <c r="H1444" s="5">
        <v>9.99</v>
      </c>
      <c r="I1444" s="5">
        <v>1.4</v>
      </c>
      <c r="J1444" s="6">
        <v>-0.28</v>
      </c>
      <c r="K1444" s="5">
        <v>28.42</v>
      </c>
      <c r="L1444" s="6">
        <v>0.4</v>
      </c>
      <c r="M1444" s="6">
        <v>-0.641</v>
      </c>
      <c r="N1444" s="6">
        <v>0.2</v>
      </c>
      <c r="O1444" s="6">
        <v>0.2</v>
      </c>
      <c r="P1444" s="6">
        <v>0.5</v>
      </c>
      <c r="Q1444" s="7"/>
      <c r="R1444" s="7"/>
    </row>
    <row r="1445" spans="1:18">
      <c r="A1445" s="4" t="s">
        <v>1941</v>
      </c>
      <c r="B1445" s="4">
        <f t="shared" si="22"/>
        <v>4</v>
      </c>
      <c r="C1445" s="4" t="s">
        <v>1186</v>
      </c>
      <c r="D1445" s="1" t="str">
        <f>IFERROR(VLOOKUP(A1445,[1]biopep_DB!$F$2:$J$1654,5,0),)</f>
        <v/>
      </c>
      <c r="E1445" s="1" t="str">
        <f>IFERROR(VLOOKUP(A1445,[1]biopep_DB!$F$2:$L$1654,6,0),0)</f>
        <v/>
      </c>
      <c r="F1445" s="1" t="str">
        <f>IFERROR(VLOOKUP(A1445,[1]biopep_DB!$F$2:$L$1654,7,0),0)</f>
        <v/>
      </c>
      <c r="G1445" s="5">
        <v>513.56</v>
      </c>
      <c r="H1445" s="5">
        <v>5.18</v>
      </c>
      <c r="I1445" s="5">
        <v>-0.61</v>
      </c>
      <c r="J1445" s="6">
        <v>-0.75</v>
      </c>
      <c r="K1445" s="5">
        <v>-11.35</v>
      </c>
      <c r="L1445" s="6">
        <v>0</v>
      </c>
      <c r="M1445" s="6">
        <v>0.12</v>
      </c>
      <c r="N1445" s="6">
        <v>0</v>
      </c>
      <c r="O1445" s="6">
        <v>0</v>
      </c>
      <c r="P1445" s="6">
        <v>0.5</v>
      </c>
      <c r="Q1445" s="7"/>
      <c r="R1445" s="7"/>
    </row>
    <row r="1446" spans="1:18">
      <c r="A1446" s="4" t="s">
        <v>1942</v>
      </c>
      <c r="B1446" s="4">
        <f t="shared" si="22"/>
        <v>5</v>
      </c>
      <c r="C1446" s="4" t="s">
        <v>633</v>
      </c>
      <c r="D1446" s="1" t="str">
        <f>IFERROR(VLOOKUP(A1446,[1]biopep_DB!$F$2:$J$1654,5,0),)</f>
        <v>Inhibition strength of short peptides derived from an ACE inhibitory peptide.; A new QSAR model, for angiotensin I-converting enzyme inhibitory oligopeptides.</v>
      </c>
      <c r="E1446" s="1" t="str">
        <f>IFERROR(VLOOKUP(A1446,[1]biopep_DB!$F$2:$L$1654,6,0),0)</f>
        <v>10.1021/jf202902r; 10.1016/j.foodchem.2012.09.092</v>
      </c>
      <c r="F1446" s="1" t="str">
        <f>IFERROR(VLOOKUP(A1446,[1]biopep_DB!$F$2:$L$1654,7,0),0)</f>
        <v>21923188 23194537</v>
      </c>
      <c r="G1446" s="5">
        <v>539.58</v>
      </c>
      <c r="H1446" s="5">
        <v>5.18</v>
      </c>
      <c r="I1446" s="5">
        <v>-0.6</v>
      </c>
      <c r="J1446" s="6">
        <v>0.12</v>
      </c>
      <c r="K1446" s="5">
        <v>8</v>
      </c>
      <c r="L1446" s="6">
        <v>0.2</v>
      </c>
      <c r="M1446" s="6">
        <v>-0.924</v>
      </c>
      <c r="N1446" s="6">
        <v>0.2</v>
      </c>
      <c r="O1446" s="6">
        <v>0.4</v>
      </c>
      <c r="P1446" s="6">
        <v>0.6</v>
      </c>
      <c r="Q1446" s="7"/>
      <c r="R1446" s="7"/>
    </row>
    <row r="1447" spans="1:18">
      <c r="A1447" s="4" t="s">
        <v>1943</v>
      </c>
      <c r="B1447" s="4">
        <f t="shared" si="22"/>
        <v>2</v>
      </c>
      <c r="C1447" s="4"/>
      <c r="D1447" s="1" t="str">
        <f>IFERROR(VLOOKUP(A1447,[1]biopep_DB!$F$2:$J$1654,5,0),)</f>
        <v>Three-dimensional holograph vector of atomic interaction field (3D-HoVAIF): a novel rotation-translation invariant 3D structure descriptor and its applications to peptides.</v>
      </c>
      <c r="E1447" s="1" t="str">
        <f>IFERROR(VLOOKUP(A1447,[1]biopep_DB!$F$2:$L$1654,6,0),0)</f>
        <v>10.1002/psc.892</v>
      </c>
      <c r="F1447" s="1" t="str">
        <f>IFERROR(VLOOKUP(A1447,[1]biopep_DB!$F$2:$L$1654,7,0),0)</f>
        <v>17654623</v>
      </c>
      <c r="G1447" s="5">
        <v>188.22</v>
      </c>
      <c r="H1447" s="5">
        <v>5.49</v>
      </c>
      <c r="I1447" s="5">
        <v>-0.27</v>
      </c>
      <c r="J1447" s="6">
        <v>3</v>
      </c>
      <c r="K1447" s="5">
        <v>5</v>
      </c>
      <c r="L1447" s="6">
        <v>1</v>
      </c>
      <c r="M1447" s="6">
        <v>-2.925</v>
      </c>
      <c r="N1447" s="6">
        <v>0.5</v>
      </c>
      <c r="O1447" s="6">
        <v>0</v>
      </c>
      <c r="P1447" s="6">
        <v>0.5</v>
      </c>
      <c r="Q1447" s="7"/>
      <c r="R1447" s="7"/>
    </row>
    <row r="1448" spans="1:18">
      <c r="A1448" s="4" t="s">
        <v>1944</v>
      </c>
      <c r="B1448" s="4">
        <f t="shared" si="22"/>
        <v>3</v>
      </c>
      <c r="C1448" s="4" t="s">
        <v>166</v>
      </c>
      <c r="D1448" s="1" t="str">
        <f>IFERROR(VLOOKUP(A1448,[1]biopep_DB!$F$2:$J$1654,5,0),)</f>
        <v>Structures and activity of angiotensin-converting enzyme inhibitors in an alpha-zein hydrolysate.; Bioactive peptides in amaranth (Amaranthus hypochondriacus) seed.; Cellular membrane disruption by amyloid fibrils involved intermolecular disulfide cross-linking.; What are the ideal properties for functional food peptides with antihypertensive effect? A computational peptidology approach.</v>
      </c>
      <c r="E1448" s="1" t="str">
        <f>IFERROR(VLOOKUP(A1448,[1]biopep_DB!$F$2:$L$1654,6,0),0)</f>
        <v>10.1021/jf072911z; 10.1021/bi900219c; 10.1016/j.foodchem.2013.05.140</v>
      </c>
      <c r="F1448" s="1" t="str">
        <f>IFERROR(VLOOKUP(A1448,[1]biopep_DB!$F$2:$L$1654,7,0),0)</f>
        <v>1368684 18211015 19449893 23871047</v>
      </c>
      <c r="G1448" s="5">
        <v>259.3</v>
      </c>
      <c r="H1448" s="5">
        <v>5.49</v>
      </c>
      <c r="I1448" s="5">
        <v>-0.27</v>
      </c>
      <c r="J1448" s="6">
        <v>2.6</v>
      </c>
      <c r="K1448" s="5">
        <v>6.67</v>
      </c>
      <c r="L1448" s="6">
        <v>1</v>
      </c>
      <c r="M1448" s="6">
        <v>-2.5533</v>
      </c>
      <c r="N1448" s="6">
        <v>0.6667</v>
      </c>
      <c r="O1448" s="6">
        <v>0</v>
      </c>
      <c r="P1448" s="6">
        <v>0.3333</v>
      </c>
      <c r="Q1448" s="7"/>
      <c r="R1448" s="7"/>
    </row>
    <row r="1449" spans="1:18">
      <c r="A1449" s="4" t="s">
        <v>1945</v>
      </c>
      <c r="B1449" s="4">
        <f t="shared" si="22"/>
        <v>8</v>
      </c>
      <c r="C1449" s="4" t="s">
        <v>1946</v>
      </c>
      <c r="D1449" s="1" t="str">
        <f>IFERROR(VLOOKUP(A1449,[1]biopep_DB!$F$2:$J$1654,5,0),)</f>
        <v>A new QSAR model, for angiotensin I-converting enzyme inhibitory oligopeptides.</v>
      </c>
      <c r="E1449" s="1" t="str">
        <f>IFERROR(VLOOKUP(A1449,[1]biopep_DB!$F$2:$L$1654,6,0),0)</f>
        <v>10.1016/j.foodchem.2012.09.092</v>
      </c>
      <c r="F1449" s="1" t="str">
        <f>IFERROR(VLOOKUP(A1449,[1]biopep_DB!$F$2:$L$1654,7,0),0)</f>
        <v>23194537</v>
      </c>
      <c r="G1449" s="5">
        <v>849.97</v>
      </c>
      <c r="H1449" s="5">
        <v>5.81</v>
      </c>
      <c r="I1449" s="5">
        <v>-0.27</v>
      </c>
      <c r="J1449" s="6">
        <v>0.6625</v>
      </c>
      <c r="K1449" s="5">
        <v>-32.51</v>
      </c>
      <c r="L1449" s="6">
        <v>0.5</v>
      </c>
      <c r="M1449" s="6">
        <v>-1.4337</v>
      </c>
      <c r="N1449" s="6">
        <v>0.25</v>
      </c>
      <c r="O1449" s="6">
        <v>0.25</v>
      </c>
      <c r="P1449" s="6">
        <v>0.5</v>
      </c>
      <c r="Q1449" s="7"/>
      <c r="R1449" s="7"/>
    </row>
    <row r="1450" spans="1:18">
      <c r="A1450" s="4" t="s">
        <v>1947</v>
      </c>
      <c r="B1450" s="4">
        <f t="shared" si="22"/>
        <v>3</v>
      </c>
      <c r="C1450" s="4" t="s">
        <v>1948</v>
      </c>
      <c r="D1450" s="1" t="str">
        <f>IFERROR(VLOOKUP(A1450,[1]biopep_DB!$F$2:$J$1654,5,0),)</f>
        <v>Review on the angiotensin-I-converting enzyme (ACE) inhibitor peptides from marine proteins.; Vegetable foods: a cheap source of proteins and peptides with antihypertensive, antioxidant, and other less occurrence bioactivities.</v>
      </c>
      <c r="E1450" s="1" t="str">
        <f>IFERROR(VLOOKUP(A1450,[1]biopep_DB!$F$2:$L$1654,6,0),0)</f>
        <v>10.1007/s12010-012-0024-y; 10.1016/j.talanta.2012.12.041</v>
      </c>
      <c r="F1450" s="1" t="str">
        <f>IFERROR(VLOOKUP(A1450,[1]biopep_DB!$F$2:$L$1654,7,0),0)</f>
        <v>23271625 23598136</v>
      </c>
      <c r="G1450" s="5">
        <v>335.4</v>
      </c>
      <c r="H1450" s="5">
        <v>5.49</v>
      </c>
      <c r="I1450" s="5">
        <v>-0.27</v>
      </c>
      <c r="J1450" s="6">
        <v>2.9333</v>
      </c>
      <c r="K1450" s="5">
        <v>6.67</v>
      </c>
      <c r="L1450" s="6">
        <v>1</v>
      </c>
      <c r="M1450" s="6">
        <v>-2.9433</v>
      </c>
      <c r="N1450" s="6">
        <v>0.3333</v>
      </c>
      <c r="O1450" s="6">
        <v>0</v>
      </c>
      <c r="P1450" s="6">
        <v>0.6667</v>
      </c>
      <c r="Q1450" s="7"/>
      <c r="R1450" s="7"/>
    </row>
    <row r="1451" spans="1:18">
      <c r="A1451" s="4" t="s">
        <v>1949</v>
      </c>
      <c r="B1451" s="4">
        <f t="shared" si="22"/>
        <v>5</v>
      </c>
      <c r="C1451" s="4" t="s">
        <v>1950</v>
      </c>
      <c r="D1451" s="1" t="str">
        <f>IFERROR(VLOOKUP(A1451,[1]biopep_DB!$F$2:$J$1654,5,0),)</f>
        <v>Angiotensin I-converting enzyme inhibitory properties of whey protein digests: concentration and characterization of active peptides.; A new QSAR model, for angiotensin I-converting enzyme inhibitory oligopeptides.</v>
      </c>
      <c r="E1451" s="1" t="str">
        <f>IFERROR(VLOOKUP(A1451,[1]biopep_DB!$F$2:$L$1654,6,0),0)</f>
        <v>10.1017/s0022029999003982; 10.1016/j.foodchem.2012.09.092</v>
      </c>
      <c r="F1451" s="1" t="str">
        <f>IFERROR(VLOOKUP(A1451,[1]biopep_DB!$F$2:$L$1654,7,0),0)</f>
        <v>10717843 23194537</v>
      </c>
      <c r="G1451" s="5">
        <v>532.59</v>
      </c>
      <c r="H1451" s="5">
        <v>5.49</v>
      </c>
      <c r="I1451" s="5">
        <v>-0.27</v>
      </c>
      <c r="J1451" s="6">
        <v>0.8</v>
      </c>
      <c r="K1451" s="5">
        <v>-39.04</v>
      </c>
      <c r="L1451" s="6">
        <v>0.6</v>
      </c>
      <c r="M1451" s="6">
        <v>-1.772</v>
      </c>
      <c r="N1451" s="6">
        <v>0.2</v>
      </c>
      <c r="O1451" s="6">
        <v>0.2</v>
      </c>
      <c r="P1451" s="6">
        <v>0.6</v>
      </c>
      <c r="Q1451" s="7"/>
      <c r="R1451" s="7"/>
    </row>
    <row r="1452" spans="1:18">
      <c r="A1452" s="4" t="s">
        <v>1951</v>
      </c>
      <c r="B1452" s="4">
        <f t="shared" si="22"/>
        <v>6</v>
      </c>
      <c r="C1452" s="4" t="s">
        <v>1952</v>
      </c>
      <c r="D1452" s="1" t="str">
        <f>IFERROR(VLOOKUP(A1452,[1]biopep_DB!$F$2:$J$1654,5,0),)</f>
        <v>Quality and acceptability of a set-type yogurt made from camel milk.; A new QSAR model, for angiotensin I-converting enzyme inhibitory oligopeptides.</v>
      </c>
      <c r="E1452" s="1" t="str">
        <f>IFERROR(VLOOKUP(A1452,[1]biopep_DB!$F$2:$L$1654,6,0),0)</f>
        <v>10.3168/jds.2008-1408; 10.1016/j.foodchem.2012.09.092</v>
      </c>
      <c r="F1452" s="1" t="str">
        <f>IFERROR(VLOOKUP(A1452,[1]biopep_DB!$F$2:$L$1654,7,0),0)</f>
        <v>19233778 23194537</v>
      </c>
      <c r="G1452" s="5">
        <v>695.76</v>
      </c>
      <c r="H1452" s="5">
        <v>5.49</v>
      </c>
      <c r="I1452" s="5">
        <v>-0.27</v>
      </c>
      <c r="J1452" s="6">
        <v>0.45</v>
      </c>
      <c r="K1452" s="5">
        <v>-30.87</v>
      </c>
      <c r="L1452" s="6">
        <v>0.5</v>
      </c>
      <c r="M1452" s="6">
        <v>-1.4533</v>
      </c>
      <c r="N1452" s="6">
        <v>0.1667</v>
      </c>
      <c r="O1452" s="6">
        <v>0.1667</v>
      </c>
      <c r="P1452" s="6">
        <v>0.6667</v>
      </c>
      <c r="Q1452" s="7"/>
      <c r="R1452" s="7"/>
    </row>
    <row r="1453" spans="1:18">
      <c r="A1453" s="4" t="s">
        <v>1953</v>
      </c>
      <c r="B1453" s="4">
        <f t="shared" si="22"/>
        <v>8</v>
      </c>
      <c r="C1453" s="4" t="s">
        <v>581</v>
      </c>
      <c r="D1453" s="1" t="str">
        <f>IFERROR(VLOOKUP(A1453,[1]biopep_DB!$F$2:$J$1654,5,0),)</f>
        <v>A new QSAR model, for angiotensin I-converting enzyme inhibitory oligopeptides.</v>
      </c>
      <c r="E1453" s="1" t="str">
        <f>IFERROR(VLOOKUP(A1453,[1]biopep_DB!$F$2:$L$1654,6,0),0)</f>
        <v>10.1016/j.foodchem.2012.09.092</v>
      </c>
      <c r="F1453" s="1" t="str">
        <f>IFERROR(VLOOKUP(A1453,[1]biopep_DB!$F$2:$L$1654,7,0),0)</f>
        <v>23194537</v>
      </c>
      <c r="G1453" s="5">
        <v>836.98</v>
      </c>
      <c r="H1453" s="5">
        <v>8.73</v>
      </c>
      <c r="I1453" s="5">
        <v>0.82</v>
      </c>
      <c r="J1453" s="6">
        <v>0.4625</v>
      </c>
      <c r="K1453" s="5">
        <v>31.84</v>
      </c>
      <c r="L1453" s="6">
        <v>0.5</v>
      </c>
      <c r="M1453" s="6">
        <v>-1.445</v>
      </c>
      <c r="N1453" s="6">
        <v>0.25</v>
      </c>
      <c r="O1453" s="6">
        <v>0.25</v>
      </c>
      <c r="P1453" s="6">
        <v>0.375</v>
      </c>
      <c r="Q1453" s="7"/>
      <c r="R1453" s="7"/>
    </row>
    <row r="1454" spans="1:18">
      <c r="A1454" s="4" t="s">
        <v>1954</v>
      </c>
      <c r="B1454" s="4">
        <f t="shared" si="22"/>
        <v>8</v>
      </c>
      <c r="C1454" s="4" t="s">
        <v>1955</v>
      </c>
      <c r="D1454" s="1" t="str">
        <f>IFERROR(VLOOKUP(A1454,[1]biopep_DB!$F$2:$J$1654,5,0),)</f>
        <v>A new QSAR model, for angiotensin I-converting enzyme inhibitory oligopeptides.</v>
      </c>
      <c r="E1454" s="1" t="str">
        <f>IFERROR(VLOOKUP(A1454,[1]biopep_DB!$F$2:$L$1654,6,0),0)</f>
        <v>10.1016/j.foodchem.2012.09.092</v>
      </c>
      <c r="F1454" s="1" t="str">
        <f>IFERROR(VLOOKUP(A1454,[1]biopep_DB!$F$2:$L$1654,7,0),0)</f>
        <v>23194537</v>
      </c>
      <c r="G1454" s="5">
        <v>966.14</v>
      </c>
      <c r="H1454" s="5">
        <v>8.73</v>
      </c>
      <c r="I1454" s="5">
        <v>0.82</v>
      </c>
      <c r="J1454" s="6">
        <v>0.4</v>
      </c>
      <c r="K1454" s="5">
        <v>53.06</v>
      </c>
      <c r="L1454" s="6">
        <v>0.625</v>
      </c>
      <c r="M1454" s="6">
        <v>-1.6187</v>
      </c>
      <c r="N1454" s="6">
        <v>0.25</v>
      </c>
      <c r="O1454" s="6">
        <v>0.125</v>
      </c>
      <c r="P1454" s="6">
        <v>0.5</v>
      </c>
      <c r="Q1454" s="7"/>
      <c r="R1454" s="7"/>
    </row>
    <row r="1455" spans="1:18">
      <c r="A1455" s="4" t="s">
        <v>1956</v>
      </c>
      <c r="B1455" s="4">
        <f t="shared" si="22"/>
        <v>4</v>
      </c>
      <c r="C1455" s="4" t="s">
        <v>1957</v>
      </c>
      <c r="D1455" s="1" t="str">
        <f>IFERROR(VLOOKUP(A1455,[1]biopep_DB!$F$2:$J$1654,5,0),)</f>
        <v>Vegetable foods: a cheap source of proteins and peptides with antihypertensive, antioxidant, and other less occurrence bioactivities.</v>
      </c>
      <c r="E1455" s="1" t="str">
        <f>IFERROR(VLOOKUP(A1455,[1]biopep_DB!$F$2:$L$1654,6,0),0)</f>
        <v>10.1016/j.talanta.2012.12.041</v>
      </c>
      <c r="F1455" s="1" t="str">
        <f>IFERROR(VLOOKUP(A1455,[1]biopep_DB!$F$2:$L$1654,7,0),0)</f>
        <v>23598136</v>
      </c>
      <c r="G1455" s="5">
        <v>417.41</v>
      </c>
      <c r="H1455" s="5">
        <v>4.3</v>
      </c>
      <c r="I1455" s="5">
        <v>-1.26</v>
      </c>
      <c r="J1455" s="6">
        <v>-0.25</v>
      </c>
      <c r="K1455" s="5">
        <v>7.5</v>
      </c>
      <c r="L1455" s="6">
        <v>0.5</v>
      </c>
      <c r="M1455" s="6">
        <v>-0.6375</v>
      </c>
      <c r="N1455" s="6">
        <v>0.25</v>
      </c>
      <c r="O1455" s="6">
        <v>0.5</v>
      </c>
      <c r="P1455" s="6">
        <v>0.25</v>
      </c>
      <c r="Q1455" s="7"/>
      <c r="R1455" s="7"/>
    </row>
    <row r="1456" spans="1:18">
      <c r="A1456" s="4" t="s">
        <v>1958</v>
      </c>
      <c r="B1456" s="4">
        <f t="shared" si="22"/>
        <v>3</v>
      </c>
      <c r="C1456" s="4" t="s">
        <v>1959</v>
      </c>
      <c r="D1456" s="1" t="str">
        <f>IFERROR(VLOOKUP(A1456,[1]biopep_DB!$F$2:$J$1654,5,0),)</f>
        <v>Structural requirements of Angiotensin I-converting enzyme inhibitory peptides: quantitative structure-activity relationship study of di- and tripeptides.; Bioactive peptides in amaranth (Amaranthus hypochondriacus) seed.; Vegetable foods: a cheap source of proteins and peptides with antihypertensive, antioxidant, and other less occurrence bioactivities.; What are the ideal properties for functional food peptides with antihypertensive effect? A computational peptidology approach.; Glycinyl-histidinyl-serine (GHS), a novel rapeseed protein-derived peptide has blood pressure-lowering effect in spontaneously hypertensive rats.</v>
      </c>
      <c r="E1456" s="1" t="str">
        <f>IFERROR(VLOOKUP(A1456,[1]biopep_DB!$F$2:$L$1654,6,0),0)</f>
        <v>10.1021/jf051263l; 10.1021/jf072911z; 10.1016/j.talanta.2012.12.041; 10.1016/j.foodchem.2013.05.140; 10.1021/jf400865m</v>
      </c>
      <c r="F1456" s="1" t="str">
        <f>IFERROR(VLOOKUP(A1456,[1]biopep_DB!$F$2:$L$1654,7,0),0)</f>
        <v>16448176 18211015 23598136 23871047 23919612</v>
      </c>
      <c r="G1456" s="5">
        <v>285.34</v>
      </c>
      <c r="H1456" s="5">
        <v>5.49</v>
      </c>
      <c r="I1456" s="5">
        <v>-0.27</v>
      </c>
      <c r="J1456" s="6">
        <v>1.4667</v>
      </c>
      <c r="K1456" s="5">
        <v>70.87</v>
      </c>
      <c r="L1456" s="6">
        <v>1</v>
      </c>
      <c r="M1456" s="6">
        <v>-1.95</v>
      </c>
      <c r="N1456" s="6">
        <v>0.3333</v>
      </c>
      <c r="O1456" s="6">
        <v>0.3333</v>
      </c>
      <c r="P1456" s="6">
        <v>0.3333</v>
      </c>
      <c r="Q1456" s="7"/>
      <c r="R1456" s="7"/>
    </row>
    <row r="1457" spans="1:18">
      <c r="A1457" s="4" t="s">
        <v>1960</v>
      </c>
      <c r="B1457" s="4">
        <f t="shared" si="22"/>
        <v>8</v>
      </c>
      <c r="C1457" s="4"/>
      <c r="D1457" s="1" t="str">
        <f>IFERROR(VLOOKUP(A1457,[1]biopep_DB!$F$2:$J$1654,5,0),)</f>
        <v>Angiotensin I-converting enzyme inhibitory peptides generated from in vitro gastrointestinal digestion of pork meat.</v>
      </c>
      <c r="E1457" s="1" t="str">
        <f>IFERROR(VLOOKUP(A1457,[1]biopep_DB!$F$2:$L$1654,6,0),0)</f>
        <v>10.1021/jf904204n</v>
      </c>
      <c r="F1457" s="1" t="str">
        <f>IFERROR(VLOOKUP(A1457,[1]biopep_DB!$F$2:$L$1654,7,0),0)</f>
        <v>20151679</v>
      </c>
      <c r="G1457" s="5">
        <v>878.93</v>
      </c>
      <c r="H1457" s="5">
        <v>4.51</v>
      </c>
      <c r="I1457" s="5">
        <v>-2.17</v>
      </c>
      <c r="J1457" s="6">
        <v>-1.0125</v>
      </c>
      <c r="K1457" s="5">
        <v>82.28</v>
      </c>
      <c r="L1457" s="6">
        <v>0.5</v>
      </c>
      <c r="M1457" s="6">
        <v>-0.165</v>
      </c>
      <c r="N1457" s="6">
        <v>0.375</v>
      </c>
      <c r="O1457" s="6">
        <v>0.25</v>
      </c>
      <c r="P1457" s="6">
        <v>0.25</v>
      </c>
      <c r="Q1457" s="7"/>
      <c r="R1457" s="7"/>
    </row>
    <row r="1458" spans="1:18">
      <c r="A1458" s="4" t="s">
        <v>1961</v>
      </c>
      <c r="B1458" s="4">
        <f t="shared" si="22"/>
        <v>8</v>
      </c>
      <c r="C1458" s="4"/>
      <c r="G1458" s="5">
        <v>876.95</v>
      </c>
      <c r="H1458" s="5">
        <v>4.51</v>
      </c>
      <c r="I1458" s="5">
        <v>-2.17</v>
      </c>
      <c r="J1458" s="6">
        <v>-0.4</v>
      </c>
      <c r="K1458" s="5">
        <v>106.35</v>
      </c>
      <c r="L1458" s="6">
        <v>0.625</v>
      </c>
      <c r="M1458" s="6">
        <v>-0.7025</v>
      </c>
      <c r="N1458" s="6">
        <v>0.375</v>
      </c>
      <c r="O1458" s="6">
        <v>0.25</v>
      </c>
      <c r="P1458" s="6">
        <v>0.25</v>
      </c>
      <c r="Q1458" s="7"/>
      <c r="R1458" s="7"/>
    </row>
    <row r="1459" spans="1:18">
      <c r="A1459" s="4" t="s">
        <v>1962</v>
      </c>
      <c r="B1459" s="4">
        <f t="shared" si="22"/>
        <v>7</v>
      </c>
      <c r="C1459" s="4"/>
      <c r="D1459" s="1" t="str">
        <f>IFERROR(VLOOKUP(A1459,[1]biopep_DB!$F$2:$J$1654,5,0),)</f>
        <v/>
      </c>
      <c r="E1459" s="1" t="str">
        <f>IFERROR(VLOOKUP(A1459,[1]biopep_DB!$F$2:$L$1654,6,0),0)</f>
        <v/>
      </c>
      <c r="F1459" s="1" t="str">
        <f>IFERROR(VLOOKUP(A1459,[1]biopep_DB!$F$2:$L$1654,7,0),0)</f>
        <v/>
      </c>
      <c r="G1459" s="5">
        <v>757.87</v>
      </c>
      <c r="H1459" s="5">
        <v>4.05</v>
      </c>
      <c r="I1459" s="5">
        <v>-1.26</v>
      </c>
      <c r="J1459" s="6">
        <v>0.9</v>
      </c>
      <c r="K1459" s="5">
        <v>115.94</v>
      </c>
      <c r="L1459" s="6">
        <v>0.8571</v>
      </c>
      <c r="M1459" s="6">
        <v>-1.6043</v>
      </c>
      <c r="N1459" s="6">
        <v>0.2857</v>
      </c>
      <c r="O1459" s="6">
        <v>0.2857</v>
      </c>
      <c r="P1459" s="6">
        <v>0.4286</v>
      </c>
      <c r="Q1459" s="7"/>
      <c r="R1459" s="7"/>
    </row>
    <row r="1460" spans="1:18">
      <c r="A1460" s="4" t="s">
        <v>1963</v>
      </c>
      <c r="B1460" s="4">
        <f t="shared" si="22"/>
        <v>8</v>
      </c>
      <c r="C1460" s="4" t="s">
        <v>1964</v>
      </c>
      <c r="D1460" s="1" t="str">
        <f>IFERROR(VLOOKUP(A1460,[1]biopep_DB!$F$2:$J$1654,5,0),)</f>
        <v>A new QSAR model, for angiotensin I-converting enzyme inhibitory oligopeptides.</v>
      </c>
      <c r="E1460" s="1" t="str">
        <f>IFERROR(VLOOKUP(A1460,[1]biopep_DB!$F$2:$L$1654,6,0),0)</f>
        <v>10.1016/j.foodchem.2012.09.092</v>
      </c>
      <c r="F1460" s="1" t="str">
        <f>IFERROR(VLOOKUP(A1460,[1]biopep_DB!$F$2:$L$1654,7,0),0)</f>
        <v>23194537</v>
      </c>
      <c r="G1460" s="5">
        <v>905.05</v>
      </c>
      <c r="H1460" s="5">
        <v>4.05</v>
      </c>
      <c r="I1460" s="5">
        <v>-1.26</v>
      </c>
      <c r="J1460" s="6">
        <v>1.1375</v>
      </c>
      <c r="K1460" s="5">
        <v>102.7</v>
      </c>
      <c r="L1460" s="6">
        <v>0.875</v>
      </c>
      <c r="M1460" s="6">
        <v>-1.7763</v>
      </c>
      <c r="N1460" s="6">
        <v>0.25</v>
      </c>
      <c r="O1460" s="6">
        <v>0.25</v>
      </c>
      <c r="P1460" s="6">
        <v>0.5</v>
      </c>
      <c r="Q1460" s="7"/>
      <c r="R1460" s="7"/>
    </row>
    <row r="1461" spans="1:18">
      <c r="A1461" s="4" t="s">
        <v>1965</v>
      </c>
      <c r="B1461" s="4">
        <f t="shared" si="22"/>
        <v>11</v>
      </c>
      <c r="C1461" s="4"/>
      <c r="D1461" s="1" t="str">
        <f>IFERROR(VLOOKUP(A1461,[1]biopep_DB!$F$2:$J$1654,5,0),)</f>
        <v/>
      </c>
      <c r="E1461" s="1" t="str">
        <f>IFERROR(VLOOKUP(A1461,[1]biopep_DB!$F$2:$L$1654,6,0),0)</f>
        <v/>
      </c>
      <c r="F1461" s="1" t="str">
        <f>IFERROR(VLOOKUP(A1461,[1]biopep_DB!$F$2:$L$1654,7,0),0)</f>
        <v/>
      </c>
      <c r="G1461" s="5">
        <v>1219.38</v>
      </c>
      <c r="H1461" s="5">
        <v>4.86</v>
      </c>
      <c r="I1461" s="5">
        <v>-1.26</v>
      </c>
      <c r="J1461" s="6">
        <v>0.1182</v>
      </c>
      <c r="K1461" s="5">
        <v>69.7</v>
      </c>
      <c r="L1461" s="6">
        <v>0.6364</v>
      </c>
      <c r="M1461" s="6">
        <v>-1.0845</v>
      </c>
      <c r="N1461" s="6">
        <v>0.3636</v>
      </c>
      <c r="O1461" s="6">
        <v>0.2727</v>
      </c>
      <c r="P1461" s="6">
        <v>0.3636</v>
      </c>
      <c r="Q1461" s="7"/>
      <c r="R1461" s="7"/>
    </row>
    <row r="1462" spans="1:18">
      <c r="A1462" s="4" t="s">
        <v>1966</v>
      </c>
      <c r="B1462" s="4">
        <f t="shared" si="22"/>
        <v>3</v>
      </c>
      <c r="C1462" s="4" t="s">
        <v>1967</v>
      </c>
      <c r="D1462" s="1" t="str">
        <f>IFERROR(VLOOKUP(A1462,[1]biopep_DB!$F$2:$J$1654,5,0),)</f>
        <v>Inhibition of angiotensin-converting enzyme by synthetic peptide fragments of human kappa-casein.; What are the ideal properties for functional food peptides with antihypertensive effect? A computational peptidology approach.</v>
      </c>
      <c r="E1462" s="1" t="str">
        <f>IFERROR(VLOOKUP(A1462,[1]biopep_DB!$F$2:$L$1654,6,0),0)</f>
        <v>10.1016/j.foodchem.2013.05.140</v>
      </c>
      <c r="F1462" s="1" t="str">
        <f>IFERROR(VLOOKUP(A1462,[1]biopep_DB!$F$2:$L$1654,7,0),0)</f>
        <v>1368540 23871047</v>
      </c>
      <c r="G1462" s="5">
        <v>287.36</v>
      </c>
      <c r="H1462" s="5">
        <v>5.49</v>
      </c>
      <c r="I1462" s="5">
        <v>-0.27</v>
      </c>
      <c r="J1462" s="6">
        <v>3.4</v>
      </c>
      <c r="K1462" s="5">
        <v>6.67</v>
      </c>
      <c r="L1462" s="6">
        <v>1</v>
      </c>
      <c r="M1462" s="6">
        <v>-3.2967</v>
      </c>
      <c r="N1462" s="6">
        <v>0.3333</v>
      </c>
      <c r="O1462" s="6">
        <v>0</v>
      </c>
      <c r="P1462" s="6">
        <v>0.6667</v>
      </c>
      <c r="Q1462" s="7"/>
      <c r="R1462" s="7"/>
    </row>
    <row r="1463" spans="1:18">
      <c r="A1463" s="4" t="s">
        <v>1968</v>
      </c>
      <c r="B1463" s="4">
        <f t="shared" si="22"/>
        <v>3</v>
      </c>
      <c r="C1463" s="4" t="s">
        <v>1969</v>
      </c>
      <c r="D1463" s="1" t="str">
        <f>IFERROR(VLOOKUP(A1463,[1]biopep_DB!$F$2:$J$1654,5,0),)</f>
        <v>ACE inhibitory peptides and antioxidant peptides derived from in vitro digestion hydrolysate of hen egg white lysozyme.</v>
      </c>
      <c r="E1463" s="1" t="str">
        <f>IFERROR(VLOOKUP(A1463,[1]biopep_DB!$F$2:$L$1654,6,0),0)</f>
        <v>10.1016/j.foodchem.2012.05.059</v>
      </c>
      <c r="F1463" s="1" t="str">
        <f>IFERROR(VLOOKUP(A1463,[1]biopep_DB!$F$2:$L$1654,7,0),0)</f>
        <v>22953850</v>
      </c>
      <c r="G1463" s="5">
        <v>374.43</v>
      </c>
      <c r="H1463" s="5">
        <v>5.49</v>
      </c>
      <c r="I1463" s="5">
        <v>-0.27</v>
      </c>
      <c r="J1463" s="6">
        <v>1.7</v>
      </c>
      <c r="K1463" s="5">
        <v>6.67</v>
      </c>
      <c r="L1463" s="6">
        <v>1</v>
      </c>
      <c r="M1463" s="6">
        <v>-2.7267</v>
      </c>
      <c r="N1463" s="6">
        <v>0.3333</v>
      </c>
      <c r="O1463" s="6">
        <v>0</v>
      </c>
      <c r="P1463" s="6">
        <v>0.6667</v>
      </c>
      <c r="Q1463" s="7"/>
      <c r="R1463" s="7"/>
    </row>
    <row r="1464" spans="1:18">
      <c r="A1464" s="4" t="s">
        <v>1970</v>
      </c>
      <c r="B1464" s="4">
        <f t="shared" si="22"/>
        <v>5</v>
      </c>
      <c r="C1464" s="4" t="s">
        <v>1971</v>
      </c>
      <c r="D1464" s="1" t="str">
        <f>IFERROR(VLOOKUP(A1464,[1]biopep_DB!$F$2:$J$1654,5,0),)</f>
        <v>Effects of angiotensin I-converting enzyme inhibitory substances derived from Indonesian dried-salted fish on blood pressure of rats.; A new QSAR model, for angiotensin I-converting enzyme inhibitory oligopeptides.</v>
      </c>
      <c r="E1464" s="1" t="str">
        <f>IFERROR(VLOOKUP(A1464,[1]biopep_DB!$F$2:$L$1654,6,0),0)</f>
        <v>10.1271/bbb.59.425; 10.1016/j.foodchem.2012.09.092</v>
      </c>
      <c r="F1464" s="1" t="str">
        <f>IFERROR(VLOOKUP(A1464,[1]biopep_DB!$F$2:$L$1654,7,0),0)</f>
        <v>7766180 23194537</v>
      </c>
      <c r="G1464" s="5">
        <v>615.76</v>
      </c>
      <c r="H1464" s="5">
        <v>8.72</v>
      </c>
      <c r="I1464" s="5">
        <v>0.73</v>
      </c>
      <c r="J1464" s="6">
        <v>1</v>
      </c>
      <c r="K1464" s="5">
        <v>-8.98</v>
      </c>
      <c r="L1464" s="6">
        <v>0.8</v>
      </c>
      <c r="M1464" s="6">
        <v>-2.304</v>
      </c>
      <c r="N1464" s="6">
        <v>0.6</v>
      </c>
      <c r="O1464" s="6">
        <v>0</v>
      </c>
      <c r="P1464" s="6">
        <v>0.6</v>
      </c>
      <c r="Q1464" s="7"/>
      <c r="R1464" s="7"/>
    </row>
    <row r="1465" spans="1:18">
      <c r="A1465" s="4" t="s">
        <v>1972</v>
      </c>
      <c r="B1465" s="4">
        <f t="shared" si="22"/>
        <v>3</v>
      </c>
      <c r="C1465" s="4" t="s">
        <v>1973</v>
      </c>
      <c r="D1465" s="1" t="str">
        <f>IFERROR(VLOOKUP(A1465,[1]biopep_DB!$F$2:$J$1654,5,0),)</f>
        <v>Structures and activity of angiotensin-converting enzyme inhibitors in an alpha-zein hydrolysate.; Bioactive peptides in amaranth (Amaranthus hypochondriacus) seed.; Cellular membrane disruption by amyloid fibrils involved intermolecular disulfide cross-linking.; What are the ideal properties for functional food peptides with antihypertensive effect? A computational peptidology approach.</v>
      </c>
      <c r="E1465" s="1" t="str">
        <f>IFERROR(VLOOKUP(A1465,[1]biopep_DB!$F$2:$L$1654,6,0),0)</f>
        <v>10.1021/jf072911z; 10.1021/bi900219c; 10.1016/j.foodchem.2013.05.140</v>
      </c>
      <c r="F1465" s="1" t="str">
        <f>IFERROR(VLOOKUP(A1465,[1]biopep_DB!$F$2:$L$1654,7,0),0)</f>
        <v>1368684 18211015 19449893 23871047</v>
      </c>
      <c r="G1465" s="5">
        <v>351.4</v>
      </c>
      <c r="H1465" s="5">
        <v>5.49</v>
      </c>
      <c r="I1465" s="5">
        <v>-0.27</v>
      </c>
      <c r="J1465" s="6">
        <v>1.5667</v>
      </c>
      <c r="K1465" s="5">
        <v>6.67</v>
      </c>
      <c r="L1465" s="6">
        <v>0.6667</v>
      </c>
      <c r="M1465" s="6">
        <v>-1.9033</v>
      </c>
      <c r="N1465" s="6">
        <v>0.3333</v>
      </c>
      <c r="O1465" s="6">
        <v>0</v>
      </c>
      <c r="P1465" s="6">
        <v>0.6667</v>
      </c>
      <c r="Q1465" s="7"/>
      <c r="R1465" s="7"/>
    </row>
    <row r="1466" spans="1:18">
      <c r="A1466" s="4" t="s">
        <v>1974</v>
      </c>
      <c r="B1466" s="4">
        <f t="shared" si="22"/>
        <v>5</v>
      </c>
      <c r="C1466" s="4" t="s">
        <v>1937</v>
      </c>
      <c r="D1466" s="1" t="str">
        <f>IFERROR(VLOOKUP(A1466,[1]biopep_DB!$F$2:$J$1654,5,0),)</f>
        <v/>
      </c>
      <c r="E1466" s="1" t="str">
        <f>IFERROR(VLOOKUP(A1466,[1]biopep_DB!$F$2:$L$1654,6,0),0)</f>
        <v/>
      </c>
      <c r="F1466" s="1" t="str">
        <f>IFERROR(VLOOKUP(A1466,[1]biopep_DB!$F$2:$L$1654,7,0),0)</f>
        <v/>
      </c>
      <c r="G1466" s="5">
        <v>625.69</v>
      </c>
      <c r="H1466" s="5">
        <v>5.49</v>
      </c>
      <c r="I1466" s="5">
        <v>-0.28</v>
      </c>
      <c r="J1466" s="6">
        <v>-0.32</v>
      </c>
      <c r="K1466" s="5">
        <v>-7.08</v>
      </c>
      <c r="L1466" s="6">
        <v>0.2</v>
      </c>
      <c r="M1466" s="6">
        <v>-0.44</v>
      </c>
      <c r="N1466" s="6">
        <v>0</v>
      </c>
      <c r="O1466" s="6">
        <v>0.2</v>
      </c>
      <c r="P1466" s="6">
        <v>0.4</v>
      </c>
      <c r="Q1466" s="7"/>
      <c r="R1466" s="7"/>
    </row>
    <row r="1467" spans="1:18">
      <c r="A1467" s="4" t="s">
        <v>1975</v>
      </c>
      <c r="B1467" s="4">
        <f t="shared" si="22"/>
        <v>2</v>
      </c>
      <c r="C1467" s="4"/>
      <c r="D1467" s="1" t="str">
        <f>IFERROR(VLOOKUP(A1467,[1]biopep_DB!$F$2:$J$1654,5,0),)</f>
        <v>Quantitative structure-activity relationship study of bitter di- and tri-peptides including relationship with angiotensin I-converting enzyme inhibitory activity.</v>
      </c>
      <c r="E1467" s="1" t="str">
        <f>IFERROR(VLOOKUP(A1467,[1]biopep_DB!$F$2:$L$1654,6,0),0)</f>
        <v>10.1002/psc.800</v>
      </c>
      <c r="F1467" s="1" t="str">
        <f>IFERROR(VLOOKUP(A1467,[1]biopep_DB!$F$2:$L$1654,7,0),0)</f>
        <v>17117396</v>
      </c>
      <c r="G1467" s="5">
        <v>232.23</v>
      </c>
      <c r="H1467" s="5">
        <v>4.3</v>
      </c>
      <c r="I1467" s="5">
        <v>-1.26</v>
      </c>
      <c r="J1467" s="6">
        <v>0.35</v>
      </c>
      <c r="K1467" s="5">
        <v>-70.15</v>
      </c>
      <c r="L1467" s="6">
        <v>0.5</v>
      </c>
      <c r="M1467" s="6">
        <v>-1.18</v>
      </c>
      <c r="N1467" s="6">
        <v>0</v>
      </c>
      <c r="O1467" s="6">
        <v>0.5</v>
      </c>
      <c r="P1467" s="6">
        <v>0.5</v>
      </c>
      <c r="Q1467" s="7"/>
      <c r="R1467" s="7"/>
    </row>
    <row r="1468" spans="1:18">
      <c r="A1468" s="4" t="s">
        <v>1976</v>
      </c>
      <c r="B1468" s="4">
        <f t="shared" si="22"/>
        <v>3</v>
      </c>
      <c r="C1468" s="4" t="s">
        <v>31</v>
      </c>
      <c r="D1468" s="1" t="str">
        <f>IFERROR(VLOOKUP(A1468,[1]biopep_DB!$F$2:$J$1654,5,0),)</f>
        <v>Isolation and characterization of peptides with antihypertensive activity in foodstuffs.</v>
      </c>
      <c r="E1468" s="1" t="str">
        <f>IFERROR(VLOOKUP(A1468,[1]biopep_DB!$F$2:$L$1654,6,0),0)</f>
        <v>10.1080/10408398.2012.664829</v>
      </c>
      <c r="F1468" s="1" t="str">
        <f>IFERROR(VLOOKUP(A1468,[1]biopep_DB!$F$2:$L$1654,7,0),0)</f>
        <v>24915368</v>
      </c>
      <c r="G1468" s="5">
        <v>379.41</v>
      </c>
      <c r="H1468" s="5">
        <v>4.05</v>
      </c>
      <c r="I1468" s="5">
        <v>-1.26</v>
      </c>
      <c r="J1468" s="6">
        <v>1.1667</v>
      </c>
      <c r="K1468" s="5">
        <v>-68.57</v>
      </c>
      <c r="L1468" s="6">
        <v>0.6667</v>
      </c>
      <c r="M1468" s="6">
        <v>-1.78</v>
      </c>
      <c r="N1468" s="6">
        <v>0</v>
      </c>
      <c r="O1468" s="6">
        <v>0.3333</v>
      </c>
      <c r="P1468" s="6">
        <v>0.6667</v>
      </c>
      <c r="Q1468" s="7"/>
      <c r="R1468" s="7"/>
    </row>
    <row r="1469" spans="1:18">
      <c r="A1469" s="4" t="s">
        <v>1977</v>
      </c>
      <c r="B1469" s="4">
        <f t="shared" si="22"/>
        <v>5</v>
      </c>
      <c r="C1469" s="4" t="s">
        <v>31</v>
      </c>
      <c r="G1469" s="5">
        <v>565.57</v>
      </c>
      <c r="H1469" s="5">
        <v>4.05</v>
      </c>
      <c r="I1469" s="5">
        <v>-2.26</v>
      </c>
      <c r="J1469" s="6">
        <v>-0.08</v>
      </c>
      <c r="K1469" s="5">
        <v>-37.14</v>
      </c>
      <c r="L1469" s="6">
        <v>0.4</v>
      </c>
      <c r="M1469" s="6">
        <v>-0.928</v>
      </c>
      <c r="N1469" s="6">
        <v>0.2</v>
      </c>
      <c r="O1469" s="6">
        <v>0.4</v>
      </c>
      <c r="P1469" s="6">
        <v>0.4</v>
      </c>
      <c r="Q1469" s="7"/>
      <c r="R1469" s="7"/>
    </row>
    <row r="1470" spans="1:18">
      <c r="A1470" s="4" t="s">
        <v>1978</v>
      </c>
      <c r="B1470" s="4">
        <f t="shared" si="22"/>
        <v>5</v>
      </c>
      <c r="C1470" s="4"/>
      <c r="D1470" s="1" t="str">
        <f>IFERROR(VLOOKUP(A1470,[1]biopep_DB!$F$2:$J$1654,5,0),)</f>
        <v/>
      </c>
      <c r="G1470" s="5">
        <v>560.6</v>
      </c>
      <c r="H1470" s="5">
        <v>4.37</v>
      </c>
      <c r="I1470" s="5">
        <v>-1.26</v>
      </c>
      <c r="J1470" s="6">
        <v>-0.98</v>
      </c>
      <c r="K1470" s="5">
        <v>-39.04</v>
      </c>
      <c r="L1470" s="6">
        <v>0.4</v>
      </c>
      <c r="M1470" s="6">
        <v>-0.19</v>
      </c>
      <c r="N1470" s="6">
        <v>0.6</v>
      </c>
      <c r="O1470" s="6">
        <v>0.2</v>
      </c>
      <c r="P1470" s="6">
        <v>0.2</v>
      </c>
      <c r="Q1470" s="7"/>
      <c r="R1470" s="7"/>
    </row>
    <row r="1471" spans="1:18">
      <c r="A1471" s="4" t="s">
        <v>1979</v>
      </c>
      <c r="B1471" s="4">
        <f t="shared" si="22"/>
        <v>3</v>
      </c>
      <c r="C1471" s="4" t="s">
        <v>31</v>
      </c>
      <c r="D1471" s="1" t="str">
        <f>IFERROR(VLOOKUP(A1471,[1]biopep_DB!$F$2:$J$1654,5,0),)</f>
        <v/>
      </c>
      <c r="G1471" s="5">
        <v>329.35</v>
      </c>
      <c r="H1471" s="5">
        <v>4.05</v>
      </c>
      <c r="I1471" s="5">
        <v>-1.26</v>
      </c>
      <c r="J1471" s="6">
        <v>-0.3</v>
      </c>
      <c r="K1471" s="5">
        <v>-43.43</v>
      </c>
      <c r="L1471" s="6">
        <v>0.6667</v>
      </c>
      <c r="M1471" s="6">
        <v>-0.7867</v>
      </c>
      <c r="N1471" s="6">
        <v>0</v>
      </c>
      <c r="O1471" s="6">
        <v>0.6667</v>
      </c>
      <c r="P1471" s="6">
        <v>0.3333</v>
      </c>
      <c r="Q1471" s="7"/>
      <c r="R1471" s="7"/>
    </row>
    <row r="1472" spans="1:18">
      <c r="A1472" s="4" t="s">
        <v>1980</v>
      </c>
      <c r="B1472" s="4">
        <f t="shared" si="22"/>
        <v>8</v>
      </c>
      <c r="C1472" s="4"/>
      <c r="G1472" s="5">
        <v>817.88</v>
      </c>
      <c r="H1472" s="5">
        <v>4.21</v>
      </c>
      <c r="I1472" s="5">
        <v>-1.26</v>
      </c>
      <c r="J1472" s="6">
        <v>0.0625</v>
      </c>
      <c r="K1472" s="5">
        <v>-0.17</v>
      </c>
      <c r="L1472" s="6">
        <v>0.375</v>
      </c>
      <c r="M1472" s="6">
        <v>-0.91</v>
      </c>
      <c r="N1472" s="6">
        <v>0.125</v>
      </c>
      <c r="O1472" s="6">
        <v>0.5</v>
      </c>
      <c r="P1472" s="6">
        <v>0.375</v>
      </c>
      <c r="Q1472" s="7"/>
      <c r="R1472" s="7"/>
    </row>
    <row r="1473" spans="1:18">
      <c r="A1473" s="4" t="s">
        <v>1981</v>
      </c>
      <c r="B1473" s="4">
        <f t="shared" si="22"/>
        <v>3</v>
      </c>
      <c r="C1473" s="4" t="s">
        <v>31</v>
      </c>
      <c r="D1473" s="1" t="str">
        <f>IFERROR(VLOOKUP(A1473,[1]biopep_DB!$F$2:$J$1654,5,0),)</f>
        <v/>
      </c>
      <c r="E1473" s="1" t="str">
        <f>IFERROR(VLOOKUP(A1473,[1]biopep_DB!$F$2:$L$1654,6,0),0)</f>
        <v/>
      </c>
      <c r="F1473" s="1" t="str">
        <f>IFERROR(VLOOKUP(A1473,[1]biopep_DB!$F$2:$L$1654,7,0),0)</f>
        <v/>
      </c>
      <c r="G1473" s="5">
        <v>418.44</v>
      </c>
      <c r="H1473" s="5">
        <v>4.05</v>
      </c>
      <c r="I1473" s="5">
        <v>-1.26</v>
      </c>
      <c r="J1473" s="6">
        <v>-0.0667</v>
      </c>
      <c r="K1473" s="5">
        <v>-43.43</v>
      </c>
      <c r="L1473" s="6">
        <v>0.6667</v>
      </c>
      <c r="M1473" s="6">
        <v>-1.5633</v>
      </c>
      <c r="N1473" s="6">
        <v>0</v>
      </c>
      <c r="O1473" s="6">
        <v>0.3333</v>
      </c>
      <c r="P1473" s="6">
        <v>0.6667</v>
      </c>
      <c r="Q1473" s="7"/>
      <c r="R1473" s="7"/>
    </row>
    <row r="1474" spans="1:18">
      <c r="A1474" s="4" t="s">
        <v>1982</v>
      </c>
      <c r="B1474" s="4">
        <f t="shared" si="22"/>
        <v>2</v>
      </c>
      <c r="C1474" s="4" t="s">
        <v>62</v>
      </c>
      <c r="D1474" s="1" t="str">
        <f>IFERROR(VLOOKUP(A1474,[1]biopep_DB!$F$2:$J$1654,5,0),)</f>
        <v>Quantitative structure-activity relationship study of bitter di- and tri-peptides including relationship with angiotensin I-converting enzyme inhibitory activity.; Application of at-line two-dimensional liquid chromatography-mass spectrometry for identification of small hydrophilic angiotensin I-inhibiting peptides in milk hydrolysates.; Peptides with angiotensin I converting enzyme (ACE) inhibitory activity generated from porcine skeletal muscle proteins by the action of meat-borne Lactobacillus.</v>
      </c>
      <c r="E1474" s="1" t="str">
        <f>IFERROR(VLOOKUP(A1474,[1]biopep_DB!$F$2:$L$1654,6,0),0)</f>
        <v>10.1002/psc.800; 10.1007/s00216-008-1990-3; 10.1016/j.jprot.2013.06.023</v>
      </c>
      <c r="F1474" s="1" t="str">
        <f>IFERROR(VLOOKUP(A1474,[1]biopep_DB!$F$2:$L$1654,7,0),0)</f>
        <v>17117396 18392815 23806758</v>
      </c>
      <c r="G1474" s="5">
        <v>246.26</v>
      </c>
      <c r="H1474" s="5">
        <v>4.6</v>
      </c>
      <c r="I1474" s="5">
        <v>-1.26</v>
      </c>
      <c r="J1474" s="6">
        <v>0.35</v>
      </c>
      <c r="K1474" s="5">
        <v>5</v>
      </c>
      <c r="L1474" s="6">
        <v>0.5</v>
      </c>
      <c r="M1474" s="6">
        <v>-1.2</v>
      </c>
      <c r="N1474" s="6">
        <v>0.5</v>
      </c>
      <c r="O1474" s="6">
        <v>0</v>
      </c>
      <c r="P1474" s="6">
        <v>0.5</v>
      </c>
      <c r="Q1474" s="7"/>
      <c r="R1474" s="7"/>
    </row>
    <row r="1475" spans="1:18">
      <c r="A1475" s="4" t="s">
        <v>1983</v>
      </c>
      <c r="B1475" s="4">
        <f t="shared" si="22"/>
        <v>11</v>
      </c>
      <c r="C1475" s="4" t="s">
        <v>1984</v>
      </c>
      <c r="D1475" s="1" t="str">
        <f>IFERROR(VLOOKUP(A1475,[1]biopep_DB!$F$2:$J$1654,5,0),)</f>
        <v>Review on the angiotensin-I-converting enzyme (ACE) inhibitor peptides from marine proteins.; Glycinyl-histidinyl-serine (GHS), a novel rapeseed protein-derived peptide has blood pressure-lowering effect in spontaneously hypertensive rats.</v>
      </c>
      <c r="E1475" s="1" t="str">
        <f>IFERROR(VLOOKUP(A1475,[1]biopep_DB!$F$2:$L$1654,6,0),0)</f>
        <v>10.1007/s12010-012-0024-y; 10.1021/jf400865m</v>
      </c>
      <c r="F1475" s="1" t="str">
        <f>IFERROR(VLOOKUP(A1475,[1]biopep_DB!$F$2:$L$1654,7,0),0)</f>
        <v>23271625 23919612</v>
      </c>
      <c r="G1475" s="5">
        <v>1309.45</v>
      </c>
      <c r="H1475" s="5">
        <v>5.97</v>
      </c>
      <c r="I1475" s="5">
        <v>-0.27</v>
      </c>
      <c r="J1475" s="6">
        <v>-0.9455</v>
      </c>
      <c r="K1475" s="5">
        <v>69.48</v>
      </c>
      <c r="L1475" s="6">
        <v>0.3636</v>
      </c>
      <c r="M1475" s="6">
        <v>-0.16</v>
      </c>
      <c r="N1475" s="6">
        <v>0.0909</v>
      </c>
      <c r="O1475" s="6">
        <v>0.3636</v>
      </c>
      <c r="P1475" s="6">
        <v>0.2727</v>
      </c>
      <c r="Q1475" s="7"/>
      <c r="R1475" s="7"/>
    </row>
    <row r="1476" spans="1:18">
      <c r="A1476" s="4" t="s">
        <v>1985</v>
      </c>
      <c r="B1476" s="4">
        <f t="shared" si="22"/>
        <v>6</v>
      </c>
      <c r="C1476" s="4"/>
      <c r="D1476" s="1" t="str">
        <f>IFERROR(VLOOKUP(A1476,[1]biopep_DB!$F$2:$J$1654,5,0),)</f>
        <v/>
      </c>
      <c r="E1476" s="1" t="str">
        <f>IFERROR(VLOOKUP(A1476,[1]biopep_DB!$F$2:$L$1654,6,0),0)</f>
        <v/>
      </c>
      <c r="F1476" s="1" t="str">
        <f>IFERROR(VLOOKUP(A1476,[1]biopep_DB!$F$2:$L$1654,7,0),0)</f>
        <v/>
      </c>
      <c r="G1476" s="5">
        <v>713.82</v>
      </c>
      <c r="H1476" s="5">
        <v>4.53</v>
      </c>
      <c r="I1476" s="5">
        <v>-1.26</v>
      </c>
      <c r="J1476" s="6">
        <v>-0.75</v>
      </c>
      <c r="K1476" s="5">
        <v>35.95</v>
      </c>
      <c r="L1476" s="6">
        <v>0.5</v>
      </c>
      <c r="M1476" s="6">
        <v>-0.6833</v>
      </c>
      <c r="N1476" s="6">
        <v>0.6667</v>
      </c>
      <c r="O1476" s="6">
        <v>0.1667</v>
      </c>
      <c r="P1476" s="6">
        <v>0.3333</v>
      </c>
      <c r="Q1476" s="7"/>
      <c r="R1476" s="7"/>
    </row>
    <row r="1477" spans="1:18">
      <c r="A1477" s="4" t="s">
        <v>1986</v>
      </c>
      <c r="B1477" s="4">
        <f t="shared" si="22"/>
        <v>3</v>
      </c>
      <c r="C1477" s="4" t="s">
        <v>31</v>
      </c>
      <c r="D1477" s="1" t="str">
        <f>IFERROR(VLOOKUP(A1477,[1]biopep_DB!$F$2:$J$1654,5,0),)</f>
        <v/>
      </c>
      <c r="E1477" s="1" t="str">
        <f>IFERROR(VLOOKUP(A1477,[1]biopep_DB!$F$2:$L$1654,6,0),0)</f>
        <v/>
      </c>
      <c r="F1477" s="1" t="str">
        <f>IFERROR(VLOOKUP(A1477,[1]biopep_DB!$F$2:$L$1654,7,0),0)</f>
        <v/>
      </c>
      <c r="G1477" s="5">
        <v>393.43</v>
      </c>
      <c r="H1477" s="5">
        <v>4.05</v>
      </c>
      <c r="I1477" s="5">
        <v>-1.26</v>
      </c>
      <c r="J1477" s="6">
        <v>1.1667</v>
      </c>
      <c r="K1477" s="5">
        <v>6.67</v>
      </c>
      <c r="L1477" s="6">
        <v>0.6667</v>
      </c>
      <c r="M1477" s="6">
        <v>-1.7933</v>
      </c>
      <c r="N1477" s="6">
        <v>0.3333</v>
      </c>
      <c r="O1477" s="6">
        <v>0</v>
      </c>
      <c r="P1477" s="6">
        <v>0.6667</v>
      </c>
      <c r="Q1477" s="7"/>
      <c r="R1477" s="7"/>
    </row>
    <row r="1478" spans="1:18">
      <c r="A1478" s="4" t="s">
        <v>1987</v>
      </c>
      <c r="B1478" s="4">
        <f t="shared" ref="B1478:B1541" si="23">LEN(A1478)</f>
        <v>5</v>
      </c>
      <c r="C1478" s="4" t="s">
        <v>31</v>
      </c>
      <c r="D1478" s="1" t="str">
        <f>IFERROR(VLOOKUP(A1478,[1]biopep_DB!$F$2:$J$1654,5,0),)</f>
        <v/>
      </c>
      <c r="E1478" s="1" t="str">
        <f>IFERROR(VLOOKUP(A1478,[1]biopep_DB!$F$2:$L$1654,6,0),0)</f>
        <v/>
      </c>
      <c r="F1478" s="1" t="str">
        <f>IFERROR(VLOOKUP(A1478,[1]biopep_DB!$F$2:$L$1654,7,0),0)</f>
        <v/>
      </c>
      <c r="G1478" s="5">
        <v>579.6</v>
      </c>
      <c r="H1478" s="5">
        <v>4.05</v>
      </c>
      <c r="I1478" s="5">
        <v>-2.26</v>
      </c>
      <c r="J1478" s="6">
        <v>-0.08</v>
      </c>
      <c r="K1478" s="5">
        <v>8</v>
      </c>
      <c r="L1478" s="6">
        <v>0.4</v>
      </c>
      <c r="M1478" s="6">
        <v>-0.936</v>
      </c>
      <c r="N1478" s="6">
        <v>0.4</v>
      </c>
      <c r="O1478" s="6">
        <v>0.2</v>
      </c>
      <c r="P1478" s="6">
        <v>0.4</v>
      </c>
      <c r="Q1478" s="7"/>
      <c r="R1478" s="7"/>
    </row>
    <row r="1479" spans="1:18">
      <c r="A1479" s="4" t="s">
        <v>1988</v>
      </c>
      <c r="B1479" s="4">
        <f t="shared" si="23"/>
        <v>4</v>
      </c>
      <c r="C1479" s="4" t="s">
        <v>1989</v>
      </c>
      <c r="D1479" s="1" t="str">
        <f>IFERROR(VLOOKUP(A1479,[1]biopep_DB!$F$2:$J$1654,5,0),)</f>
        <v/>
      </c>
      <c r="E1479" s="1" t="str">
        <f>IFERROR(VLOOKUP(A1479,[1]biopep_DB!$F$2:$L$1654,6,0),0)</f>
        <v/>
      </c>
      <c r="F1479" s="1" t="str">
        <f>IFERROR(VLOOKUP(A1479,[1]biopep_DB!$F$2:$L$1654,7,0),0)</f>
        <v/>
      </c>
      <c r="G1479" s="5">
        <v>466.48</v>
      </c>
      <c r="H1479" s="5">
        <v>4.05</v>
      </c>
      <c r="I1479" s="5">
        <v>-1.26</v>
      </c>
      <c r="J1479" s="6">
        <v>-0.25</v>
      </c>
      <c r="K1479" s="5">
        <v>-13.73</v>
      </c>
      <c r="L1479" s="6">
        <v>0.25</v>
      </c>
      <c r="M1479" s="6">
        <v>-0.8</v>
      </c>
      <c r="N1479" s="6">
        <v>0.25</v>
      </c>
      <c r="O1479" s="6">
        <v>0.25</v>
      </c>
      <c r="P1479" s="6">
        <v>0.5</v>
      </c>
      <c r="Q1479" s="7"/>
      <c r="R1479" s="7"/>
    </row>
    <row r="1480" spans="1:18">
      <c r="A1480" s="4" t="s">
        <v>1990</v>
      </c>
      <c r="B1480" s="4">
        <f t="shared" si="23"/>
        <v>10</v>
      </c>
      <c r="C1480" s="4"/>
      <c r="D1480" s="1" t="str">
        <f>IFERROR(VLOOKUP(A1480,[1]biopep_DB!$F$2:$J$1654,5,0),)</f>
        <v>Identification of angiotensin-I-converting enzyme inhibitory peptides derived from sodium caseinate hydrolysates produced by Lactobacillus helveticus NCC 2765.</v>
      </c>
      <c r="E1480" s="1" t="str">
        <f>IFERROR(VLOOKUP(A1480,[1]biopep_DB!$F$2:$L$1654,6,0),0)</f>
        <v>10.1021/jf049510t</v>
      </c>
      <c r="F1480" s="1" t="str">
        <f>IFERROR(VLOOKUP(A1480,[1]biopep_DB!$F$2:$L$1654,7,0),0)</f>
        <v>15537298</v>
      </c>
      <c r="G1480" s="5">
        <v>1144.36</v>
      </c>
      <c r="H1480" s="5">
        <v>5.24</v>
      </c>
      <c r="I1480" s="5">
        <v>-1.18</v>
      </c>
      <c r="J1480" s="6">
        <v>0.6</v>
      </c>
      <c r="K1480" s="5">
        <v>47.52</v>
      </c>
      <c r="L1480" s="6">
        <v>0.7</v>
      </c>
      <c r="M1480" s="6">
        <v>-1.947</v>
      </c>
      <c r="N1480" s="6">
        <v>0.5</v>
      </c>
      <c r="O1480" s="6">
        <v>0.3</v>
      </c>
      <c r="P1480" s="6">
        <v>0.5</v>
      </c>
      <c r="Q1480" s="7"/>
      <c r="R1480" s="7"/>
    </row>
    <row r="1481" spans="1:18">
      <c r="A1481" s="4" t="s">
        <v>1991</v>
      </c>
      <c r="B1481" s="4">
        <f t="shared" si="23"/>
        <v>11</v>
      </c>
      <c r="C1481" s="4" t="s">
        <v>1992</v>
      </c>
      <c r="D1481" s="1" t="str">
        <f>IFERROR(VLOOKUP(A1481,[1]biopep_DB!$F$2:$J$1654,5,0),)</f>
        <v>Identification of angiotensin-I-converting enzyme inhibitory peptides derived from sodium caseinate hydrolysates produced by Lactobacillus helveticus NCC 2765.</v>
      </c>
      <c r="E1481" s="1" t="str">
        <f>IFERROR(VLOOKUP(A1481,[1]biopep_DB!$F$2:$L$1654,6,0),0)</f>
        <v>10.1021/jf049510t</v>
      </c>
      <c r="F1481" s="1" t="str">
        <f>IFERROR(VLOOKUP(A1481,[1]biopep_DB!$F$2:$L$1654,7,0),0)</f>
        <v>15537298</v>
      </c>
      <c r="G1481" s="5">
        <v>1257.52</v>
      </c>
      <c r="H1481" s="5">
        <v>5.24</v>
      </c>
      <c r="I1481" s="5">
        <v>-1.18</v>
      </c>
      <c r="J1481" s="6">
        <v>0.8909</v>
      </c>
      <c r="K1481" s="5">
        <v>44.11</v>
      </c>
      <c r="L1481" s="6">
        <v>0.7273</v>
      </c>
      <c r="M1481" s="6">
        <v>-2.2173</v>
      </c>
      <c r="N1481" s="6">
        <v>0.5455</v>
      </c>
      <c r="O1481" s="6">
        <v>0.2727</v>
      </c>
      <c r="P1481" s="6">
        <v>0.5455</v>
      </c>
      <c r="Q1481" s="7"/>
      <c r="R1481" s="7"/>
    </row>
    <row r="1482" spans="1:18">
      <c r="A1482" s="4" t="s">
        <v>1993</v>
      </c>
      <c r="B1482" s="4">
        <f t="shared" si="23"/>
        <v>3</v>
      </c>
      <c r="C1482" s="4" t="s">
        <v>31</v>
      </c>
      <c r="D1482" s="1" t="str">
        <f>IFERROR(VLOOKUP(A1482,[1]biopep_DB!$F$2:$J$1654,5,0),)</f>
        <v/>
      </c>
      <c r="E1482" s="1" t="str">
        <f>IFERROR(VLOOKUP(A1482,[1]biopep_DB!$F$2:$L$1654,6,0),0)</f>
        <v/>
      </c>
      <c r="F1482" s="1" t="str">
        <f>IFERROR(VLOOKUP(A1482,[1]biopep_DB!$F$2:$L$1654,7,0),0)</f>
        <v/>
      </c>
      <c r="G1482" s="5">
        <v>343.38</v>
      </c>
      <c r="H1482" s="5">
        <v>4.05</v>
      </c>
      <c r="I1482" s="5">
        <v>-1.26</v>
      </c>
      <c r="J1482" s="6">
        <v>-0.3</v>
      </c>
      <c r="K1482" s="5">
        <v>70.87</v>
      </c>
      <c r="L1482" s="6">
        <v>0.6667</v>
      </c>
      <c r="M1482" s="6">
        <v>-0.8</v>
      </c>
      <c r="N1482" s="6">
        <v>0.3333</v>
      </c>
      <c r="O1482" s="6">
        <v>0.3333</v>
      </c>
      <c r="P1482" s="6">
        <v>0.3333</v>
      </c>
      <c r="Q1482" s="7"/>
      <c r="R1482" s="7"/>
    </row>
    <row r="1483" spans="1:18">
      <c r="A1483" s="4" t="s">
        <v>1994</v>
      </c>
      <c r="B1483" s="4">
        <f t="shared" si="23"/>
        <v>9</v>
      </c>
      <c r="C1483" s="4"/>
      <c r="G1483" s="5">
        <v>1138.27</v>
      </c>
      <c r="H1483" s="5">
        <v>6.74</v>
      </c>
      <c r="I1483" s="5">
        <v>-0.17</v>
      </c>
      <c r="J1483" s="6">
        <v>-1.8111</v>
      </c>
      <c r="K1483" s="5">
        <v>79.11</v>
      </c>
      <c r="L1483" s="6">
        <v>0.2222</v>
      </c>
      <c r="M1483" s="6">
        <v>0.1322</v>
      </c>
      <c r="N1483" s="6">
        <v>0.4444</v>
      </c>
      <c r="O1483" s="6">
        <v>0</v>
      </c>
      <c r="P1483" s="6">
        <v>0.2222</v>
      </c>
      <c r="Q1483" s="7"/>
      <c r="R1483" s="7"/>
    </row>
    <row r="1484" spans="1:18">
      <c r="A1484" s="4" t="s">
        <v>1995</v>
      </c>
      <c r="B1484" s="4">
        <f t="shared" si="23"/>
        <v>3</v>
      </c>
      <c r="C1484" s="4" t="s">
        <v>31</v>
      </c>
      <c r="D1484" s="1" t="str">
        <f>IFERROR(VLOOKUP(A1484,[1]biopep_DB!$F$2:$J$1654,5,0),)</f>
        <v/>
      </c>
      <c r="E1484" s="1" t="str">
        <f>IFERROR(VLOOKUP(A1484,[1]biopep_DB!$F$2:$L$1654,6,0),0)</f>
        <v/>
      </c>
      <c r="F1484" s="1" t="str">
        <f>IFERROR(VLOOKUP(A1484,[1]biopep_DB!$F$2:$L$1654,7,0),0)</f>
        <v/>
      </c>
      <c r="G1484" s="5">
        <v>409.43</v>
      </c>
      <c r="H1484" s="5">
        <v>4.05</v>
      </c>
      <c r="I1484" s="5">
        <v>-1.26</v>
      </c>
      <c r="J1484" s="6">
        <v>-0.2</v>
      </c>
      <c r="K1484" s="5">
        <v>6.67</v>
      </c>
      <c r="L1484" s="6">
        <v>0.3333</v>
      </c>
      <c r="M1484" s="6">
        <v>-0.7533</v>
      </c>
      <c r="N1484" s="6">
        <v>0.3333</v>
      </c>
      <c r="O1484" s="6">
        <v>0</v>
      </c>
      <c r="P1484" s="6">
        <v>0.6667</v>
      </c>
      <c r="Q1484" s="7"/>
      <c r="R1484" s="7"/>
    </row>
    <row r="1485" spans="1:18">
      <c r="A1485" s="4" t="s">
        <v>1996</v>
      </c>
      <c r="B1485" s="4">
        <f t="shared" si="23"/>
        <v>2</v>
      </c>
      <c r="C1485" s="4" t="s">
        <v>36</v>
      </c>
      <c r="D1485" s="1" t="str">
        <f>IFERROR(VLOOKUP(A1485,[1]biopep_DB!$F$2:$J$1654,5,0),)</f>
        <v>Angiotensin I-converting enzyme inhibitory peptides in an alkaline protease hydrolyzate derived from sardine muscle.; Antihypertensive effects of Undaria pinnatifida (wakame) peptide on blood pressure in spontaneously hypertensive rats.;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Bioactive peptides in amaranth (Amaranthus hypochondriacus) seed.; Ala-Val-Phe and Val-Phe: ACE inhibitory peptides derived from insect protein with antihypertensive activity in spontaneously hypertensive rats.; QSAR study on angiotensin-converting enzyme inhibitor oligopeptides based on a novel set of sequence information descriptors.; Antihypertensive peptides from food proteins: a review.; Review on the angiotensin-I-converting enzyme (ACE) inhibitor peptides from marine proteins.;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
      <c r="E1485" s="1" t="str">
        <f>IFERROR(VLOOKUP(A1485,[1]biopep_DB!$F$2:$L$1654,6,0),0)</f>
        <v>10.1271/bbb.58.2244; 10.1016/j.jnutbio.2003.11.004; 10.1021/jf051263l; 10.1002/psc.800; 10.1002/psc.892; 10.1021/jf072911z; 10.1016/j.peptides.2009.05.029; 10.1007/s00894-010-0862-x; 10.1039/c2fo10192k; 10.1007/s12010-012-0024-y; 10.1016/j.talanta.2012.12.041; 10.1016/j.jprot.2013.06.023; 10.1016/j.foodchem.2013.05.140; 10.1080/10408398.2012.664829</v>
      </c>
      <c r="F1485" s="1" t="str">
        <f>IFERROR(VLOOKUP(A1485,[1]biopep_DB!$F$2:$L$1654,7,0),0)</f>
        <v>7765718 15135150 16448176 17117396 17654623 18211015 19524628 20941517 22249830 23271625 23598136 23806758 23871047 24915368</v>
      </c>
      <c r="G1485" s="5">
        <v>264.32</v>
      </c>
      <c r="H1485" s="5">
        <v>5.49</v>
      </c>
      <c r="I1485" s="5">
        <v>-0.27</v>
      </c>
      <c r="J1485" s="6">
        <v>3.5</v>
      </c>
      <c r="K1485" s="5">
        <v>5</v>
      </c>
      <c r="L1485" s="6">
        <v>1</v>
      </c>
      <c r="M1485" s="6">
        <v>-3.51</v>
      </c>
      <c r="N1485" s="6">
        <v>0</v>
      </c>
      <c r="O1485" s="6">
        <v>0</v>
      </c>
      <c r="P1485" s="6">
        <v>1</v>
      </c>
      <c r="Q1485" s="7"/>
      <c r="R1485" s="7"/>
    </row>
    <row r="1486" spans="1:18">
      <c r="A1486" s="4" t="s">
        <v>1997</v>
      </c>
      <c r="B1486" s="4">
        <f t="shared" si="23"/>
        <v>4</v>
      </c>
      <c r="C1486" s="4" t="s">
        <v>1998</v>
      </c>
      <c r="D1486" s="1" t="str">
        <f>IFERROR(VLOOKUP(A1486,[1]biopep_DB!$F$2:$J$1654,5,0),)</f>
        <v>Isolation and characterization of peptides with antihypertensive activity in foodstuffs.</v>
      </c>
      <c r="E1486" s="1" t="str">
        <f>IFERROR(VLOOKUP(A1486,[1]biopep_DB!$F$2:$L$1654,6,0),0)</f>
        <v>10.1080/10408398.2012.664829</v>
      </c>
      <c r="F1486" s="1" t="str">
        <f>IFERROR(VLOOKUP(A1486,[1]biopep_DB!$F$2:$L$1654,7,0),0)</f>
        <v>24915368</v>
      </c>
      <c r="G1486" s="5">
        <v>549.62</v>
      </c>
      <c r="H1486" s="5">
        <v>5.97</v>
      </c>
      <c r="I1486" s="5">
        <v>-0.26</v>
      </c>
      <c r="J1486" s="6">
        <v>-0.25</v>
      </c>
      <c r="K1486" s="5">
        <v>7.5</v>
      </c>
      <c r="L1486" s="6">
        <v>0.5</v>
      </c>
      <c r="M1486" s="6">
        <v>-0.665</v>
      </c>
      <c r="N1486" s="6">
        <v>0.25</v>
      </c>
      <c r="O1486" s="6">
        <v>0</v>
      </c>
      <c r="P1486" s="6">
        <v>0.5</v>
      </c>
      <c r="Q1486" s="7"/>
      <c r="R1486" s="7"/>
    </row>
    <row r="1487" spans="1:18">
      <c r="A1487" s="4" t="s">
        <v>1999</v>
      </c>
      <c r="B1487" s="4">
        <f t="shared" si="23"/>
        <v>8</v>
      </c>
      <c r="C1487" s="4" t="s">
        <v>2000</v>
      </c>
      <c r="D1487" s="1" t="str">
        <f>IFERROR(VLOOKUP(A1487,[1]biopep_DB!$F$2:$J$1654,5,0),)</f>
        <v/>
      </c>
      <c r="E1487" s="1" t="str">
        <f>IFERROR(VLOOKUP(A1487,[1]biopep_DB!$F$2:$L$1654,6,0),0)</f>
        <v/>
      </c>
      <c r="F1487" s="1" t="str">
        <f>IFERROR(VLOOKUP(A1487,[1]biopep_DB!$F$2:$L$1654,7,0),0)</f>
        <v/>
      </c>
      <c r="G1487" s="5">
        <v>1025.16</v>
      </c>
      <c r="H1487" s="5">
        <v>5.97</v>
      </c>
      <c r="I1487" s="5">
        <v>-0.26</v>
      </c>
      <c r="J1487" s="6">
        <v>0.5625</v>
      </c>
      <c r="K1487" s="5">
        <v>-28.82</v>
      </c>
      <c r="L1487" s="6">
        <v>0.75</v>
      </c>
      <c r="M1487" s="6">
        <v>-1.4487</v>
      </c>
      <c r="N1487" s="6">
        <v>0.375</v>
      </c>
      <c r="O1487" s="6">
        <v>0</v>
      </c>
      <c r="P1487" s="6">
        <v>0.5</v>
      </c>
      <c r="Q1487" s="7"/>
      <c r="R1487" s="7"/>
    </row>
    <row r="1488" spans="1:18">
      <c r="A1488" s="4" t="s">
        <v>2001</v>
      </c>
      <c r="B1488" s="4">
        <f t="shared" si="23"/>
        <v>6</v>
      </c>
      <c r="C1488" s="4"/>
      <c r="D1488" s="1" t="str">
        <f>IFERROR(VLOOKUP(A1488,[1]biopep_DB!$F$2:$J$1654,5,0),)</f>
        <v>Enterococcus faecalis strains from food, environmental, and clinical origin produce ACE-inhibitory peptides and other bioactive peptides during growth in bovine skim milk.</v>
      </c>
      <c r="E1488" s="1" t="str">
        <f>IFERROR(VLOOKUP(A1488,[1]biopep_DB!$F$2:$L$1654,6,0),0)</f>
        <v>10.1016/j.ijfoodmicro.2013.06.019</v>
      </c>
      <c r="F1488" s="1" t="str">
        <f>IFERROR(VLOOKUP(A1488,[1]biopep_DB!$F$2:$L$1654,7,0),0)</f>
        <v>23845432</v>
      </c>
      <c r="G1488" s="5">
        <v>706.83</v>
      </c>
      <c r="H1488" s="5">
        <v>8.56</v>
      </c>
      <c r="I1488" s="5">
        <v>0.73</v>
      </c>
      <c r="J1488" s="6">
        <v>-0.7833</v>
      </c>
      <c r="K1488" s="5">
        <v>-5.82</v>
      </c>
      <c r="L1488" s="6">
        <v>0.3333</v>
      </c>
      <c r="M1488" s="6">
        <v>-0.5267</v>
      </c>
      <c r="N1488" s="6">
        <v>0.5</v>
      </c>
      <c r="O1488" s="6">
        <v>0.1667</v>
      </c>
      <c r="P1488" s="6">
        <v>0.3333</v>
      </c>
      <c r="Q1488" s="7"/>
      <c r="R1488" s="7"/>
    </row>
    <row r="1489" spans="1:18">
      <c r="A1489" s="4" t="s">
        <v>2002</v>
      </c>
      <c r="B1489" s="4">
        <f t="shared" si="23"/>
        <v>4</v>
      </c>
      <c r="C1489" s="4"/>
      <c r="D1489" s="1" t="str">
        <f>IFERROR(VLOOKUP(A1489,[1]biopep_DB!$F$2:$J$1654,5,0),)</f>
        <v>What are the ideal properties for functional food peptides with antihypertensive effect? A computational peptidology approach.</v>
      </c>
      <c r="E1489" s="1" t="str">
        <f>IFERROR(VLOOKUP(A1489,[1]biopep_DB!$F$2:$L$1654,6,0),0)</f>
        <v>10.1016/j.foodchem.2013.05.140</v>
      </c>
      <c r="F1489" s="1" t="str">
        <f>IFERROR(VLOOKUP(A1489,[1]biopep_DB!$F$2:$L$1654,7,0),0)</f>
        <v>23871047</v>
      </c>
      <c r="G1489" s="5">
        <v>477.56</v>
      </c>
      <c r="H1489" s="5">
        <v>9.72</v>
      </c>
      <c r="I1489" s="5">
        <v>0.73</v>
      </c>
      <c r="J1489" s="6">
        <v>0.525</v>
      </c>
      <c r="K1489" s="5">
        <v>7.5</v>
      </c>
      <c r="L1489" s="6">
        <v>0.5</v>
      </c>
      <c r="M1489" s="6">
        <v>-1.31</v>
      </c>
      <c r="N1489" s="6">
        <v>0</v>
      </c>
      <c r="O1489" s="6">
        <v>0.25</v>
      </c>
      <c r="P1489" s="6">
        <v>0.5</v>
      </c>
      <c r="Q1489" s="7"/>
      <c r="R1489" s="7"/>
    </row>
    <row r="1490" spans="1:18">
      <c r="A1490" s="4" t="s">
        <v>2003</v>
      </c>
      <c r="B1490" s="4">
        <f t="shared" si="23"/>
        <v>3</v>
      </c>
      <c r="C1490" s="4" t="s">
        <v>36</v>
      </c>
      <c r="D1490" s="1" t="str">
        <f>IFERROR(VLOOKUP(A1490,[1]biopep_DB!$F$2:$J$1654,5,0),)</f>
        <v>Angiotensin I-converting enzyme inhibitory properties of whey protein digests: concentration and characterization of active peptides.; Structural requirements of Angiotensin I-converting enzyme inhibitory peptides: quantitative structure-activity relationship study of di- and tripeptides.</v>
      </c>
      <c r="E1490" s="1" t="str">
        <f>IFERROR(VLOOKUP(A1490,[1]biopep_DB!$F$2:$L$1654,6,0),0)</f>
        <v>10.1017/s0022029999003982; 10.1021/jf051263l</v>
      </c>
      <c r="F1490" s="1" t="str">
        <f>IFERROR(VLOOKUP(A1490,[1]biopep_DB!$F$2:$L$1654,7,0),0)</f>
        <v>10717843 16448176</v>
      </c>
      <c r="G1490" s="5">
        <v>392.49</v>
      </c>
      <c r="H1490" s="5">
        <v>8.72</v>
      </c>
      <c r="I1490" s="5">
        <v>0.73</v>
      </c>
      <c r="J1490" s="6">
        <v>1.0333</v>
      </c>
      <c r="K1490" s="5">
        <v>-43.43</v>
      </c>
      <c r="L1490" s="6">
        <v>0.6667</v>
      </c>
      <c r="M1490" s="6">
        <v>-1.8133</v>
      </c>
      <c r="N1490" s="6">
        <v>0.3333</v>
      </c>
      <c r="O1490" s="6">
        <v>0</v>
      </c>
      <c r="P1490" s="6">
        <v>0.6667</v>
      </c>
      <c r="Q1490" s="7"/>
      <c r="R1490" s="7"/>
    </row>
    <row r="1491" spans="1:18">
      <c r="A1491" s="4" t="s">
        <v>2004</v>
      </c>
      <c r="B1491" s="4">
        <f t="shared" si="23"/>
        <v>8</v>
      </c>
      <c r="C1491" s="4"/>
      <c r="G1491" s="5">
        <v>960.99</v>
      </c>
      <c r="H1491" s="5">
        <v>4.6</v>
      </c>
      <c r="I1491" s="5">
        <v>-1.26</v>
      </c>
      <c r="J1491" s="6">
        <v>-1.5125</v>
      </c>
      <c r="K1491" s="5">
        <v>53.3</v>
      </c>
      <c r="L1491" s="6">
        <v>0.375</v>
      </c>
      <c r="M1491" s="6">
        <v>0.105</v>
      </c>
      <c r="N1491" s="6">
        <v>0.125</v>
      </c>
      <c r="O1491" s="6">
        <v>0.5</v>
      </c>
      <c r="P1491" s="6">
        <v>0.25</v>
      </c>
      <c r="Q1491" s="7"/>
      <c r="R1491" s="7"/>
    </row>
    <row r="1492" spans="1:18">
      <c r="A1492" s="4" t="s">
        <v>2005</v>
      </c>
      <c r="B1492" s="4">
        <f t="shared" si="23"/>
        <v>8</v>
      </c>
      <c r="C1492" s="4"/>
      <c r="G1492" s="5">
        <v>848.96</v>
      </c>
      <c r="H1492" s="5">
        <v>4.05</v>
      </c>
      <c r="I1492" s="5">
        <v>-1.27</v>
      </c>
      <c r="J1492" s="6">
        <v>0.2125</v>
      </c>
      <c r="K1492" s="5">
        <v>78.62</v>
      </c>
      <c r="L1492" s="6">
        <v>0.5</v>
      </c>
      <c r="M1492" s="6">
        <v>-0.9175</v>
      </c>
      <c r="N1492" s="6">
        <v>0.125</v>
      </c>
      <c r="O1492" s="6">
        <v>0.375</v>
      </c>
      <c r="P1492" s="6">
        <v>0.375</v>
      </c>
      <c r="Q1492" s="7"/>
      <c r="R1492" s="7"/>
    </row>
    <row r="1493" spans="1:18">
      <c r="A1493" s="4" t="s">
        <v>2006</v>
      </c>
      <c r="B1493" s="4">
        <f t="shared" si="23"/>
        <v>4</v>
      </c>
      <c r="C1493" s="4" t="s">
        <v>2007</v>
      </c>
      <c r="D1493" s="1" t="str">
        <f>IFERROR(VLOOKUP(A1493,[1]biopep_DB!$F$2:$J$1654,5,0),)</f>
        <v>Inhibition strength of short peptides derived from an ACE inhibitory peptide.</v>
      </c>
      <c r="E1493" s="1" t="str">
        <f>IFERROR(VLOOKUP(A1493,[1]biopep_DB!$F$2:$L$1654,6,0),0)</f>
        <v>10.1021/jf202902r</v>
      </c>
      <c r="F1493" s="1" t="str">
        <f>IFERROR(VLOOKUP(A1493,[1]biopep_DB!$F$2:$L$1654,7,0),0)</f>
        <v>21923188</v>
      </c>
      <c r="G1493" s="5">
        <v>448.51</v>
      </c>
      <c r="H1493" s="5">
        <v>5.49</v>
      </c>
      <c r="I1493" s="5">
        <v>-0.27</v>
      </c>
      <c r="J1493" s="6">
        <v>1.15</v>
      </c>
      <c r="K1493" s="5">
        <v>103.8</v>
      </c>
      <c r="L1493" s="6">
        <v>0.75</v>
      </c>
      <c r="M1493" s="6">
        <v>-1.545</v>
      </c>
      <c r="N1493" s="6">
        <v>0</v>
      </c>
      <c r="O1493" s="6">
        <v>0.5</v>
      </c>
      <c r="P1493" s="6">
        <v>0.5</v>
      </c>
      <c r="Q1493" s="7"/>
      <c r="R1493" s="7"/>
    </row>
    <row r="1494" spans="1:18">
      <c r="A1494" s="4" t="s">
        <v>2008</v>
      </c>
      <c r="B1494" s="4">
        <f t="shared" si="23"/>
        <v>2</v>
      </c>
      <c r="C1494" s="4" t="s">
        <v>36</v>
      </c>
      <c r="D1494" s="1" t="str">
        <f>IFERROR(VLOOKUP(A1494,[1]biopep_DB!$F$2:$J$1654,5,0),)</f>
        <v>Binding of peptide substrates and inhibitors of angiotensin-converting enzyme. Importance of the COOH-terminal dipeptide sequence.;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Antihypertensive effect of peptide-enriched soy sauce-like seasoning and identification of its angiotensin I-converting enzyme inhibitory substances.; QSAR study on angiotensin-converting enzyme inhibitor oligopeptides based on a novel set of sequence information descriptors.;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
      <c r="E1494" s="1" t="str">
        <f>IFERROR(VLOOKUP(A1494,[1]biopep_DB!$F$2:$L$1654,6,0),0)</f>
        <v>10.1021/jf051263l; 10.1002/psc.892; 10.1021/jf903261h; 10.1007/s00894-010-0862-x; 10.1016/j.talanta.2012.12.041; 10.1016/j.jprot.2013.06.023; 10.1016/j.foodchem.2013.05.140; 10.1080/10408398.2012.664829</v>
      </c>
      <c r="F1494" s="1" t="str">
        <f>IFERROR(VLOOKUP(A1494,[1]biopep_DB!$F$2:$L$1654,7,0),0)</f>
        <v>6243277 16448176 17654623 19994857 20941517 23598136 23806758 23871047 24915368</v>
      </c>
      <c r="G1494" s="5">
        <v>174.2</v>
      </c>
      <c r="H1494" s="5">
        <v>5.49</v>
      </c>
      <c r="I1494" s="5">
        <v>-0.27</v>
      </c>
      <c r="J1494" s="6">
        <v>1.9</v>
      </c>
      <c r="K1494" s="5">
        <v>-37.45</v>
      </c>
      <c r="L1494" s="6">
        <v>0.5</v>
      </c>
      <c r="M1494" s="6">
        <v>-2.49</v>
      </c>
      <c r="N1494" s="6">
        <v>0</v>
      </c>
      <c r="O1494" s="6">
        <v>0.5</v>
      </c>
      <c r="P1494" s="6">
        <v>0.5</v>
      </c>
      <c r="Q1494" s="7"/>
      <c r="R1494" s="7"/>
    </row>
    <row r="1495" spans="1:18">
      <c r="A1495" s="4" t="s">
        <v>2009</v>
      </c>
      <c r="B1495" s="4">
        <f t="shared" si="23"/>
        <v>10</v>
      </c>
      <c r="C1495" s="4" t="s">
        <v>2010</v>
      </c>
      <c r="D1495" s="1" t="str">
        <f>IFERROR(VLOOKUP(A1495,[1]biopep_DB!$F$2:$J$1654,5,0),)</f>
        <v>Angiotensin I-converting enzyme inhibitory properties of whey protein digests: concentration and characterization of active peptides.</v>
      </c>
      <c r="E1495" s="1" t="str">
        <f>IFERROR(VLOOKUP(A1495,[1]biopep_DB!$F$2:$L$1654,6,0),0)</f>
        <v>10.1017/s0022029999003982</v>
      </c>
      <c r="F1495" s="1" t="str">
        <f>IFERROR(VLOOKUP(A1495,[1]biopep_DB!$F$2:$L$1654,7,0),0)</f>
        <v>10717843</v>
      </c>
      <c r="G1495" s="5">
        <v>1200.39</v>
      </c>
      <c r="H1495" s="5">
        <v>8.57</v>
      </c>
      <c r="I1495" s="5">
        <v>0.82</v>
      </c>
      <c r="J1495" s="6">
        <v>0.11</v>
      </c>
      <c r="K1495" s="5">
        <v>9.18</v>
      </c>
      <c r="L1495" s="6">
        <v>0.5</v>
      </c>
      <c r="M1495" s="6">
        <v>-1.463</v>
      </c>
      <c r="N1495" s="6">
        <v>0.3</v>
      </c>
      <c r="O1495" s="6">
        <v>0.2</v>
      </c>
      <c r="P1495" s="6">
        <v>0.5</v>
      </c>
      <c r="Q1495" s="7"/>
      <c r="R1495" s="7"/>
    </row>
    <row r="1496" spans="1:18">
      <c r="A1496" s="4" t="s">
        <v>2011</v>
      </c>
      <c r="B1496" s="4">
        <f t="shared" si="23"/>
        <v>12</v>
      </c>
      <c r="C1496" s="4" t="s">
        <v>2010</v>
      </c>
      <c r="D1496" s="1" t="str">
        <f>IFERROR(VLOOKUP(A1496,[1]biopep_DB!$F$2:$J$1654,5,0),)</f>
        <v/>
      </c>
      <c r="E1496" s="1" t="str">
        <f>IFERROR(VLOOKUP(A1496,[1]biopep_DB!$F$2:$L$1654,6,0),0)</f>
        <v/>
      </c>
      <c r="F1496" s="1" t="str">
        <f>IFERROR(VLOOKUP(A1496,[1]biopep_DB!$F$2:$L$1654,7,0),0)</f>
        <v/>
      </c>
      <c r="G1496" s="5">
        <v>1465.7</v>
      </c>
      <c r="H1496" s="5">
        <v>9.7</v>
      </c>
      <c r="I1496" s="5">
        <v>1.91</v>
      </c>
      <c r="J1496" s="6">
        <v>-0.5</v>
      </c>
      <c r="K1496" s="5">
        <v>29.05</v>
      </c>
      <c r="L1496" s="6">
        <v>0.4167</v>
      </c>
      <c r="M1496" s="6">
        <v>-1.005</v>
      </c>
      <c r="N1496" s="6">
        <v>0.3333</v>
      </c>
      <c r="O1496" s="6">
        <v>0.1667</v>
      </c>
      <c r="P1496" s="6">
        <v>0.4167</v>
      </c>
      <c r="Q1496" s="7"/>
      <c r="R1496" s="7"/>
    </row>
    <row r="1497" spans="1:18">
      <c r="A1497" s="4" t="s">
        <v>2012</v>
      </c>
      <c r="B1497" s="4">
        <f t="shared" si="23"/>
        <v>6</v>
      </c>
      <c r="C1497" s="4" t="s">
        <v>2013</v>
      </c>
      <c r="D1497" s="1" t="str">
        <f>IFERROR(VLOOKUP(A1497,[1]biopep_DB!$F$2:$J$1654,5,0),)</f>
        <v>A new QSAR model, for angiotensin I-converting enzyme inhibitory oligopeptides.</v>
      </c>
      <c r="E1497" s="1" t="str">
        <f>IFERROR(VLOOKUP(A1497,[1]biopep_DB!$F$2:$L$1654,6,0),0)</f>
        <v>10.1016/j.foodchem.2012.09.092</v>
      </c>
      <c r="F1497" s="1" t="str">
        <f>IFERROR(VLOOKUP(A1497,[1]biopep_DB!$F$2:$L$1654,7,0),0)</f>
        <v>23194537</v>
      </c>
      <c r="G1497" s="5">
        <v>644.8</v>
      </c>
      <c r="H1497" s="5">
        <v>5.49</v>
      </c>
      <c r="I1497" s="5">
        <v>-0.27</v>
      </c>
      <c r="J1497" s="6">
        <v>2.2167</v>
      </c>
      <c r="K1497" s="5">
        <v>26.28</v>
      </c>
      <c r="L1497" s="6">
        <v>0.8333</v>
      </c>
      <c r="M1497" s="6">
        <v>-2.9667</v>
      </c>
      <c r="N1497" s="6">
        <v>0.1667</v>
      </c>
      <c r="O1497" s="6">
        <v>0.3333</v>
      </c>
      <c r="P1497" s="6">
        <v>0.6667</v>
      </c>
      <c r="Q1497" s="7"/>
      <c r="R1497" s="7"/>
    </row>
    <row r="1498" spans="1:18">
      <c r="A1498" s="4" t="s">
        <v>2014</v>
      </c>
      <c r="B1498" s="4">
        <f t="shared" si="23"/>
        <v>3</v>
      </c>
      <c r="C1498" s="4" t="s">
        <v>36</v>
      </c>
      <c r="D1498" s="1" t="str">
        <f>IFERROR(VLOOKUP(A1498,[1]biopep_DB!$F$2:$J$1654,5,0),)</f>
        <v>Structural requirements of Angiotensin I-converting enzyme inhibitory peptides: quantitative structure-activity relationship study of di- and tripeptides.</v>
      </c>
      <c r="E1498" s="1" t="str">
        <f>IFERROR(VLOOKUP(A1498,[1]biopep_DB!$F$2:$L$1654,6,0),0)</f>
        <v>10.1021/jf051263l</v>
      </c>
      <c r="F1498" s="1" t="str">
        <f>IFERROR(VLOOKUP(A1498,[1]biopep_DB!$F$2:$L$1654,7,0),0)</f>
        <v>16448176</v>
      </c>
      <c r="G1498" s="5">
        <v>271.31</v>
      </c>
      <c r="H1498" s="5">
        <v>5.49</v>
      </c>
      <c r="I1498" s="5">
        <v>-0.27</v>
      </c>
      <c r="J1498" s="6">
        <v>0.7333</v>
      </c>
      <c r="K1498" s="5">
        <v>-21.63</v>
      </c>
      <c r="L1498" s="6">
        <v>0.6667</v>
      </c>
      <c r="M1498" s="6">
        <v>-1.66</v>
      </c>
      <c r="N1498" s="6">
        <v>0</v>
      </c>
      <c r="O1498" s="6">
        <v>0.6667</v>
      </c>
      <c r="P1498" s="6">
        <v>0.3333</v>
      </c>
      <c r="Q1498" s="7"/>
      <c r="R1498" s="7"/>
    </row>
    <row r="1499" spans="1:18">
      <c r="A1499" s="4" t="s">
        <v>2015</v>
      </c>
      <c r="B1499" s="4">
        <f t="shared" si="23"/>
        <v>8</v>
      </c>
      <c r="C1499" s="4"/>
      <c r="G1499" s="5">
        <v>829.94</v>
      </c>
      <c r="H1499" s="5">
        <v>5.49</v>
      </c>
      <c r="I1499" s="5">
        <v>-0.27</v>
      </c>
      <c r="J1499" s="6">
        <v>0.4875</v>
      </c>
      <c r="K1499" s="5">
        <v>29.73</v>
      </c>
      <c r="L1499" s="6">
        <v>0.75</v>
      </c>
      <c r="M1499" s="6">
        <v>-1.63</v>
      </c>
      <c r="N1499" s="6">
        <v>0.125</v>
      </c>
      <c r="O1499" s="6">
        <v>0.5</v>
      </c>
      <c r="P1499" s="6">
        <v>0.375</v>
      </c>
      <c r="Q1499" s="7"/>
      <c r="R1499" s="7"/>
    </row>
    <row r="1500" spans="1:18">
      <c r="A1500" s="4" t="s">
        <v>2016</v>
      </c>
      <c r="B1500" s="4">
        <f t="shared" si="23"/>
        <v>4</v>
      </c>
      <c r="C1500" s="4" t="s">
        <v>51</v>
      </c>
      <c r="D1500" s="1" t="str">
        <f>IFERROR(VLOOKUP(A1500,[1]biopep_DB!$F$2:$J$1654,5,0),)</f>
        <v>Isolation and characterization of peptides with antihypertensive activity in foodstuffs.</v>
      </c>
      <c r="E1500" s="1" t="str">
        <f>IFERROR(VLOOKUP(A1500,[1]biopep_DB!$F$2:$L$1654,6,0),0)</f>
        <v>10.1080/10408398.2012.664829</v>
      </c>
      <c r="F1500" s="1" t="str">
        <f>IFERROR(VLOOKUP(A1500,[1]biopep_DB!$F$2:$L$1654,7,0),0)</f>
        <v>24915368</v>
      </c>
      <c r="G1500" s="5">
        <v>427.5</v>
      </c>
      <c r="H1500" s="5">
        <v>9.72</v>
      </c>
      <c r="I1500" s="5">
        <v>0.73</v>
      </c>
      <c r="J1500" s="6">
        <v>-0.575</v>
      </c>
      <c r="K1500" s="5">
        <v>-32.58</v>
      </c>
      <c r="L1500" s="6">
        <v>0.5</v>
      </c>
      <c r="M1500" s="6">
        <v>-0.565</v>
      </c>
      <c r="N1500" s="6">
        <v>0</v>
      </c>
      <c r="O1500" s="6">
        <v>0.5</v>
      </c>
      <c r="P1500" s="6">
        <v>0.25</v>
      </c>
      <c r="Q1500" s="7"/>
      <c r="R1500" s="7"/>
    </row>
    <row r="1501" spans="1:18">
      <c r="A1501" s="4" t="s">
        <v>2017</v>
      </c>
      <c r="B1501" s="4">
        <f t="shared" si="23"/>
        <v>18</v>
      </c>
      <c r="C1501" s="4"/>
      <c r="G1501" s="5">
        <v>1698.02</v>
      </c>
      <c r="H1501" s="5">
        <v>10</v>
      </c>
      <c r="I1501" s="5">
        <v>2.73</v>
      </c>
      <c r="J1501" s="6">
        <v>0.2944</v>
      </c>
      <c r="K1501" s="5">
        <v>-25.07</v>
      </c>
      <c r="L1501" s="6">
        <v>0.4444</v>
      </c>
      <c r="M1501" s="6">
        <v>-1.2228</v>
      </c>
      <c r="N1501" s="6">
        <v>0.3889</v>
      </c>
      <c r="O1501" s="6">
        <v>0.2778</v>
      </c>
      <c r="P1501" s="6">
        <v>0.3333</v>
      </c>
      <c r="Q1501" s="7"/>
      <c r="R1501" s="7"/>
    </row>
    <row r="1502" spans="1:18">
      <c r="A1502" s="4" t="s">
        <v>2018</v>
      </c>
      <c r="B1502" s="4">
        <f t="shared" si="23"/>
        <v>5</v>
      </c>
      <c r="C1502" s="4" t="s">
        <v>105</v>
      </c>
      <c r="D1502" s="1" t="str">
        <f>IFERROR(VLOOKUP(A1502,[1]biopep_DB!$F$2:$J$1654,5,0),)</f>
        <v/>
      </c>
      <c r="E1502" s="1" t="str">
        <f>IFERROR(VLOOKUP(A1502,[1]biopep_DB!$F$2:$L$1654,6,0),0)</f>
        <v/>
      </c>
      <c r="F1502" s="1" t="str">
        <f>IFERROR(VLOOKUP(A1502,[1]biopep_DB!$F$2:$L$1654,7,0),0)</f>
        <v/>
      </c>
      <c r="G1502" s="5">
        <v>561.67</v>
      </c>
      <c r="H1502" s="5">
        <v>6.71</v>
      </c>
      <c r="I1502" s="5">
        <v>-0.18</v>
      </c>
      <c r="J1502" s="6">
        <v>0.46</v>
      </c>
      <c r="K1502" s="5">
        <v>128.64</v>
      </c>
      <c r="L1502" s="6">
        <v>0.8</v>
      </c>
      <c r="M1502" s="6">
        <v>-1.594</v>
      </c>
      <c r="N1502" s="6">
        <v>0</v>
      </c>
      <c r="O1502" s="6">
        <v>0.4</v>
      </c>
      <c r="P1502" s="6">
        <v>0.4</v>
      </c>
      <c r="Q1502" s="7"/>
      <c r="R1502" s="7"/>
    </row>
    <row r="1503" spans="1:18">
      <c r="A1503" s="4" t="s">
        <v>2019</v>
      </c>
      <c r="B1503" s="4">
        <f t="shared" si="23"/>
        <v>5</v>
      </c>
      <c r="C1503" s="4" t="s">
        <v>1392</v>
      </c>
      <c r="D1503" s="1" t="str">
        <f>IFERROR(VLOOKUP(A1503,[1]biopep_DB!$F$2:$J$1654,5,0),)</f>
        <v>A new QSAR model, for angiotensin I-converting enzyme inhibitory oligopeptides.</v>
      </c>
      <c r="E1503" s="1" t="str">
        <f>IFERROR(VLOOKUP(A1503,[1]biopep_DB!$F$2:$L$1654,6,0),0)</f>
        <v>10.1016/j.foodchem.2012.09.092</v>
      </c>
      <c r="F1503" s="1" t="str">
        <f>IFERROR(VLOOKUP(A1503,[1]biopep_DB!$F$2:$L$1654,7,0),0)</f>
        <v>23194537</v>
      </c>
      <c r="G1503" s="5">
        <v>535.64</v>
      </c>
      <c r="H1503" s="5">
        <v>6.71</v>
      </c>
      <c r="I1503" s="5">
        <v>-0.18</v>
      </c>
      <c r="J1503" s="6">
        <v>1</v>
      </c>
      <c r="K1503" s="5">
        <v>46.52</v>
      </c>
      <c r="L1503" s="6">
        <v>0.8</v>
      </c>
      <c r="M1503" s="6">
        <v>-1.956</v>
      </c>
      <c r="N1503" s="6">
        <v>0.4</v>
      </c>
      <c r="O1503" s="6">
        <v>0.2</v>
      </c>
      <c r="P1503" s="6">
        <v>0.4</v>
      </c>
      <c r="Q1503" s="7"/>
      <c r="R1503" s="7"/>
    </row>
    <row r="1504" spans="1:18">
      <c r="A1504" s="4" t="s">
        <v>2020</v>
      </c>
      <c r="B1504" s="4">
        <f t="shared" si="23"/>
        <v>5</v>
      </c>
      <c r="C1504" s="4" t="s">
        <v>391</v>
      </c>
      <c r="D1504" s="1" t="str">
        <f>IFERROR(VLOOKUP(A1504,[1]biopep_DB!$F$2:$J$1654,5,0),)</f>
        <v>A new QSAR model, for angiotensin I-converting enzyme inhibitory oligopeptides.</v>
      </c>
      <c r="E1504" s="1" t="str">
        <f>IFERROR(VLOOKUP(A1504,[1]biopep_DB!$F$2:$L$1654,6,0),0)</f>
        <v>10.1016/j.foodchem.2012.09.092</v>
      </c>
      <c r="F1504" s="1" t="str">
        <f>IFERROR(VLOOKUP(A1504,[1]biopep_DB!$F$2:$L$1654,7,0),0)</f>
        <v>23194537</v>
      </c>
      <c r="G1504" s="5">
        <v>561.67</v>
      </c>
      <c r="H1504" s="5">
        <v>6.71</v>
      </c>
      <c r="I1504" s="5">
        <v>-0.18</v>
      </c>
      <c r="J1504" s="6">
        <v>0.32</v>
      </c>
      <c r="K1504" s="5">
        <v>85.04</v>
      </c>
      <c r="L1504" s="6">
        <v>0.8</v>
      </c>
      <c r="M1504" s="6">
        <v>-1.594</v>
      </c>
      <c r="N1504" s="6">
        <v>0.2</v>
      </c>
      <c r="O1504" s="6">
        <v>0.4</v>
      </c>
      <c r="P1504" s="6">
        <v>0.4</v>
      </c>
      <c r="Q1504" s="7"/>
      <c r="R1504" s="7"/>
    </row>
    <row r="1505" spans="1:18">
      <c r="A1505" s="4" t="s">
        <v>2021</v>
      </c>
      <c r="B1505" s="4">
        <f t="shared" si="23"/>
        <v>6</v>
      </c>
      <c r="C1505" s="4" t="s">
        <v>1914</v>
      </c>
      <c r="D1505" s="1" t="str">
        <f>IFERROR(VLOOKUP(A1505,[1]biopep_DB!$F$2:$J$1654,5,0),)</f>
        <v>A new QSAR model, for angiotensin I-converting enzyme inhibitory oligopeptides.</v>
      </c>
      <c r="E1505" s="1" t="str">
        <f>IFERROR(VLOOKUP(A1505,[1]biopep_DB!$F$2:$L$1654,6,0),0)</f>
        <v>10.1016/j.foodchem.2012.09.092</v>
      </c>
      <c r="F1505" s="1" t="str">
        <f>IFERROR(VLOOKUP(A1505,[1]biopep_DB!$F$2:$L$1654,7,0),0)</f>
        <v>23194537</v>
      </c>
      <c r="G1505" s="5">
        <v>658.79</v>
      </c>
      <c r="H1505" s="5">
        <v>6.71</v>
      </c>
      <c r="I1505" s="5">
        <v>-0.18</v>
      </c>
      <c r="J1505" s="6">
        <v>0</v>
      </c>
      <c r="K1505" s="5">
        <v>104.63</v>
      </c>
      <c r="L1505" s="6">
        <v>0.8333</v>
      </c>
      <c r="M1505" s="6">
        <v>-1.3283</v>
      </c>
      <c r="N1505" s="6">
        <v>0.1667</v>
      </c>
      <c r="O1505" s="6">
        <v>0.5</v>
      </c>
      <c r="P1505" s="6">
        <v>0.3333</v>
      </c>
      <c r="Q1505" s="7"/>
      <c r="R1505" s="7"/>
    </row>
    <row r="1506" spans="1:18">
      <c r="A1506" s="4" t="s">
        <v>2022</v>
      </c>
      <c r="B1506" s="4">
        <f t="shared" si="23"/>
        <v>5</v>
      </c>
      <c r="C1506" s="4" t="s">
        <v>31</v>
      </c>
      <c r="D1506" s="1" t="str">
        <f>IFERROR(VLOOKUP(A1506,[1]biopep_DB!$F$2:$J$1654,5,0),)</f>
        <v/>
      </c>
      <c r="E1506" s="1" t="str">
        <f>IFERROR(VLOOKUP(A1506,[1]biopep_DB!$F$2:$L$1654,6,0),0)</f>
        <v/>
      </c>
      <c r="F1506" s="1" t="str">
        <f>IFERROR(VLOOKUP(A1506,[1]biopep_DB!$F$2:$L$1654,7,0),0)</f>
        <v/>
      </c>
      <c r="G1506" s="5">
        <v>641.79</v>
      </c>
      <c r="H1506" s="5">
        <v>9.51</v>
      </c>
      <c r="I1506" s="5">
        <v>1.81</v>
      </c>
      <c r="J1506" s="6">
        <v>-0.98</v>
      </c>
      <c r="K1506" s="5">
        <v>8</v>
      </c>
      <c r="L1506" s="6">
        <v>0.2</v>
      </c>
      <c r="M1506" s="6">
        <v>-0.006</v>
      </c>
      <c r="N1506" s="6">
        <v>0.2</v>
      </c>
      <c r="O1506" s="6">
        <v>0</v>
      </c>
      <c r="P1506" s="6">
        <v>0.2</v>
      </c>
      <c r="Q1506" s="7"/>
      <c r="R1506" s="7"/>
    </row>
    <row r="1507" spans="1:18">
      <c r="A1507" s="4" t="s">
        <v>2023</v>
      </c>
      <c r="B1507" s="4">
        <f t="shared" si="23"/>
        <v>13</v>
      </c>
      <c r="C1507" s="4" t="s">
        <v>559</v>
      </c>
      <c r="D1507" s="1" t="str">
        <f>IFERROR(VLOOKUP(A1507,[1]biopep_DB!$F$2:$J$1654,5,0),)</f>
        <v/>
      </c>
      <c r="E1507" s="1" t="str">
        <f>IFERROR(VLOOKUP(A1507,[1]biopep_DB!$F$2:$L$1654,6,0),0)</f>
        <v/>
      </c>
      <c r="F1507" s="1" t="str">
        <f>IFERROR(VLOOKUP(A1507,[1]biopep_DB!$F$2:$L$1654,7,0),0)</f>
        <v/>
      </c>
      <c r="G1507" s="5">
        <v>1429.53</v>
      </c>
      <c r="H1507" s="5">
        <v>6.71</v>
      </c>
      <c r="I1507" s="5">
        <v>-0.18</v>
      </c>
      <c r="J1507" s="6">
        <v>-0.3923</v>
      </c>
      <c r="K1507" s="5">
        <v>102.29</v>
      </c>
      <c r="L1507" s="6">
        <v>0.3846</v>
      </c>
      <c r="M1507" s="6">
        <v>-0.4538</v>
      </c>
      <c r="N1507" s="6">
        <v>0.0769</v>
      </c>
      <c r="O1507" s="6">
        <v>0.3077</v>
      </c>
      <c r="P1507" s="6">
        <v>0.3077</v>
      </c>
      <c r="Q1507" s="7"/>
      <c r="R1507" s="7"/>
    </row>
    <row r="1508" spans="1:18">
      <c r="A1508" s="4" t="s">
        <v>2024</v>
      </c>
      <c r="B1508" s="4">
        <f t="shared" si="23"/>
        <v>3</v>
      </c>
      <c r="C1508" s="4" t="s">
        <v>31</v>
      </c>
      <c r="D1508" s="1" t="str">
        <f>IFERROR(VLOOKUP(A1508,[1]biopep_DB!$F$2:$J$1654,5,0),)</f>
        <v/>
      </c>
      <c r="E1508" s="1" t="str">
        <f>IFERROR(VLOOKUP(A1508,[1]biopep_DB!$F$2:$L$1654,6,0),0)</f>
        <v/>
      </c>
      <c r="F1508" s="1" t="str">
        <f>IFERROR(VLOOKUP(A1508,[1]biopep_DB!$F$2:$L$1654,7,0),0)</f>
        <v/>
      </c>
      <c r="G1508" s="5">
        <v>417.46</v>
      </c>
      <c r="H1508" s="5">
        <v>6.71</v>
      </c>
      <c r="I1508" s="5">
        <v>-0.18</v>
      </c>
      <c r="J1508" s="6">
        <v>-0.1</v>
      </c>
      <c r="K1508" s="5">
        <v>153.13</v>
      </c>
      <c r="L1508" s="6">
        <v>0.3333</v>
      </c>
      <c r="M1508" s="6">
        <v>-0.97</v>
      </c>
      <c r="N1508" s="6">
        <v>0</v>
      </c>
      <c r="O1508" s="6">
        <v>0</v>
      </c>
      <c r="P1508" s="6">
        <v>0.6667</v>
      </c>
      <c r="Q1508" s="7"/>
      <c r="R1508" s="7"/>
    </row>
    <row r="1509" spans="1:18">
      <c r="A1509" s="4" t="s">
        <v>2025</v>
      </c>
      <c r="B1509" s="4">
        <f t="shared" si="23"/>
        <v>5</v>
      </c>
      <c r="C1509" s="4" t="s">
        <v>31</v>
      </c>
      <c r="D1509" s="1" t="str">
        <f>IFERROR(VLOOKUP(A1509,[1]biopep_DB!$F$2:$J$1654,5,0),)</f>
        <v/>
      </c>
      <c r="E1509" s="1" t="str">
        <f>IFERROR(VLOOKUP(A1509,[1]biopep_DB!$F$2:$L$1654,6,0),0)</f>
        <v/>
      </c>
      <c r="F1509" s="1" t="str">
        <f>IFERROR(VLOOKUP(A1509,[1]biopep_DB!$F$2:$L$1654,7,0),0)</f>
        <v/>
      </c>
      <c r="G1509" s="5">
        <v>617.65</v>
      </c>
      <c r="H1509" s="5">
        <v>5.24</v>
      </c>
      <c r="I1509" s="5">
        <v>-1.18</v>
      </c>
      <c r="J1509" s="6">
        <v>-0.4</v>
      </c>
      <c r="K1509" s="5">
        <v>80.8</v>
      </c>
      <c r="L1509" s="6">
        <v>0.4</v>
      </c>
      <c r="M1509" s="6">
        <v>-0.616</v>
      </c>
      <c r="N1509" s="6">
        <v>0.4</v>
      </c>
      <c r="O1509" s="6">
        <v>0</v>
      </c>
      <c r="P1509" s="6">
        <v>0.4</v>
      </c>
      <c r="Q1509" s="7"/>
      <c r="R1509" s="7"/>
    </row>
    <row r="1510" spans="1:18">
      <c r="A1510" s="4" t="s">
        <v>2026</v>
      </c>
      <c r="B1510" s="4">
        <f t="shared" si="23"/>
        <v>2</v>
      </c>
      <c r="C1510" s="4"/>
      <c r="D1510" s="1" t="str">
        <f>IFERROR(VLOOKUP(A1510,[1]biopep_DB!$F$2:$J$1654,5,0),)</f>
        <v>Quantitative structure-activity relationship study of bitter di- and tri-peptides including relationship with angiotensin I-converting enzyme inhibitory activity.</v>
      </c>
      <c r="E1510" s="1" t="str">
        <f>IFERROR(VLOOKUP(A1510,[1]biopep_DB!$F$2:$L$1654,6,0),0)</f>
        <v>10.1002/psc.800</v>
      </c>
      <c r="F1510" s="1" t="str">
        <f>IFERROR(VLOOKUP(A1510,[1]biopep_DB!$F$2:$L$1654,7,0),0)</f>
        <v>17117396</v>
      </c>
      <c r="G1510" s="5">
        <v>230.3</v>
      </c>
      <c r="H1510" s="5">
        <v>5.49</v>
      </c>
      <c r="I1510" s="5">
        <v>-0.27</v>
      </c>
      <c r="J1510" s="6">
        <v>4.35</v>
      </c>
      <c r="K1510" s="5">
        <v>5</v>
      </c>
      <c r="L1510" s="6">
        <v>1</v>
      </c>
      <c r="M1510" s="6">
        <v>-4.48</v>
      </c>
      <c r="N1510" s="6">
        <v>0</v>
      </c>
      <c r="O1510" s="6">
        <v>0</v>
      </c>
      <c r="P1510" s="6">
        <v>1</v>
      </c>
      <c r="Q1510" s="7"/>
      <c r="R1510" s="7"/>
    </row>
    <row r="1511" spans="1:18">
      <c r="A1511" s="4" t="s">
        <v>2027</v>
      </c>
      <c r="B1511" s="4">
        <f t="shared" si="23"/>
        <v>6</v>
      </c>
      <c r="C1511" s="4" t="s">
        <v>2028</v>
      </c>
      <c r="D1511" s="1" t="str">
        <f>IFERROR(VLOOKUP(A1511,[1]biopep_DB!$F$2:$J$1654,5,0),)</f>
        <v>Angiotensin converting enzyme inhibitory peptides derived from food proteins: biochemistry, bioactivity and production.; Langmuir monolayers of a hydrogenated/fluorinated catanionic surfactant: from the macroscopic to the nanoscopic size scale.; A new QSAR model, for angiotensin I-converting enzyme inhibitory oligopeptides.</v>
      </c>
      <c r="E1511" s="1" t="str">
        <f>IFERROR(VLOOKUP(A1511,[1]biopep_DB!$F$2:$L$1654,6,0),0)</f>
        <v>10.2174/138161207780363068; 10.1021/la900593c; 10.1016/j.foodchem.2012.09.092</v>
      </c>
      <c r="F1511" s="1" t="str">
        <f>IFERROR(VLOOKUP(A1511,[1]biopep_DB!$F$2:$L$1654,7,0),0)</f>
        <v>17430180 19449890 23194537</v>
      </c>
      <c r="G1511" s="5">
        <v>747.88</v>
      </c>
      <c r="H1511" s="5">
        <v>5.97</v>
      </c>
      <c r="I1511" s="5">
        <v>-0.27</v>
      </c>
      <c r="J1511" s="6">
        <v>-0.2667</v>
      </c>
      <c r="K1511" s="5">
        <v>102.13</v>
      </c>
      <c r="L1511" s="6">
        <v>0.5</v>
      </c>
      <c r="M1511" s="6">
        <v>-0.9333</v>
      </c>
      <c r="N1511" s="6">
        <v>0.3333</v>
      </c>
      <c r="O1511" s="6">
        <v>0.1667</v>
      </c>
      <c r="P1511" s="6">
        <v>0.5</v>
      </c>
      <c r="Q1511" s="7"/>
      <c r="R1511" s="7"/>
    </row>
    <row r="1512" spans="1:18">
      <c r="A1512" s="4" t="s">
        <v>2029</v>
      </c>
      <c r="B1512" s="4">
        <f t="shared" si="23"/>
        <v>3</v>
      </c>
      <c r="C1512" s="4" t="s">
        <v>2030</v>
      </c>
      <c r="D1512" s="1" t="str">
        <f>IFERROR(VLOOKUP(A1512,[1]biopep_DB!$F$2:$J$1654,5,0),)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Review on the angiotensin-I-converting enzyme (ACE) inhibitor peptides from marine proteins.; What are the ideal properties for functional food peptides with antihypertensive effect? A computational peptidology approach.</v>
      </c>
      <c r="E1512" s="1" t="str">
        <f>IFERROR(VLOOKUP(A1512,[1]biopep_DB!$F$2:$L$1654,6,0),0)</f>
        <v>10.1002/psc.800; 10.1007/s00894-010-0862-x; 10.1007/s12010-012-0024-y; 10.1016/j.foodchem.2013.05.140</v>
      </c>
      <c r="F1512" s="1" t="str">
        <f>IFERROR(VLOOKUP(A1512,[1]biopep_DB!$F$2:$L$1654,7,0),0)</f>
        <v>17117396 20941517 23271625 23871047</v>
      </c>
      <c r="G1512" s="5">
        <v>377.48</v>
      </c>
      <c r="H1512" s="5">
        <v>5.49</v>
      </c>
      <c r="I1512" s="5">
        <v>-0.27</v>
      </c>
      <c r="J1512" s="6">
        <v>3.8333</v>
      </c>
      <c r="K1512" s="5">
        <v>6.67</v>
      </c>
      <c r="L1512" s="6">
        <v>1</v>
      </c>
      <c r="M1512" s="6">
        <v>-3.98</v>
      </c>
      <c r="N1512" s="6">
        <v>0</v>
      </c>
      <c r="O1512" s="6">
        <v>0</v>
      </c>
      <c r="P1512" s="6">
        <v>1</v>
      </c>
      <c r="Q1512" s="7"/>
      <c r="R1512" s="7"/>
    </row>
    <row r="1513" spans="1:18">
      <c r="A1513" s="4" t="s">
        <v>2031</v>
      </c>
      <c r="B1513" s="4">
        <f t="shared" si="23"/>
        <v>9</v>
      </c>
      <c r="C1513" s="4" t="s">
        <v>1080</v>
      </c>
      <c r="D1513" s="1" t="str">
        <f>IFERROR(VLOOKUP(A1513,[1]biopep_DB!$F$2:$J$1654,5,0),)</f>
        <v/>
      </c>
      <c r="E1513" s="1" t="str">
        <f>IFERROR(VLOOKUP(A1513,[1]biopep_DB!$F$2:$L$1654,6,0),0)</f>
        <v/>
      </c>
      <c r="F1513" s="1" t="str">
        <f>IFERROR(VLOOKUP(A1513,[1]biopep_DB!$F$2:$L$1654,7,0),0)</f>
        <v/>
      </c>
      <c r="G1513" s="5">
        <v>925.04</v>
      </c>
      <c r="H1513" s="5">
        <v>4.05</v>
      </c>
      <c r="I1513" s="5">
        <v>-1.26</v>
      </c>
      <c r="J1513" s="6">
        <v>0.2</v>
      </c>
      <c r="K1513" s="5">
        <v>119.82</v>
      </c>
      <c r="L1513" s="6">
        <v>0.5556</v>
      </c>
      <c r="M1513" s="6">
        <v>-1.1911</v>
      </c>
      <c r="N1513" s="6">
        <v>0.1111</v>
      </c>
      <c r="O1513" s="6">
        <v>0.5556</v>
      </c>
      <c r="P1513" s="6">
        <v>0.3333</v>
      </c>
      <c r="Q1513" s="7"/>
      <c r="R1513" s="7"/>
    </row>
    <row r="1514" spans="1:18">
      <c r="A1514" s="4" t="s">
        <v>2032</v>
      </c>
      <c r="B1514" s="4">
        <f t="shared" si="23"/>
        <v>9</v>
      </c>
      <c r="C1514" s="4" t="s">
        <v>1362</v>
      </c>
      <c r="D1514" s="1" t="str">
        <f>IFERROR(VLOOKUP(A1514,[1]biopep_DB!$F$2:$J$1654,5,0),)</f>
        <v>QSAR study on angiotensin-converting enzyme inhibitor oligopeptides based on a novel set of sequence information descriptors.; A new QSAR model, for angiotensin I-converting enzyme inhibitory oligopeptides.</v>
      </c>
      <c r="E1514" s="1" t="str">
        <f>IFERROR(VLOOKUP(A1514,[1]biopep_DB!$F$2:$L$1654,6,0),0)</f>
        <v>10.1007/s00894-010-0862-x; 10.1016/j.foodchem.2012.09.092</v>
      </c>
      <c r="F1514" s="1" t="str">
        <f>IFERROR(VLOOKUP(A1514,[1]biopep_DB!$F$2:$L$1654,7,0),0)</f>
        <v>20941517 23194537</v>
      </c>
      <c r="G1514" s="5">
        <v>924.05</v>
      </c>
      <c r="H1514" s="5">
        <v>5.49</v>
      </c>
      <c r="I1514" s="5">
        <v>-0.27</v>
      </c>
      <c r="J1514" s="6">
        <v>0.2</v>
      </c>
      <c r="K1514" s="5">
        <v>100.51</v>
      </c>
      <c r="L1514" s="6">
        <v>0.5556</v>
      </c>
      <c r="M1514" s="6">
        <v>-1.2222</v>
      </c>
      <c r="N1514" s="6">
        <v>0</v>
      </c>
      <c r="O1514" s="6">
        <v>0.5556</v>
      </c>
      <c r="P1514" s="6">
        <v>0.3333</v>
      </c>
      <c r="Q1514" s="7"/>
      <c r="R1514" s="7"/>
    </row>
    <row r="1515" spans="1:18">
      <c r="A1515" s="4" t="s">
        <v>2033</v>
      </c>
      <c r="B1515" s="4">
        <f t="shared" si="23"/>
        <v>4</v>
      </c>
      <c r="C1515" s="4" t="s">
        <v>2034</v>
      </c>
      <c r="D1515" s="1" t="str">
        <f>IFERROR(VLOOKUP(A1515,[1]biopep_DB!$F$2:$J$1654,5,0),)</f>
        <v>Review on the angiotensin-I-converting enzyme (ACE) inhibitor peptides from marine proteins.; What are the ideal properties for functional food peptides with antihypertensive effect? A computational peptidology approach.</v>
      </c>
      <c r="E1515" s="1" t="str">
        <f>IFERROR(VLOOKUP(A1515,[1]biopep_DB!$F$2:$L$1654,6,0),0)</f>
        <v>10.1007/s12010-012-0024-y; 10.1016/j.foodchem.2013.05.140</v>
      </c>
      <c r="F1515" s="1" t="str">
        <f>IFERROR(VLOOKUP(A1515,[1]biopep_DB!$F$2:$L$1654,7,0),0)</f>
        <v>23271625 23871047</v>
      </c>
      <c r="G1515" s="5">
        <v>490.64</v>
      </c>
      <c r="H1515" s="5">
        <v>5.49</v>
      </c>
      <c r="I1515" s="5">
        <v>-0.27</v>
      </c>
      <c r="J1515" s="6">
        <v>4</v>
      </c>
      <c r="K1515" s="5">
        <v>7.5</v>
      </c>
      <c r="L1515" s="6">
        <v>1</v>
      </c>
      <c r="M1515" s="6">
        <v>-4.215</v>
      </c>
      <c r="N1515" s="6">
        <v>0</v>
      </c>
      <c r="O1515" s="6">
        <v>0</v>
      </c>
      <c r="P1515" s="6">
        <v>1</v>
      </c>
      <c r="Q1515" s="7"/>
      <c r="R1515" s="7"/>
    </row>
    <row r="1516" spans="1:18">
      <c r="A1516" s="4" t="s">
        <v>2035</v>
      </c>
      <c r="B1516" s="4">
        <f t="shared" si="23"/>
        <v>4</v>
      </c>
      <c r="C1516" s="4"/>
      <c r="D1516" s="1" t="str">
        <f>IFERROR(VLOOKUP(A1516,[1]biopep_DB!$F$2:$J$1654,5,0),)</f>
        <v>What are the ideal properties for functional food peptides with antihypertensive effect? A computational peptidology approach.</v>
      </c>
      <c r="E1516" s="1" t="str">
        <f>IFERROR(VLOOKUP(A1516,[1]biopep_DB!$F$2:$L$1654,6,0),0)</f>
        <v>10.1016/j.foodchem.2013.05.140</v>
      </c>
      <c r="F1516" s="1" t="str">
        <f>IFERROR(VLOOKUP(A1516,[1]biopep_DB!$F$2:$L$1654,7,0),0)</f>
        <v>23871047</v>
      </c>
      <c r="G1516" s="5">
        <v>455.59</v>
      </c>
      <c r="H1516" s="5">
        <v>8.72</v>
      </c>
      <c r="I1516" s="5">
        <v>0.73</v>
      </c>
      <c r="J1516" s="6">
        <v>0.8</v>
      </c>
      <c r="K1516" s="5">
        <v>-32.58</v>
      </c>
      <c r="L1516" s="6">
        <v>0.75</v>
      </c>
      <c r="M1516" s="6">
        <v>-1.845</v>
      </c>
      <c r="N1516" s="6">
        <v>0.25</v>
      </c>
      <c r="O1516" s="6">
        <v>0.25</v>
      </c>
      <c r="P1516" s="6">
        <v>0.5</v>
      </c>
      <c r="Q1516" s="7"/>
      <c r="R1516" s="7"/>
    </row>
    <row r="1517" spans="1:18">
      <c r="A1517" s="4" t="s">
        <v>2036</v>
      </c>
      <c r="B1517" s="4">
        <f t="shared" si="23"/>
        <v>3</v>
      </c>
      <c r="C1517" s="4" t="s">
        <v>31</v>
      </c>
      <c r="D1517" s="1" t="str">
        <f>IFERROR(VLOOKUP(A1517,[1]biopep_DB!$F$2:$J$1654,5,0),)</f>
        <v/>
      </c>
      <c r="E1517" s="1" t="str">
        <f>IFERROR(VLOOKUP(A1517,[1]biopep_DB!$F$2:$L$1654,6,0),0)</f>
        <v/>
      </c>
      <c r="F1517" s="1" t="str">
        <f>IFERROR(VLOOKUP(A1517,[1]biopep_DB!$F$2:$L$1654,7,0),0)</f>
        <v/>
      </c>
      <c r="G1517" s="5">
        <v>327.42</v>
      </c>
      <c r="H1517" s="5">
        <v>5.49</v>
      </c>
      <c r="I1517" s="5">
        <v>-0.27</v>
      </c>
      <c r="J1517" s="6">
        <v>2.3667</v>
      </c>
      <c r="K1517" s="5">
        <v>-2.93</v>
      </c>
      <c r="L1517" s="6">
        <v>1</v>
      </c>
      <c r="M1517" s="6">
        <v>-2.9867</v>
      </c>
      <c r="N1517" s="6">
        <v>0</v>
      </c>
      <c r="O1517" s="6">
        <v>0.3333</v>
      </c>
      <c r="P1517" s="6">
        <v>0.6667</v>
      </c>
      <c r="Q1517" s="7"/>
      <c r="R1517" s="7"/>
    </row>
    <row r="1518" spans="1:18">
      <c r="A1518" s="4" t="s">
        <v>2037</v>
      </c>
      <c r="B1518" s="4">
        <f t="shared" si="23"/>
        <v>6</v>
      </c>
      <c r="C1518" s="4" t="s">
        <v>1927</v>
      </c>
      <c r="D1518" s="1" t="str">
        <f>IFERROR(VLOOKUP(A1518,[1]biopep_DB!$F$2:$J$1654,5,0),)</f>
        <v/>
      </c>
      <c r="E1518" s="1" t="str">
        <f>IFERROR(VLOOKUP(A1518,[1]biopep_DB!$F$2:$L$1654,6,0),0)</f>
        <v/>
      </c>
      <c r="F1518" s="1" t="str">
        <f>IFERROR(VLOOKUP(A1518,[1]biopep_DB!$F$2:$L$1654,7,0),0)</f>
        <v/>
      </c>
      <c r="G1518" s="5">
        <v>632.75</v>
      </c>
      <c r="H1518" s="5">
        <v>5.49</v>
      </c>
      <c r="I1518" s="5">
        <v>-0.27</v>
      </c>
      <c r="J1518" s="6">
        <v>1.5667</v>
      </c>
      <c r="K1518" s="5">
        <v>35.63</v>
      </c>
      <c r="L1518" s="6">
        <v>0.8333</v>
      </c>
      <c r="M1518" s="6">
        <v>-2.0733</v>
      </c>
      <c r="N1518" s="6">
        <v>0.3333</v>
      </c>
      <c r="O1518" s="6">
        <v>0.1667</v>
      </c>
      <c r="P1518" s="6">
        <v>0.5</v>
      </c>
      <c r="Q1518" s="7"/>
      <c r="R1518" s="7"/>
    </row>
    <row r="1519" spans="1:18">
      <c r="A1519" s="4" t="s">
        <v>2038</v>
      </c>
      <c r="B1519" s="4">
        <f t="shared" si="23"/>
        <v>5</v>
      </c>
      <c r="C1519" s="4" t="s">
        <v>2039</v>
      </c>
      <c r="D1519" s="1" t="str">
        <f>IFERROR(VLOOKUP(A1519,[1]biopep_DB!$F$2:$J$1654,5,0),)</f>
        <v>Angiotensin I-converting enzyme inhibitory peptides generated from in vitro gastrointestinal digestion of pork meat.; A new QSAR model, for angiotensin I-converting enzyme inhibitory oligopeptides.; Isolation and characterization of peptides with antihypertensive activity in foodstuffs.</v>
      </c>
      <c r="E1519" s="1" t="str">
        <f>IFERROR(VLOOKUP(A1519,[1]biopep_DB!$F$2:$L$1654,6,0),0)</f>
        <v>10.1021/jf904204n; 10.1016/j.foodchem.2012.09.092; 10.1080/10408398.2012.664829</v>
      </c>
      <c r="F1519" s="1" t="str">
        <f>IFERROR(VLOOKUP(A1519,[1]biopep_DB!$F$2:$L$1654,7,0),0)</f>
        <v>20151679 23194537 24915368</v>
      </c>
      <c r="G1519" s="5">
        <v>569.69</v>
      </c>
      <c r="H1519" s="5">
        <v>4.05</v>
      </c>
      <c r="I1519" s="5">
        <v>-1.26</v>
      </c>
      <c r="J1519" s="6">
        <v>1.48</v>
      </c>
      <c r="K1519" s="5">
        <v>37</v>
      </c>
      <c r="L1519" s="6">
        <v>0.8</v>
      </c>
      <c r="M1519" s="6">
        <v>-2.448</v>
      </c>
      <c r="N1519" s="6">
        <v>0.4</v>
      </c>
      <c r="O1519" s="6">
        <v>0.2</v>
      </c>
      <c r="P1519" s="6">
        <v>0.6</v>
      </c>
      <c r="Q1519" s="7"/>
      <c r="R1519" s="7"/>
    </row>
    <row r="1520" spans="1:18">
      <c r="A1520" s="4" t="s">
        <v>2040</v>
      </c>
      <c r="B1520" s="4">
        <f t="shared" si="23"/>
        <v>3</v>
      </c>
      <c r="C1520" s="4" t="s">
        <v>36</v>
      </c>
      <c r="D1520" s="1" t="str">
        <f>IFERROR(VLOOKUP(A1520,[1]biopep_DB!$F$2:$J$1654,5,0),)</f>
        <v>Structural requirements of Angiotensin I-converting enzyme inhibitory peptides: quantitative structure-activity relationship study of di- and tripeptides.; Antihypertensive effect of angiotensin I-converting enzyme inhibitory peptides from a sesame protein hydrolysate in spontaneously hypertensive rats.; Antihypertensive peptides from food proteins: a review.;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1520" s="1" t="str">
        <f>IFERROR(VLOOKUP(A1520,[1]biopep_DB!$F$2:$L$1654,6,0),0)</f>
        <v>10.1021/jf051263l; 10.1271/bbb.70.1118; 10.1039/c2fo10192k; 10.1016/j.talanta.2012.12.041; 10.1016/j.foodchem.2013.05.140; 10.1080/10408398.2012.664829</v>
      </c>
      <c r="F1520" s="1" t="str">
        <f>IFERROR(VLOOKUP(A1520,[1]biopep_DB!$F$2:$L$1654,7,0),0)</f>
        <v>16448176 16717411 22249830 23598136 23871047 24915368</v>
      </c>
      <c r="G1520" s="5">
        <v>393.48</v>
      </c>
      <c r="H1520" s="5">
        <v>5.49</v>
      </c>
      <c r="I1520" s="5">
        <v>-0.27</v>
      </c>
      <c r="J1520" s="6">
        <v>2.4667</v>
      </c>
      <c r="K1520" s="5">
        <v>6.67</v>
      </c>
      <c r="L1520" s="6">
        <v>0.6667</v>
      </c>
      <c r="M1520" s="6">
        <v>-2.94</v>
      </c>
      <c r="N1520" s="6">
        <v>0</v>
      </c>
      <c r="O1520" s="6">
        <v>0</v>
      </c>
      <c r="P1520" s="6">
        <v>1</v>
      </c>
      <c r="Q1520" s="7"/>
      <c r="R1520" s="7"/>
    </row>
    <row r="1521" spans="1:18">
      <c r="A1521" s="4" t="s">
        <v>2041</v>
      </c>
      <c r="B1521" s="4">
        <f t="shared" si="23"/>
        <v>2</v>
      </c>
      <c r="C1521" s="4" t="s">
        <v>36</v>
      </c>
      <c r="D1521" s="1" t="str">
        <f>IFERROR(VLOOKUP(A1521,[1]biopep_DB!$F$2:$J$1654,5,0),)</f>
        <v>Structural requirements of Angiotensin I-converting enzyme inhibitory peptides: quantitative structure-activity relationship study of di- and tripeptides.; Model of the exofacial substrate-binding site and helical folding of the human Glut1 glucose transporter based on scanning mutagenesis.; Peptides with angiotensin I converting enzyme (ACE) inhibitory activity generated from porcine skeletal muscle proteins by the action of meat-borne Lactobacillus.; Isolation and characterization of peptides with antihypertensive activity in foodstuffs.</v>
      </c>
      <c r="E1521" s="1" t="str">
        <f>IFERROR(VLOOKUP(A1521,[1]biopep_DB!$F$2:$L$1654,6,0),0)</f>
        <v>10.1021/jf051263l; 10.1021/bi900521n; 10.1016/j.jprot.2013.06.023; 10.1080/10408398.2012.664829</v>
      </c>
      <c r="F1521" s="1" t="str">
        <f>IFERROR(VLOOKUP(A1521,[1]biopep_DB!$F$2:$L$1654,7,0),0)</f>
        <v>16448176 19449892 23806758 24915368</v>
      </c>
      <c r="G1521" s="5">
        <v>245.32</v>
      </c>
      <c r="H1521" s="5">
        <v>8.72</v>
      </c>
      <c r="I1521" s="5">
        <v>0.73</v>
      </c>
      <c r="J1521" s="6">
        <v>0.15</v>
      </c>
      <c r="K1521" s="5">
        <v>-9.4</v>
      </c>
      <c r="L1521" s="6">
        <v>0.5</v>
      </c>
      <c r="M1521" s="6">
        <v>-1.23</v>
      </c>
      <c r="N1521" s="6">
        <v>0.5</v>
      </c>
      <c r="O1521" s="6">
        <v>0</v>
      </c>
      <c r="P1521" s="6">
        <v>0.5</v>
      </c>
      <c r="Q1521" s="7"/>
      <c r="R1521" s="7"/>
    </row>
    <row r="1522" spans="1:18">
      <c r="A1522" s="4" t="s">
        <v>2042</v>
      </c>
      <c r="B1522" s="4">
        <f t="shared" si="23"/>
        <v>5</v>
      </c>
      <c r="C1522" s="4" t="s">
        <v>2043</v>
      </c>
      <c r="D1522" s="1" t="str">
        <f>IFERROR(VLOOKUP(A1522,[1]biopep_DB!$F$2:$J$1654,5,0),)</f>
        <v/>
      </c>
      <c r="E1522" s="1" t="str">
        <f>IFERROR(VLOOKUP(A1522,[1]biopep_DB!$F$2:$L$1654,6,0),0)</f>
        <v/>
      </c>
      <c r="F1522" s="1" t="str">
        <f>IFERROR(VLOOKUP(A1522,[1]biopep_DB!$F$2:$L$1654,7,0),0)</f>
        <v/>
      </c>
      <c r="G1522" s="5">
        <v>502.56</v>
      </c>
      <c r="H1522" s="5">
        <v>6.19</v>
      </c>
      <c r="I1522" s="5">
        <v>-0.26</v>
      </c>
      <c r="J1522" s="6">
        <v>-0.36</v>
      </c>
      <c r="K1522" s="5">
        <v>-12.84</v>
      </c>
      <c r="L1522" s="6">
        <v>0.4</v>
      </c>
      <c r="M1522" s="6">
        <v>-0.714</v>
      </c>
      <c r="N1522" s="6">
        <v>0.6</v>
      </c>
      <c r="O1522" s="6">
        <v>0.2</v>
      </c>
      <c r="P1522" s="6">
        <v>0.2</v>
      </c>
      <c r="Q1522" s="7"/>
      <c r="R1522" s="7"/>
    </row>
    <row r="1523" spans="1:18">
      <c r="A1523" s="4" t="s">
        <v>2044</v>
      </c>
      <c r="B1523" s="4">
        <f t="shared" si="23"/>
        <v>5</v>
      </c>
      <c r="C1523" s="4" t="s">
        <v>2045</v>
      </c>
      <c r="D1523" s="1" t="str">
        <f>IFERROR(VLOOKUP(A1523,[1]biopep_DB!$F$2:$J$1654,5,0),)</f>
        <v>Isolation and characterization of peptides with antihypertensive activity in foodstuffs.</v>
      </c>
      <c r="E1523" s="1" t="str">
        <f>IFERROR(VLOOKUP(A1523,[1]biopep_DB!$F$2:$L$1654,6,0),0)</f>
        <v>10.1080/10408398.2012.664829</v>
      </c>
      <c r="F1523" s="1" t="str">
        <f>IFERROR(VLOOKUP(A1523,[1]biopep_DB!$F$2:$L$1654,7,0),0)</f>
        <v>24915368</v>
      </c>
      <c r="G1523" s="5">
        <v>520.62</v>
      </c>
      <c r="H1523" s="5">
        <v>8.72</v>
      </c>
      <c r="I1523" s="5">
        <v>0.73</v>
      </c>
      <c r="J1523" s="6">
        <v>0.9</v>
      </c>
      <c r="K1523" s="5">
        <v>2.24</v>
      </c>
      <c r="L1523" s="6">
        <v>0.6</v>
      </c>
      <c r="M1523" s="6">
        <v>-1.638</v>
      </c>
      <c r="N1523" s="6">
        <v>0.4</v>
      </c>
      <c r="O1523" s="6">
        <v>0.2</v>
      </c>
      <c r="P1523" s="6">
        <v>0.4</v>
      </c>
      <c r="Q1523" s="7"/>
      <c r="R1523" s="7"/>
    </row>
    <row r="1524" spans="1:18">
      <c r="A1524" s="4" t="s">
        <v>2046</v>
      </c>
      <c r="B1524" s="4">
        <f t="shared" si="23"/>
        <v>3</v>
      </c>
      <c r="C1524" s="4" t="s">
        <v>31</v>
      </c>
      <c r="D1524" s="1" t="str">
        <f>IFERROR(VLOOKUP(A1524,[1]biopep_DB!$F$2:$J$1654,5,0),)</f>
        <v/>
      </c>
      <c r="E1524" s="1" t="str">
        <f>IFERROR(VLOOKUP(A1524,[1]biopep_DB!$F$2:$L$1654,6,0),0)</f>
        <v/>
      </c>
      <c r="F1524" s="1" t="str">
        <f>IFERROR(VLOOKUP(A1524,[1]biopep_DB!$F$2:$L$1654,7,0),0)</f>
        <v/>
      </c>
      <c r="G1524" s="5">
        <v>360.41</v>
      </c>
      <c r="H1524" s="5">
        <v>6.06</v>
      </c>
      <c r="I1524" s="5">
        <v>-0.26</v>
      </c>
      <c r="J1524" s="6">
        <v>-1.0667</v>
      </c>
      <c r="K1524" s="5">
        <v>-2.93</v>
      </c>
      <c r="L1524" s="6">
        <v>0.3333</v>
      </c>
      <c r="M1524" s="6">
        <v>-0.26</v>
      </c>
      <c r="N1524" s="6">
        <v>0.3333</v>
      </c>
      <c r="O1524" s="6">
        <v>0.3333</v>
      </c>
      <c r="P1524" s="6">
        <v>0.3333</v>
      </c>
      <c r="Q1524" s="7"/>
      <c r="R1524" s="7"/>
    </row>
    <row r="1525" spans="1:18">
      <c r="A1525" s="4" t="s">
        <v>2047</v>
      </c>
      <c r="B1525" s="4">
        <f t="shared" si="23"/>
        <v>5</v>
      </c>
      <c r="C1525" s="4" t="s">
        <v>31</v>
      </c>
      <c r="G1525" s="5">
        <v>617.65</v>
      </c>
      <c r="H1525" s="5">
        <v>4.37</v>
      </c>
      <c r="I1525" s="5">
        <v>-1.26</v>
      </c>
      <c r="J1525" s="6">
        <v>-2.04</v>
      </c>
      <c r="K1525" s="5">
        <v>40.76</v>
      </c>
      <c r="L1525" s="6">
        <v>0.2</v>
      </c>
      <c r="M1525" s="6">
        <v>0.444</v>
      </c>
      <c r="N1525" s="6">
        <v>0.4</v>
      </c>
      <c r="O1525" s="6">
        <v>0.2</v>
      </c>
      <c r="P1525" s="6">
        <v>0.2</v>
      </c>
      <c r="Q1525" s="7"/>
      <c r="R1525" s="7"/>
    </row>
    <row r="1526" spans="1:18">
      <c r="A1526" s="4" t="s">
        <v>2048</v>
      </c>
      <c r="B1526" s="4">
        <f t="shared" si="23"/>
        <v>5</v>
      </c>
      <c r="C1526" s="4" t="s">
        <v>31</v>
      </c>
      <c r="D1526" s="1" t="str">
        <f>IFERROR(VLOOKUP(A1526,[1]biopep_DB!$F$2:$J$1654,5,0),)</f>
        <v/>
      </c>
      <c r="E1526" s="1" t="str">
        <f>IFERROR(VLOOKUP(A1526,[1]biopep_DB!$F$2:$L$1654,6,0),0)</f>
        <v/>
      </c>
      <c r="F1526" s="1" t="str">
        <f>IFERROR(VLOOKUP(A1526,[1]biopep_DB!$F$2:$L$1654,7,0),0)</f>
        <v/>
      </c>
      <c r="G1526" s="5">
        <v>615.72</v>
      </c>
      <c r="H1526" s="5">
        <v>5.97</v>
      </c>
      <c r="I1526" s="5">
        <v>-0.26</v>
      </c>
      <c r="J1526" s="6">
        <v>-0.58</v>
      </c>
      <c r="K1526" s="5">
        <v>67.44</v>
      </c>
      <c r="L1526" s="6">
        <v>0.4</v>
      </c>
      <c r="M1526" s="6">
        <v>-0.876</v>
      </c>
      <c r="N1526" s="6">
        <v>0.6</v>
      </c>
      <c r="O1526" s="6">
        <v>0</v>
      </c>
      <c r="P1526" s="6">
        <v>0.4</v>
      </c>
      <c r="Q1526" s="7"/>
      <c r="R1526" s="7"/>
    </row>
    <row r="1527" spans="1:18">
      <c r="A1527" s="4" t="s">
        <v>2049</v>
      </c>
      <c r="B1527" s="4">
        <f t="shared" si="23"/>
        <v>5</v>
      </c>
      <c r="C1527" s="4"/>
      <c r="D1527" s="1" t="str">
        <f>IFERROR(VLOOKUP(A1527,[1]biopep_DB!$F$2:$J$1654,5,0),)</f>
        <v/>
      </c>
      <c r="E1527" s="1" t="str">
        <f>IFERROR(VLOOKUP(A1527,[1]biopep_DB!$F$2:$L$1654,6,0),0)</f>
        <v/>
      </c>
      <c r="F1527" s="1" t="str">
        <f>IFERROR(VLOOKUP(A1527,[1]biopep_DB!$F$2:$L$1654,7,0),0)</f>
        <v/>
      </c>
      <c r="G1527" s="5">
        <v>650.76</v>
      </c>
      <c r="H1527" s="5">
        <v>5.97</v>
      </c>
      <c r="I1527" s="5">
        <v>-0.27</v>
      </c>
      <c r="J1527" s="6">
        <v>-0.14</v>
      </c>
      <c r="K1527" s="5">
        <v>2.24</v>
      </c>
      <c r="L1527" s="6">
        <v>0.4</v>
      </c>
      <c r="M1527" s="6">
        <v>-1.12</v>
      </c>
      <c r="N1527" s="6">
        <v>0.6</v>
      </c>
      <c r="O1527" s="6">
        <v>0</v>
      </c>
      <c r="P1527" s="6">
        <v>0.6</v>
      </c>
      <c r="Q1527" s="7"/>
      <c r="R1527" s="7"/>
    </row>
    <row r="1528" spans="1:18">
      <c r="A1528" s="4" t="s">
        <v>2050</v>
      </c>
      <c r="B1528" s="4">
        <f t="shared" si="23"/>
        <v>5</v>
      </c>
      <c r="C1528" s="4" t="s">
        <v>31</v>
      </c>
      <c r="D1528" s="1" t="str">
        <f>IFERROR(VLOOKUP(A1528,[1]biopep_DB!$F$2:$J$1654,5,0),)</f>
        <v/>
      </c>
      <c r="E1528" s="1" t="str">
        <f>IFERROR(VLOOKUP(A1528,[1]biopep_DB!$F$2:$L$1654,6,0),0)</f>
        <v/>
      </c>
      <c r="F1528" s="1" t="str">
        <f>IFERROR(VLOOKUP(A1528,[1]biopep_DB!$F$2:$L$1654,7,0),0)</f>
        <v/>
      </c>
      <c r="G1528" s="5">
        <v>576.64</v>
      </c>
      <c r="H1528" s="5">
        <v>5.97</v>
      </c>
      <c r="I1528" s="5">
        <v>-0.26</v>
      </c>
      <c r="J1528" s="6">
        <v>-0.92</v>
      </c>
      <c r="K1528" s="5">
        <v>2.24</v>
      </c>
      <c r="L1528" s="6">
        <v>0.2</v>
      </c>
      <c r="M1528" s="6">
        <v>-0.06</v>
      </c>
      <c r="N1528" s="6">
        <v>0.4</v>
      </c>
      <c r="O1528" s="6">
        <v>0</v>
      </c>
      <c r="P1528" s="6">
        <v>0.6</v>
      </c>
      <c r="Q1528" s="7"/>
      <c r="R1528" s="7"/>
    </row>
    <row r="1529" spans="1:18">
      <c r="A1529" s="4" t="s">
        <v>2051</v>
      </c>
      <c r="B1529" s="4">
        <f t="shared" si="23"/>
        <v>3</v>
      </c>
      <c r="C1529" s="4" t="s">
        <v>2052</v>
      </c>
      <c r="D1529" s="1" t="str">
        <f>IFERROR(VLOOKUP(A1529,[1]biopep_DB!$F$2:$J$1654,5,0),)</f>
        <v/>
      </c>
      <c r="E1529" s="1" t="str">
        <f>IFERROR(VLOOKUP(A1529,[1]biopep_DB!$F$2:$L$1654,6,0),0)</f>
        <v/>
      </c>
      <c r="F1529" s="1" t="str">
        <f>IFERROR(VLOOKUP(A1529,[1]biopep_DB!$F$2:$L$1654,7,0),0)</f>
        <v/>
      </c>
      <c r="G1529" s="5">
        <v>392.49</v>
      </c>
      <c r="H1529" s="5">
        <v>8.72</v>
      </c>
      <c r="I1529" s="5">
        <v>0.73</v>
      </c>
      <c r="J1529" s="6">
        <v>1.0333</v>
      </c>
      <c r="K1529" s="5">
        <v>-2.93</v>
      </c>
      <c r="L1529" s="6">
        <v>0.6667</v>
      </c>
      <c r="M1529" s="6">
        <v>-1.8133</v>
      </c>
      <c r="N1529" s="6">
        <v>0.3333</v>
      </c>
      <c r="O1529" s="6">
        <v>0</v>
      </c>
      <c r="P1529" s="6">
        <v>0.6667</v>
      </c>
      <c r="Q1529" s="7"/>
      <c r="R1529" s="7"/>
    </row>
    <row r="1530" spans="1:18">
      <c r="A1530" s="4" t="s">
        <v>2053</v>
      </c>
      <c r="B1530" s="4">
        <f t="shared" si="23"/>
        <v>3</v>
      </c>
      <c r="C1530" s="4" t="s">
        <v>31</v>
      </c>
      <c r="D1530" s="1" t="str">
        <f>IFERROR(VLOOKUP(A1530,[1]biopep_DB!$F$2:$J$1654,5,0),)</f>
        <v/>
      </c>
      <c r="E1530" s="1" t="str">
        <f>IFERROR(VLOOKUP(A1530,[1]biopep_DB!$F$2:$L$1654,6,0),0)</f>
        <v/>
      </c>
      <c r="F1530" s="1" t="str">
        <f>IFERROR(VLOOKUP(A1530,[1]biopep_DB!$F$2:$L$1654,7,0),0)</f>
        <v/>
      </c>
      <c r="G1530" s="5">
        <v>382.46</v>
      </c>
      <c r="H1530" s="5">
        <v>8.73</v>
      </c>
      <c r="I1530" s="5">
        <v>0.82</v>
      </c>
      <c r="J1530" s="6">
        <v>-0.9667</v>
      </c>
      <c r="K1530" s="5">
        <v>-2.93</v>
      </c>
      <c r="L1530" s="6">
        <v>0.3333</v>
      </c>
      <c r="M1530" s="6">
        <v>-0.49</v>
      </c>
      <c r="N1530" s="6">
        <v>0.3333</v>
      </c>
      <c r="O1530" s="6">
        <v>0</v>
      </c>
      <c r="P1530" s="6">
        <v>0.3333</v>
      </c>
      <c r="Q1530" s="7"/>
      <c r="R1530" s="7"/>
    </row>
    <row r="1531" spans="1:18">
      <c r="A1531" s="4" t="s">
        <v>2054</v>
      </c>
      <c r="B1531" s="4">
        <f t="shared" si="23"/>
        <v>5</v>
      </c>
      <c r="C1531" s="4" t="s">
        <v>31</v>
      </c>
      <c r="D1531" s="1" t="str">
        <f>IFERROR(VLOOKUP(A1531,[1]biopep_DB!$F$2:$J$1654,5,0),)</f>
        <v/>
      </c>
      <c r="E1531" s="1" t="str">
        <f>IFERROR(VLOOKUP(A1531,[1]biopep_DB!$F$2:$L$1654,6,0),0)</f>
        <v/>
      </c>
      <c r="F1531" s="1" t="str">
        <f>IFERROR(VLOOKUP(A1531,[1]biopep_DB!$F$2:$L$1654,7,0),0)</f>
        <v/>
      </c>
      <c r="G1531" s="5">
        <v>584.67</v>
      </c>
      <c r="H1531" s="5">
        <v>8.73</v>
      </c>
      <c r="I1531" s="5">
        <v>0.82</v>
      </c>
      <c r="J1531" s="6">
        <v>-0.86</v>
      </c>
      <c r="K1531" s="5">
        <v>-12.84</v>
      </c>
      <c r="L1531" s="6">
        <v>0.2</v>
      </c>
      <c r="M1531" s="6">
        <v>-0.19</v>
      </c>
      <c r="N1531" s="6">
        <v>0.2</v>
      </c>
      <c r="O1531" s="6">
        <v>0</v>
      </c>
      <c r="P1531" s="6">
        <v>0.6</v>
      </c>
      <c r="Q1531" s="7"/>
      <c r="R1531" s="7"/>
    </row>
    <row r="1532" spans="1:18">
      <c r="A1532" s="4" t="s">
        <v>2055</v>
      </c>
      <c r="B1532" s="4">
        <f t="shared" si="23"/>
        <v>6</v>
      </c>
      <c r="C1532" s="4" t="s">
        <v>31</v>
      </c>
      <c r="D1532" s="1" t="str">
        <f>IFERROR(VLOOKUP(A1532,[1]biopep_DB!$F$2:$J$1654,5,0),)</f>
        <v/>
      </c>
      <c r="E1532" s="1" t="str">
        <f>IFERROR(VLOOKUP(A1532,[1]biopep_DB!$F$2:$L$1654,6,0),0)</f>
        <v/>
      </c>
      <c r="F1532" s="1" t="str">
        <f>IFERROR(VLOOKUP(A1532,[1]biopep_DB!$F$2:$L$1654,7,0),0)</f>
        <v/>
      </c>
      <c r="G1532" s="5">
        <v>851.99</v>
      </c>
      <c r="H1532" s="5">
        <v>8.73</v>
      </c>
      <c r="I1532" s="5">
        <v>0.82</v>
      </c>
      <c r="J1532" s="6">
        <v>-1.05</v>
      </c>
      <c r="K1532" s="5">
        <v>-6.07</v>
      </c>
      <c r="L1532" s="6">
        <v>0.6667</v>
      </c>
      <c r="M1532" s="6">
        <v>-1.0217</v>
      </c>
      <c r="N1532" s="6">
        <v>0.1667</v>
      </c>
      <c r="O1532" s="6">
        <v>0.1667</v>
      </c>
      <c r="P1532" s="6">
        <v>0.5</v>
      </c>
      <c r="Q1532" s="7"/>
      <c r="R1532" s="7"/>
    </row>
    <row r="1533" spans="1:18">
      <c r="A1533" s="4" t="s">
        <v>2056</v>
      </c>
      <c r="B1533" s="4">
        <f t="shared" si="23"/>
        <v>10</v>
      </c>
      <c r="C1533" s="4"/>
      <c r="G1533" s="5">
        <v>1217.37</v>
      </c>
      <c r="H1533" s="5">
        <v>6.72</v>
      </c>
      <c r="I1533" s="5">
        <v>-0.18</v>
      </c>
      <c r="J1533" s="6">
        <v>-0.71</v>
      </c>
      <c r="K1533" s="5">
        <v>18.05</v>
      </c>
      <c r="L1533" s="6">
        <v>0.3</v>
      </c>
      <c r="M1533" s="6">
        <v>-0.509</v>
      </c>
      <c r="N1533" s="6">
        <v>0.2</v>
      </c>
      <c r="O1533" s="6">
        <v>0.2</v>
      </c>
      <c r="P1533" s="6">
        <v>0.5</v>
      </c>
      <c r="Q1533" s="7"/>
      <c r="R1533" s="7"/>
    </row>
    <row r="1534" spans="1:18">
      <c r="A1534" s="4" t="s">
        <v>2057</v>
      </c>
      <c r="B1534" s="4">
        <f t="shared" si="23"/>
        <v>3</v>
      </c>
      <c r="C1534" s="4" t="s">
        <v>2058</v>
      </c>
      <c r="D1534" s="1" t="str">
        <f>IFERROR(VLOOKUP(A1534,[1]biopep_DB!$F$2:$J$1654,5,0),)</f>
        <v>What are the ideal properties for functional food peptides with antihypertensive effect? A computational peptidology approach.</v>
      </c>
      <c r="E1534" s="1" t="str">
        <f>IFERROR(VLOOKUP(A1534,[1]biopep_DB!$F$2:$L$1654,6,0),0)</f>
        <v>10.1016/j.foodchem.2013.05.140</v>
      </c>
      <c r="F1534" s="1" t="str">
        <f>IFERROR(VLOOKUP(A1534,[1]biopep_DB!$F$2:$L$1654,7,0),0)</f>
        <v>23871047</v>
      </c>
      <c r="G1534" s="5">
        <v>373.49</v>
      </c>
      <c r="H1534" s="5">
        <v>10</v>
      </c>
      <c r="I1534" s="5">
        <v>1.73</v>
      </c>
      <c r="J1534" s="6">
        <v>-1.2</v>
      </c>
      <c r="K1534" s="5">
        <v>-2.93</v>
      </c>
      <c r="L1534" s="6">
        <v>0.3333</v>
      </c>
      <c r="M1534" s="6">
        <v>-0.2933</v>
      </c>
      <c r="N1534" s="6">
        <v>0.6667</v>
      </c>
      <c r="O1534" s="6">
        <v>0</v>
      </c>
      <c r="P1534" s="6">
        <v>0.3333</v>
      </c>
      <c r="Q1534" s="7"/>
      <c r="R1534" s="7"/>
    </row>
    <row r="1535" spans="1:18">
      <c r="A1535" s="4" t="s">
        <v>2059</v>
      </c>
      <c r="B1535" s="4">
        <f t="shared" si="23"/>
        <v>5</v>
      </c>
      <c r="C1535" s="4" t="s">
        <v>31</v>
      </c>
      <c r="D1535" s="1" t="str">
        <f>IFERROR(VLOOKUP(A1535,[1]biopep_DB!$F$2:$J$1654,5,0),)</f>
        <v/>
      </c>
      <c r="E1535" s="1" t="str">
        <f>IFERROR(VLOOKUP(A1535,[1]biopep_DB!$F$2:$L$1654,6,0),0)</f>
        <v/>
      </c>
      <c r="F1535" s="1" t="str">
        <f>IFERROR(VLOOKUP(A1535,[1]biopep_DB!$F$2:$L$1654,7,0),0)</f>
        <v/>
      </c>
      <c r="G1535" s="5">
        <v>577.74</v>
      </c>
      <c r="H1535" s="5">
        <v>9.31</v>
      </c>
      <c r="I1535" s="5">
        <v>1.72</v>
      </c>
      <c r="J1535" s="6">
        <v>-0.36</v>
      </c>
      <c r="K1535" s="5">
        <v>2.24</v>
      </c>
      <c r="L1535" s="6">
        <v>0.2</v>
      </c>
      <c r="M1535" s="6">
        <v>-0.38</v>
      </c>
      <c r="N1535" s="6">
        <v>0.4</v>
      </c>
      <c r="O1535" s="6">
        <v>0</v>
      </c>
      <c r="P1535" s="6">
        <v>0.4</v>
      </c>
      <c r="Q1535" s="7"/>
      <c r="R1535" s="7"/>
    </row>
    <row r="1536" spans="1:18">
      <c r="A1536" s="4" t="s">
        <v>2060</v>
      </c>
      <c r="B1536" s="4">
        <f t="shared" si="23"/>
        <v>8</v>
      </c>
      <c r="C1536" s="4" t="s">
        <v>2061</v>
      </c>
      <c r="D1536" s="1" t="str">
        <f>IFERROR(VLOOKUP(A1536,[1]biopep_DB!$F$2:$J$1654,5,0),)</f>
        <v>Angiotensin-I converting enzyme inhibitory peptide derived from porcine skeletal muscle myosin and its antihypertensive activity in spontaneously hypertensive rats.; Antihypertensive peptides from food proteins: a review.; A new QSAR model, for angiotensin I-converting enzyme inhibitory oligopeptides.; Isolation and characterization of peptides with antihypertensive activity in foodstuffs.</v>
      </c>
      <c r="E1536" s="1" t="str">
        <f>IFERROR(VLOOKUP(A1536,[1]biopep_DB!$F$2:$L$1654,6,0),0)</f>
        <v>10.1111/j.1750-3841.2007.00571.x; 10.1039/c2fo10192k; 10.1016/j.foodchem.2012.09.092; 10.1080/10408398.2012.664829</v>
      </c>
      <c r="F1536" s="1" t="str">
        <f>IFERROR(VLOOKUP(A1536,[1]biopep_DB!$F$2:$L$1654,7,0),0)</f>
        <v>18034756 22249830 23194537 24915368</v>
      </c>
      <c r="G1536" s="5">
        <v>854.05</v>
      </c>
      <c r="H1536" s="5">
        <v>10</v>
      </c>
      <c r="I1536" s="5">
        <v>1.73</v>
      </c>
      <c r="J1536" s="6">
        <v>-0.1375</v>
      </c>
      <c r="K1536" s="5">
        <v>-19.68</v>
      </c>
      <c r="L1536" s="6">
        <v>0.5</v>
      </c>
      <c r="M1536" s="6">
        <v>-1.145</v>
      </c>
      <c r="N1536" s="6">
        <v>0.375</v>
      </c>
      <c r="O1536" s="6">
        <v>0.375</v>
      </c>
      <c r="P1536" s="6">
        <v>0.375</v>
      </c>
      <c r="Q1536" s="7"/>
      <c r="R1536" s="7"/>
    </row>
    <row r="1537" spans="1:18">
      <c r="A1537" s="4" t="s">
        <v>2062</v>
      </c>
      <c r="B1537" s="4">
        <f t="shared" si="23"/>
        <v>3</v>
      </c>
      <c r="C1537" s="4" t="s">
        <v>31</v>
      </c>
      <c r="G1537" s="5">
        <v>359.42</v>
      </c>
      <c r="H1537" s="5">
        <v>8.72</v>
      </c>
      <c r="I1537" s="5">
        <v>0.73</v>
      </c>
      <c r="J1537" s="6">
        <v>-1.0667</v>
      </c>
      <c r="K1537" s="5">
        <v>-2.93</v>
      </c>
      <c r="L1537" s="6">
        <v>0.3333</v>
      </c>
      <c r="M1537" s="6">
        <v>-0.28</v>
      </c>
      <c r="N1537" s="6">
        <v>0.3333</v>
      </c>
      <c r="O1537" s="6">
        <v>0.3333</v>
      </c>
      <c r="P1537" s="6">
        <v>0.3333</v>
      </c>
      <c r="Q1537" s="7"/>
      <c r="R1537" s="7"/>
    </row>
    <row r="1538" spans="1:18">
      <c r="A1538" s="4" t="s">
        <v>2063</v>
      </c>
      <c r="B1538" s="4">
        <f t="shared" si="23"/>
        <v>5</v>
      </c>
      <c r="C1538" s="4" t="s">
        <v>31</v>
      </c>
      <c r="D1538" s="1" t="str">
        <f>IFERROR(VLOOKUP(A1538,[1]biopep_DB!$F$2:$J$1654,5,0),)</f>
        <v/>
      </c>
      <c r="E1538" s="1" t="str">
        <f>IFERROR(VLOOKUP(A1538,[1]biopep_DB!$F$2:$L$1654,6,0),0)</f>
        <v/>
      </c>
      <c r="F1538" s="1" t="str">
        <f>IFERROR(VLOOKUP(A1538,[1]biopep_DB!$F$2:$L$1654,7,0),0)</f>
        <v/>
      </c>
      <c r="G1538" s="5">
        <v>575.61</v>
      </c>
      <c r="H1538" s="5">
        <v>5.81</v>
      </c>
      <c r="I1538" s="5">
        <v>-0.27</v>
      </c>
      <c r="J1538" s="6">
        <v>-1.48</v>
      </c>
      <c r="K1538" s="5">
        <v>-27.82</v>
      </c>
      <c r="L1538" s="6">
        <v>0.2</v>
      </c>
      <c r="M1538" s="6">
        <v>0.22</v>
      </c>
      <c r="N1538" s="6">
        <v>0.2</v>
      </c>
      <c r="O1538" s="6">
        <v>0.4</v>
      </c>
      <c r="P1538" s="6">
        <v>0.4</v>
      </c>
      <c r="Q1538" s="7"/>
      <c r="R1538" s="7"/>
    </row>
    <row r="1539" spans="1:18">
      <c r="A1539" s="4" t="s">
        <v>2064</v>
      </c>
      <c r="B1539" s="4">
        <f t="shared" si="23"/>
        <v>5</v>
      </c>
      <c r="C1539" s="4" t="s">
        <v>31</v>
      </c>
      <c r="D1539" s="1" t="str">
        <f>IFERROR(VLOOKUP(A1539,[1]biopep_DB!$F$2:$J$1654,5,0),)</f>
        <v/>
      </c>
      <c r="E1539" s="1" t="str">
        <f>IFERROR(VLOOKUP(A1539,[1]biopep_DB!$F$2:$L$1654,6,0),0)</f>
        <v/>
      </c>
      <c r="F1539" s="1" t="str">
        <f>IFERROR(VLOOKUP(A1539,[1]biopep_DB!$F$2:$L$1654,7,0),0)</f>
        <v/>
      </c>
      <c r="G1539" s="5">
        <v>617.65</v>
      </c>
      <c r="H1539" s="5">
        <v>4.86</v>
      </c>
      <c r="I1539" s="5">
        <v>-1.26</v>
      </c>
      <c r="J1539" s="6">
        <v>-2.04</v>
      </c>
      <c r="K1539" s="5">
        <v>67.44</v>
      </c>
      <c r="L1539" s="6">
        <v>0.2</v>
      </c>
      <c r="M1539" s="6">
        <v>0.488</v>
      </c>
      <c r="N1539" s="6">
        <v>0.6</v>
      </c>
      <c r="O1539" s="6">
        <v>0.2</v>
      </c>
      <c r="P1539" s="6">
        <v>0.2</v>
      </c>
      <c r="Q1539" s="7"/>
      <c r="R1539" s="7"/>
    </row>
    <row r="1540" spans="1:18">
      <c r="A1540" s="4" t="s">
        <v>2065</v>
      </c>
      <c r="B1540" s="4">
        <f t="shared" si="23"/>
        <v>3</v>
      </c>
      <c r="C1540" s="4" t="s">
        <v>2058</v>
      </c>
      <c r="D1540" s="1" t="str">
        <f>IFERROR(VLOOKUP(A1540,[1]biopep_DB!$F$2:$J$1654,5,0),)</f>
        <v>Vegetable foods: a cheap source of proteins and peptides with antihypertensive, antioxidant, and other less occurrence bioactivities.; What are the ideal properties for functional food peptides with antihypertensive effect? A computational peptidology approach.</v>
      </c>
      <c r="E1540" s="1" t="str">
        <f>IFERROR(VLOOKUP(A1540,[1]biopep_DB!$F$2:$L$1654,6,0),0)</f>
        <v>10.1016/j.talanta.2012.12.041; 10.1016/j.foodchem.2013.05.140</v>
      </c>
      <c r="F1540" s="1" t="str">
        <f>IFERROR(VLOOKUP(A1540,[1]biopep_DB!$F$2:$L$1654,7,0),0)</f>
        <v>23598136 23871047</v>
      </c>
      <c r="G1540" s="5">
        <v>342.43</v>
      </c>
      <c r="H1540" s="5">
        <v>8.72</v>
      </c>
      <c r="I1540" s="5">
        <v>0.73</v>
      </c>
      <c r="J1540" s="6">
        <v>-0.4333</v>
      </c>
      <c r="K1540" s="5">
        <v>-28.07</v>
      </c>
      <c r="L1540" s="6">
        <v>0.6667</v>
      </c>
      <c r="M1540" s="6">
        <v>-0.82</v>
      </c>
      <c r="N1540" s="6">
        <v>0.3333</v>
      </c>
      <c r="O1540" s="6">
        <v>0.3333</v>
      </c>
      <c r="P1540" s="6">
        <v>0.3333</v>
      </c>
      <c r="Q1540" s="7"/>
      <c r="R1540" s="7"/>
    </row>
    <row r="1541" spans="1:18">
      <c r="A1541" s="4" t="s">
        <v>2066</v>
      </c>
      <c r="B1541" s="4">
        <f t="shared" si="23"/>
        <v>2</v>
      </c>
      <c r="C1541" s="4" t="s">
        <v>166</v>
      </c>
      <c r="D1541" s="1" t="str">
        <f>IFERROR(VLOOKUP(A1541,[1]biopep_DB!$F$2:$J$1654,5,0),)</f>
        <v>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Vegetable foods: a cheap source of proteins and peptides with antihypertensive, antioxidant, and other less occurrence bioactivities.</v>
      </c>
      <c r="E1541" s="1" t="str">
        <f>IFERROR(VLOOKUP(A1541,[1]biopep_DB!$F$2:$L$1654,6,0),0)</f>
        <v>10.1002/psc.800; 10.1002/psc.892; 10.1016/j.talanta.2012.12.041</v>
      </c>
      <c r="F1541" s="1" t="str">
        <f>IFERROR(VLOOKUP(A1541,[1]biopep_DB!$F$2:$L$1654,7,0),0)</f>
        <v>17117396 17654623 23598136</v>
      </c>
      <c r="G1541" s="5">
        <v>230.3</v>
      </c>
      <c r="H1541" s="5">
        <v>5.49</v>
      </c>
      <c r="I1541" s="5">
        <v>-0.27</v>
      </c>
      <c r="J1541" s="6">
        <v>4</v>
      </c>
      <c r="K1541" s="5">
        <v>5</v>
      </c>
      <c r="L1541" s="6">
        <v>1</v>
      </c>
      <c r="M1541" s="6">
        <v>-4.48</v>
      </c>
      <c r="N1541" s="6">
        <v>0.5</v>
      </c>
      <c r="O1541" s="6">
        <v>0</v>
      </c>
      <c r="P1541" s="6">
        <v>1</v>
      </c>
      <c r="Q1541" s="7"/>
      <c r="R1541" s="7"/>
    </row>
    <row r="1542" spans="1:18">
      <c r="A1542" s="4" t="s">
        <v>2067</v>
      </c>
      <c r="B1542" s="4">
        <f t="shared" ref="B1542:B1605" si="24">LEN(A1542)</f>
        <v>6</v>
      </c>
      <c r="C1542" s="4" t="s">
        <v>25</v>
      </c>
      <c r="D1542" s="1" t="str">
        <f>IFERROR(VLOOKUP(A1542,[1]biopep_DB!$F$2:$J$1654,5,0),)</f>
        <v>Strategies for designing novel functional meat products.; Purification and identification of angiotensin converting enzyme inhibitory peptides from beef hydrolysates.; Isolation and characterization of peptides with antihypertensive activity in foodstuffs.</v>
      </c>
      <c r="E1542" s="1" t="str">
        <f>IFERROR(VLOOKUP(A1542,[1]biopep_DB!$F$2:$L$1654,6,0),0)</f>
        <v>10.1016/j.meatsci.2006.04.028; 10.1016/j.meatsci.2004.10.014; 10.1080/10408398.2012.664829</v>
      </c>
      <c r="F1542" s="1" t="str">
        <f>IFERROR(VLOOKUP(A1542,[1]biopep_DB!$F$2:$L$1654,7,0),0)</f>
        <v>22062731 22063143 24915368</v>
      </c>
      <c r="G1542" s="5">
        <v>720.86</v>
      </c>
      <c r="H1542" s="5">
        <v>8.56</v>
      </c>
      <c r="I1542" s="5">
        <v>0.73</v>
      </c>
      <c r="J1542" s="6">
        <v>0.1833</v>
      </c>
      <c r="K1542" s="5">
        <v>-4.23</v>
      </c>
      <c r="L1542" s="6">
        <v>0.5</v>
      </c>
      <c r="M1542" s="6">
        <v>-1.2817</v>
      </c>
      <c r="N1542" s="6">
        <v>0.5</v>
      </c>
      <c r="O1542" s="6">
        <v>0</v>
      </c>
      <c r="P1542" s="6">
        <v>0.5</v>
      </c>
      <c r="Q1542" s="7"/>
      <c r="R1542" s="7"/>
    </row>
    <row r="1543" spans="1:18">
      <c r="A1543" s="4" t="s">
        <v>2068</v>
      </c>
      <c r="B1543" s="4">
        <f t="shared" si="24"/>
        <v>7</v>
      </c>
      <c r="C1543" s="4" t="s">
        <v>2069</v>
      </c>
      <c r="D1543" s="1" t="str">
        <f>IFERROR(VLOOKUP(A1543,[1]biopep_DB!$F$2:$J$1654,5,0),)</f>
        <v>Angiotensin I-converting enzyme inhibitory properties of whey protein digests: concentration and characterization of active peptides.; A new QSAR model, for angiotensin I-converting enzyme inhibitory oligopeptides.</v>
      </c>
      <c r="E1543" s="1" t="str">
        <f>IFERROR(VLOOKUP(A1543,[1]biopep_DB!$F$2:$L$1654,6,0),0)</f>
        <v>10.1017/s0022029999003982; 10.1016/j.foodchem.2012.09.092</v>
      </c>
      <c r="F1543" s="1" t="str">
        <f>IFERROR(VLOOKUP(A1543,[1]biopep_DB!$F$2:$L$1654,7,0),0)</f>
        <v>10717843 23194537</v>
      </c>
      <c r="G1543" s="5">
        <v>852.93</v>
      </c>
      <c r="H1543" s="5">
        <v>4.21</v>
      </c>
      <c r="I1543" s="5">
        <v>-1.27</v>
      </c>
      <c r="J1543" s="6">
        <v>-0.7</v>
      </c>
      <c r="K1543" s="5">
        <v>-12.9</v>
      </c>
      <c r="L1543" s="6">
        <v>0.2857</v>
      </c>
      <c r="M1543" s="6">
        <v>-0.5171</v>
      </c>
      <c r="N1543" s="6">
        <v>0.2857</v>
      </c>
      <c r="O1543" s="6">
        <v>0.2857</v>
      </c>
      <c r="P1543" s="6">
        <v>0.5714</v>
      </c>
      <c r="Q1543" s="7"/>
      <c r="R1543" s="7"/>
    </row>
    <row r="1544" spans="1:18">
      <c r="A1544" s="4" t="s">
        <v>2070</v>
      </c>
      <c r="B1544" s="4">
        <f t="shared" si="24"/>
        <v>4</v>
      </c>
      <c r="C1544" s="4"/>
      <c r="D1544" s="1" t="str">
        <f>IFERROR(VLOOKUP(A1544,[1]biopep_DB!$F$2:$J$1654,5,0),)</f>
        <v>Enterococcus faecalis strains from food, environmental, and clinical origin produce ACE-inhibitory peptides and other bioactive peptides during growth in bovine skim milk.</v>
      </c>
      <c r="E1544" s="1" t="str">
        <f>IFERROR(VLOOKUP(A1544,[1]biopep_DB!$F$2:$L$1654,6,0),0)</f>
        <v>10.1016/j.ijfoodmicro.2013.06.019</v>
      </c>
      <c r="F1544" s="1" t="str">
        <f>IFERROR(VLOOKUP(A1544,[1]biopep_DB!$F$2:$L$1654,7,0),0)</f>
        <v>23845432</v>
      </c>
      <c r="G1544" s="5">
        <v>384.47</v>
      </c>
      <c r="H1544" s="5">
        <v>5.49</v>
      </c>
      <c r="I1544" s="5">
        <v>-0.27</v>
      </c>
      <c r="J1544" s="6">
        <v>1.5</v>
      </c>
      <c r="K1544" s="5">
        <v>7.5</v>
      </c>
      <c r="L1544" s="6">
        <v>0.75</v>
      </c>
      <c r="M1544" s="6">
        <v>-2.475</v>
      </c>
      <c r="N1544" s="6">
        <v>0.25</v>
      </c>
      <c r="O1544" s="6">
        <v>0.5</v>
      </c>
      <c r="P1544" s="6">
        <v>0.5</v>
      </c>
      <c r="Q1544" s="7"/>
      <c r="R1544" s="7"/>
    </row>
    <row r="1545" spans="1:18">
      <c r="A1545" s="4" t="s">
        <v>2071</v>
      </c>
      <c r="B1545" s="4">
        <f t="shared" si="24"/>
        <v>10</v>
      </c>
      <c r="C1545" s="4" t="s">
        <v>2072</v>
      </c>
      <c r="D1545" s="1" t="str">
        <f>IFERROR(VLOOKUP(A1545,[1]biopep_DB!$F$2:$J$1654,5,0),)</f>
        <v>Antihypertensive peptides: production, bioavailability and incorporation into foods.; Antihypertensive peptides from food proteins: a review.; Enterococcus faecalis strains from food, environmental, and clinical origin produce ACE-inhibitory peptides and other bioactive peptides during growth in bovine skim milk.</v>
      </c>
      <c r="E1545" s="1" t="str">
        <f>IFERROR(VLOOKUP(A1545,[1]biopep_DB!$F$2:$L$1654,6,0),0)</f>
        <v>10.1016/j.cis.2010.11.001; 10.1039/c2fo10192k; 10.1016/j.ijfoodmicro.2013.06.019</v>
      </c>
      <c r="F1545" s="1" t="str">
        <f>IFERROR(VLOOKUP(A1545,[1]biopep_DB!$F$2:$L$1654,7,0),0)</f>
        <v>21185549 22249830 23845432</v>
      </c>
      <c r="G1545" s="5">
        <v>1038.24</v>
      </c>
      <c r="H1545" s="5">
        <v>9.72</v>
      </c>
      <c r="I1545" s="5">
        <v>0.73</v>
      </c>
      <c r="J1545" s="6">
        <v>0.49</v>
      </c>
      <c r="K1545" s="5">
        <v>58.29</v>
      </c>
      <c r="L1545" s="6">
        <v>0.7</v>
      </c>
      <c r="M1545" s="6">
        <v>-1.514</v>
      </c>
      <c r="N1545" s="6">
        <v>0.1</v>
      </c>
      <c r="O1545" s="6">
        <v>0.5</v>
      </c>
      <c r="P1545" s="6">
        <v>0.4</v>
      </c>
      <c r="Q1545" s="7"/>
      <c r="R1545" s="7"/>
    </row>
    <row r="1546" spans="1:18">
      <c r="A1546" s="4" t="s">
        <v>2073</v>
      </c>
      <c r="B1546" s="4">
        <f t="shared" si="24"/>
        <v>13</v>
      </c>
      <c r="C1546" s="4" t="s">
        <v>2074</v>
      </c>
      <c r="D1546" s="1" t="str">
        <f>IFERROR(VLOOKUP(A1546,[1]biopep_DB!$F$2:$J$1654,5,0),)</f>
        <v/>
      </c>
      <c r="E1546" s="1" t="str">
        <f>IFERROR(VLOOKUP(A1546,[1]biopep_DB!$F$2:$L$1654,6,0),0)</f>
        <v/>
      </c>
      <c r="F1546" s="1" t="str">
        <f>IFERROR(VLOOKUP(A1546,[1]biopep_DB!$F$2:$L$1654,7,0),0)</f>
        <v/>
      </c>
      <c r="G1546" s="5">
        <v>1363.69</v>
      </c>
      <c r="H1546" s="5">
        <v>9.72</v>
      </c>
      <c r="I1546" s="5">
        <v>0.73</v>
      </c>
      <c r="J1546" s="6">
        <v>1.3923</v>
      </c>
      <c r="K1546" s="5">
        <v>40.62</v>
      </c>
      <c r="L1546" s="6">
        <v>0.7692</v>
      </c>
      <c r="M1546" s="6">
        <v>-2.2323</v>
      </c>
      <c r="N1546" s="6">
        <v>0.0769</v>
      </c>
      <c r="O1546" s="6">
        <v>0.3846</v>
      </c>
      <c r="P1546" s="6">
        <v>0.5385</v>
      </c>
      <c r="Q1546" s="7"/>
      <c r="R1546" s="7"/>
    </row>
    <row r="1547" spans="1:18">
      <c r="A1547" s="4" t="s">
        <v>2075</v>
      </c>
      <c r="B1547" s="4">
        <f t="shared" si="24"/>
        <v>5</v>
      </c>
      <c r="C1547" s="4" t="s">
        <v>2076</v>
      </c>
      <c r="D1547" s="1" t="str">
        <f>IFERROR(VLOOKUP(A1547,[1]biopep_DB!$F$2:$J$1654,5,0),)</f>
        <v>Angiotensin I-converting enzyme inhibitory peptide derived from glycinin, the 11S globulin of soybean (Glycine max).; A new QSAR model, for angiotensin I-converting enzyme inhibitory oligopeptides.; Vegetable foods: a cheap source of proteins and peptides with antihypertensive, antioxidant, and other less occurrence bioactivities.; Rational design of angiotensin-I-converting enzyme inhibitory peptides by integrating in silico modeling and an in vitro assay.</v>
      </c>
      <c r="E1547" s="1" t="str">
        <f>IFERROR(VLOOKUP(A1547,[1]biopep_DB!$F$2:$L$1654,6,0),0)</f>
        <v>10.1021/jf060264q; 10.1016/j.foodchem.2012.09.092; 10.1016/j.talanta.2012.12.041; 10.1002/cmdc.201300132</v>
      </c>
      <c r="F1547" s="1" t="str">
        <f>IFERROR(VLOOKUP(A1547,[1]biopep_DB!$F$2:$L$1654,7,0),0)</f>
        <v>16786999 23194537 23598136 23740817</v>
      </c>
      <c r="G1547" s="5">
        <v>539.71</v>
      </c>
      <c r="H1547" s="5">
        <v>5.49</v>
      </c>
      <c r="I1547" s="5">
        <v>-0.27</v>
      </c>
      <c r="J1547" s="6">
        <v>3.02</v>
      </c>
      <c r="K1547" s="5">
        <v>29.54</v>
      </c>
      <c r="L1547" s="6">
        <v>1</v>
      </c>
      <c r="M1547" s="6">
        <v>-3.584</v>
      </c>
      <c r="N1547" s="6">
        <v>0.2</v>
      </c>
      <c r="O1547" s="6">
        <v>0.2</v>
      </c>
      <c r="P1547" s="6">
        <v>0.8</v>
      </c>
      <c r="Q1547" s="7"/>
      <c r="R1547" s="7"/>
    </row>
    <row r="1548" spans="1:18">
      <c r="A1548" s="4" t="s">
        <v>2077</v>
      </c>
      <c r="B1548" s="4">
        <f t="shared" si="24"/>
        <v>6</v>
      </c>
      <c r="C1548" s="4"/>
      <c r="D1548" s="1" t="str">
        <f>IFERROR(VLOOKUP(A1548,[1]biopep_DB!$F$2:$J$1654,5,0),)</f>
        <v>Enterococcus faecalis strains from food, environmental, and clinical origin produce ACE-inhibitory peptides and other bioactive peptides during growth in bovine skim milk.</v>
      </c>
      <c r="E1548" s="1" t="str">
        <f>IFERROR(VLOOKUP(A1548,[1]biopep_DB!$F$2:$L$1654,6,0),0)</f>
        <v>10.1016/j.ijfoodmicro.2013.06.019</v>
      </c>
      <c r="F1548" s="1" t="str">
        <f>IFERROR(VLOOKUP(A1548,[1]biopep_DB!$F$2:$L$1654,7,0),0)</f>
        <v>23845432</v>
      </c>
      <c r="G1548" s="5">
        <v>700.78</v>
      </c>
      <c r="H1548" s="5">
        <v>4.05</v>
      </c>
      <c r="I1548" s="5">
        <v>-1.26</v>
      </c>
      <c r="J1548" s="6">
        <v>0.2167</v>
      </c>
      <c r="K1548" s="5">
        <v>8.33</v>
      </c>
      <c r="L1548" s="6">
        <v>0.5</v>
      </c>
      <c r="M1548" s="6">
        <v>-1.5</v>
      </c>
      <c r="N1548" s="6">
        <v>0.5</v>
      </c>
      <c r="O1548" s="6">
        <v>0.3333</v>
      </c>
      <c r="P1548" s="6">
        <v>0.5</v>
      </c>
      <c r="Q1548" s="7"/>
      <c r="R1548" s="7"/>
    </row>
    <row r="1549" spans="1:18">
      <c r="A1549" s="4" t="s">
        <v>2078</v>
      </c>
      <c r="B1549" s="4">
        <f t="shared" si="24"/>
        <v>3</v>
      </c>
      <c r="C1549" s="4" t="s">
        <v>31</v>
      </c>
      <c r="D1549" s="1" t="str">
        <f>IFERROR(VLOOKUP(A1549,[1]biopep_DB!$F$2:$J$1654,5,0),)</f>
        <v>Inhibition of angiotensin-converting enzyme by synthetic peptide fragments of various beta-caseins.; Structural requirements of Angiotensin I-converting enzyme inhibitory peptides: quantitative structure-activity relationship study of di- and tripeptides.; Bioactive peptides in amaranth (Amaranthus hypochondriacus) seed.;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1549" s="1" t="str">
        <f>IFERROR(VLOOKUP(A1549,[1]biopep_DB!$F$2:$L$1654,6,0),0)</f>
        <v>10.1021/jf051263l; 10.1021/jf072911z; 10.1016/j.jprot.2013.06.023; 10.1016/j.foodchem.2013.05.140</v>
      </c>
      <c r="F1549" s="1" t="str">
        <f>IFERROR(VLOOKUP(A1549,[1]biopep_DB!$F$2:$L$1654,7,0),0)</f>
        <v>1368548 16448176 18211015 23806758 23871047</v>
      </c>
      <c r="G1549" s="5">
        <v>327.42</v>
      </c>
      <c r="H1549" s="5">
        <v>5.49</v>
      </c>
      <c r="I1549" s="5">
        <v>-0.27</v>
      </c>
      <c r="J1549" s="6">
        <v>2.1333</v>
      </c>
      <c r="K1549" s="5">
        <v>70.87</v>
      </c>
      <c r="L1549" s="6">
        <v>1</v>
      </c>
      <c r="M1549" s="6">
        <v>-2.9867</v>
      </c>
      <c r="N1549" s="6">
        <v>0.3333</v>
      </c>
      <c r="O1549" s="6">
        <v>0.3333</v>
      </c>
      <c r="P1549" s="6">
        <v>0.6667</v>
      </c>
      <c r="Q1549" s="7"/>
      <c r="R1549" s="7"/>
    </row>
    <row r="1550" spans="1:18">
      <c r="A1550" s="4" t="s">
        <v>2079</v>
      </c>
      <c r="B1550" s="4">
        <f t="shared" si="24"/>
        <v>5</v>
      </c>
      <c r="C1550" s="4" t="s">
        <v>803</v>
      </c>
      <c r="D1550" s="1" t="str">
        <f>IFERROR(VLOOKUP(A1550,[1]biopep_DB!$F$2:$J$1654,5,0),)</f>
        <v>Angiotensin I-converting enzyme inhibitory peptides generated from in vitro gastrointestinal digestion of pork meat.; Isolation and characterization of peptides with antihypertensive activity in foodstuffs.</v>
      </c>
      <c r="E1550" s="1" t="str">
        <f>IFERROR(VLOOKUP(A1550,[1]biopep_DB!$F$2:$L$1654,6,0),0)</f>
        <v>10.1021/jf904204n; 10.1080/10408398.2012.664829</v>
      </c>
      <c r="F1550" s="1" t="str">
        <f>IFERROR(VLOOKUP(A1550,[1]biopep_DB!$F$2:$L$1654,7,0),0)</f>
        <v>20151679 24915368</v>
      </c>
      <c r="G1550" s="5">
        <v>569.69</v>
      </c>
      <c r="H1550" s="5">
        <v>4.05</v>
      </c>
      <c r="I1550" s="5">
        <v>-1.26</v>
      </c>
      <c r="J1550" s="6">
        <v>1.48</v>
      </c>
      <c r="K1550" s="5">
        <v>119.8</v>
      </c>
      <c r="L1550" s="6">
        <v>0.8</v>
      </c>
      <c r="M1550" s="6">
        <v>-2.448</v>
      </c>
      <c r="N1550" s="6">
        <v>0.4</v>
      </c>
      <c r="O1550" s="6">
        <v>0.2</v>
      </c>
      <c r="P1550" s="6">
        <v>0.6</v>
      </c>
      <c r="Q1550" s="7"/>
      <c r="R1550" s="7"/>
    </row>
    <row r="1551" spans="1:18">
      <c r="A1551" s="4" t="s">
        <v>2080</v>
      </c>
      <c r="B1551" s="4">
        <f t="shared" si="24"/>
        <v>5</v>
      </c>
      <c r="C1551" s="4" t="s">
        <v>2081</v>
      </c>
      <c r="D1551" s="1" t="str">
        <f>IFERROR(VLOOKUP(A1551,[1]biopep_DB!$F$2:$J$1654,5,0),)</f>
        <v>Inhibition of angiotensin-converting enzyme by synthetic peptide fragments of various beta-caseins.; A new QSAR model, for angiotensin I-converting enzyme inhibitory oligopeptides.</v>
      </c>
      <c r="E1551" s="1" t="str">
        <f>IFERROR(VLOOKUP(A1551,[1]biopep_DB!$F$2:$L$1654,6,0),0)</f>
        <v>10.1016/j.foodchem.2012.09.092</v>
      </c>
      <c r="F1551" s="1" t="str">
        <f>IFERROR(VLOOKUP(A1551,[1]biopep_DB!$F$2:$L$1654,7,0),0)</f>
        <v>1368548 23194537</v>
      </c>
      <c r="G1551" s="5">
        <v>537.69</v>
      </c>
      <c r="H1551" s="5">
        <v>5.49</v>
      </c>
      <c r="I1551" s="5">
        <v>-0.27</v>
      </c>
      <c r="J1551" s="6">
        <v>1.86</v>
      </c>
      <c r="K1551" s="5">
        <v>40.76</v>
      </c>
      <c r="L1551" s="6">
        <v>1</v>
      </c>
      <c r="M1551" s="6">
        <v>-2.776</v>
      </c>
      <c r="N1551" s="6">
        <v>0.2</v>
      </c>
      <c r="O1551" s="6">
        <v>0.4</v>
      </c>
      <c r="P1551" s="6">
        <v>0.6</v>
      </c>
      <c r="Q1551" s="7"/>
      <c r="R1551" s="7"/>
    </row>
    <row r="1552" spans="1:18">
      <c r="A1552" s="4" t="s">
        <v>2082</v>
      </c>
      <c r="B1552" s="4">
        <f t="shared" si="24"/>
        <v>6</v>
      </c>
      <c r="C1552" s="4" t="s">
        <v>2083</v>
      </c>
      <c r="D1552" s="1" t="str">
        <f>IFERROR(VLOOKUP(A1552,[1]biopep_DB!$F$2:$J$1654,5,0),)</f>
        <v>Inhibition of angiotensin-converting enzyme by synthetic peptide fragments of various beta-caseins.; A new QSAR model, for angiotensin I-converting enzyme inhibitory oligopeptides.</v>
      </c>
      <c r="E1552" s="1" t="str">
        <f>IFERROR(VLOOKUP(A1552,[1]biopep_DB!$F$2:$L$1654,6,0),0)</f>
        <v>10.1016/j.foodchem.2012.09.092</v>
      </c>
      <c r="F1552" s="1" t="str">
        <f>IFERROR(VLOOKUP(A1552,[1]biopep_DB!$F$2:$L$1654,7,0),0)</f>
        <v>1368548 23194537</v>
      </c>
      <c r="G1552" s="5">
        <v>665.82</v>
      </c>
      <c r="H1552" s="5">
        <v>5.49</v>
      </c>
      <c r="I1552" s="5">
        <v>-0.27</v>
      </c>
      <c r="J1552" s="6">
        <v>0.9667</v>
      </c>
      <c r="K1552" s="5">
        <v>67.73</v>
      </c>
      <c r="L1552" s="6">
        <v>0.8333</v>
      </c>
      <c r="M1552" s="6">
        <v>-2.0867</v>
      </c>
      <c r="N1552" s="6">
        <v>0.1667</v>
      </c>
      <c r="O1552" s="6">
        <v>0.3333</v>
      </c>
      <c r="P1552" s="6">
        <v>0.5</v>
      </c>
      <c r="Q1552" s="7"/>
      <c r="R1552" s="7"/>
    </row>
    <row r="1553" spans="1:18">
      <c r="A1553" s="4" t="s">
        <v>2084</v>
      </c>
      <c r="B1553" s="4">
        <f t="shared" si="24"/>
        <v>6</v>
      </c>
      <c r="C1553" s="4"/>
      <c r="D1553" s="1" t="str">
        <f>IFERROR(VLOOKUP(A1553,[1]biopep_DB!$F$2:$J$1654,5,0),)</f>
        <v/>
      </c>
      <c r="E1553" s="1" t="str">
        <f>IFERROR(VLOOKUP(A1553,[1]biopep_DB!$F$2:$L$1654,6,0),0)</f>
        <v/>
      </c>
      <c r="F1553" s="1" t="str">
        <f>IFERROR(VLOOKUP(A1553,[1]biopep_DB!$F$2:$L$1654,7,0),0)</f>
        <v/>
      </c>
      <c r="G1553" s="5">
        <v>651.79</v>
      </c>
      <c r="H1553" s="5">
        <v>5.49</v>
      </c>
      <c r="I1553" s="5">
        <v>-0.27</v>
      </c>
      <c r="J1553" s="6">
        <v>0.9167</v>
      </c>
      <c r="K1553" s="5">
        <v>136.73</v>
      </c>
      <c r="L1553" s="6">
        <v>0.8333</v>
      </c>
      <c r="M1553" s="6">
        <v>-1.94</v>
      </c>
      <c r="N1553" s="6">
        <v>0.1667</v>
      </c>
      <c r="O1553" s="6">
        <v>0.3333</v>
      </c>
      <c r="P1553" s="6">
        <v>0.5</v>
      </c>
      <c r="Q1553" s="7"/>
      <c r="R1553" s="7"/>
    </row>
    <row r="1554" spans="1:18">
      <c r="A1554" s="4" t="s">
        <v>2085</v>
      </c>
      <c r="B1554" s="4">
        <f t="shared" si="24"/>
        <v>7</v>
      </c>
      <c r="C1554" s="4"/>
      <c r="D1554" s="1" t="str">
        <f>IFERROR(VLOOKUP(A1554,[1]biopep_DB!$F$2:$J$1654,5,0),)</f>
        <v>Enterococcus faecalis strains from food, environmental, and clinical origin produce ACE-inhibitory peptides and other bioactive peptides during growth in bovine skim milk.</v>
      </c>
      <c r="E1554" s="1" t="str">
        <f>IFERROR(VLOOKUP(A1554,[1]biopep_DB!$F$2:$L$1654,6,0),0)</f>
        <v>10.1016/j.ijfoodmicro.2013.06.019</v>
      </c>
      <c r="F1554" s="1" t="str">
        <f>IFERROR(VLOOKUP(A1554,[1]biopep_DB!$F$2:$L$1654,7,0),0)</f>
        <v>23845432</v>
      </c>
      <c r="G1554" s="5">
        <v>779.97</v>
      </c>
      <c r="H1554" s="5">
        <v>8.72</v>
      </c>
      <c r="I1554" s="5">
        <v>0.73</v>
      </c>
      <c r="J1554" s="6">
        <v>0.2286</v>
      </c>
      <c r="K1554" s="5">
        <v>118.63</v>
      </c>
      <c r="L1554" s="6">
        <v>0.7143</v>
      </c>
      <c r="M1554" s="6">
        <v>-1.4371</v>
      </c>
      <c r="N1554" s="6">
        <v>0.2857</v>
      </c>
      <c r="O1554" s="6">
        <v>0.2857</v>
      </c>
      <c r="P1554" s="6">
        <v>0.4286</v>
      </c>
      <c r="Q1554" s="7"/>
      <c r="R1554" s="7"/>
    </row>
    <row r="1555" spans="1:18">
      <c r="A1555" s="4" t="s">
        <v>2086</v>
      </c>
      <c r="B1555" s="4">
        <f t="shared" si="24"/>
        <v>5</v>
      </c>
      <c r="C1555" s="4" t="s">
        <v>2087</v>
      </c>
      <c r="D1555" s="1" t="str">
        <f>IFERROR(VLOOKUP(A1555,[1]biopep_DB!$F$2:$J$1654,5,0),)</f>
        <v>A new QSAR model, for angiotensin I-converting enzyme inhibitory oligopeptides.</v>
      </c>
      <c r="E1555" s="1" t="str">
        <f>IFERROR(VLOOKUP(A1555,[1]biopep_DB!$F$2:$L$1654,6,0),0)</f>
        <v>10.1016/j.foodchem.2012.09.092</v>
      </c>
      <c r="F1555" s="1" t="str">
        <f>IFERROR(VLOOKUP(A1555,[1]biopep_DB!$F$2:$L$1654,7,0),0)</f>
        <v>23194537</v>
      </c>
      <c r="G1555" s="5">
        <v>587.71</v>
      </c>
      <c r="H1555" s="5">
        <v>5.49</v>
      </c>
      <c r="I1555" s="5">
        <v>-0.27</v>
      </c>
      <c r="J1555" s="6">
        <v>0.7</v>
      </c>
      <c r="K1555" s="5">
        <v>71.2</v>
      </c>
      <c r="L1555" s="6">
        <v>0.8</v>
      </c>
      <c r="M1555" s="6">
        <v>-1.764</v>
      </c>
      <c r="N1555" s="6">
        <v>0.2</v>
      </c>
      <c r="O1555" s="6">
        <v>0.4</v>
      </c>
      <c r="P1555" s="6">
        <v>0.6</v>
      </c>
      <c r="Q1555" s="7"/>
      <c r="R1555" s="7"/>
    </row>
    <row r="1556" spans="1:18">
      <c r="A1556" s="4" t="s">
        <v>2088</v>
      </c>
      <c r="B1556" s="4">
        <f t="shared" si="24"/>
        <v>6</v>
      </c>
      <c r="C1556" s="4" t="s">
        <v>1496</v>
      </c>
      <c r="D1556" s="1" t="str">
        <f>IFERROR(VLOOKUP(A1556,[1]biopep_DB!$F$2:$J$1654,5,0),)</f>
        <v>A new QSAR model, for angiotensin I-converting enzyme inhibitory oligopeptides.</v>
      </c>
      <c r="E1556" s="1" t="str">
        <f>IFERROR(VLOOKUP(A1556,[1]biopep_DB!$F$2:$L$1654,6,0),0)</f>
        <v>10.1016/j.foodchem.2012.09.092</v>
      </c>
      <c r="F1556" s="1" t="str">
        <f>IFERROR(VLOOKUP(A1556,[1]biopep_DB!$F$2:$L$1654,7,0),0)</f>
        <v>23194537</v>
      </c>
      <c r="G1556" s="5">
        <v>686.84</v>
      </c>
      <c r="H1556" s="5">
        <v>5.49</v>
      </c>
      <c r="I1556" s="5">
        <v>-0.27</v>
      </c>
      <c r="J1556" s="6">
        <v>1.2833</v>
      </c>
      <c r="K1556" s="5">
        <v>93.1</v>
      </c>
      <c r="L1556" s="6">
        <v>0.8333</v>
      </c>
      <c r="M1556" s="6">
        <v>-2.1433</v>
      </c>
      <c r="N1556" s="6">
        <v>0.1667</v>
      </c>
      <c r="O1556" s="6">
        <v>0.3333</v>
      </c>
      <c r="P1556" s="6">
        <v>0.6667</v>
      </c>
      <c r="Q1556" s="7"/>
      <c r="R1556" s="7"/>
    </row>
    <row r="1557" spans="1:18">
      <c r="A1557" s="4" t="s">
        <v>2089</v>
      </c>
      <c r="B1557" s="4">
        <f t="shared" si="24"/>
        <v>3</v>
      </c>
      <c r="C1557" s="4" t="s">
        <v>36</v>
      </c>
      <c r="D1557" s="1" t="str">
        <f>IFERROR(VLOOKUP(A1557,[1]biopep_DB!$F$2:$J$1654,5,0),)</f>
        <v>Structural requirements of Angiotensin I-converting enzyme inhibitory peptides: quantitative structure-activity relationship study of di- and tripeptides.</v>
      </c>
      <c r="E1557" s="1" t="str">
        <f>IFERROR(VLOOKUP(A1557,[1]biopep_DB!$F$2:$L$1654,6,0),0)</f>
        <v>10.1021/jf051263l</v>
      </c>
      <c r="F1557" s="1" t="str">
        <f>IFERROR(VLOOKUP(A1557,[1]biopep_DB!$F$2:$L$1654,7,0),0)</f>
        <v>16448176</v>
      </c>
      <c r="G1557" s="5">
        <v>393.48</v>
      </c>
      <c r="H1557" s="5">
        <v>5.49</v>
      </c>
      <c r="I1557" s="5">
        <v>-0.27</v>
      </c>
      <c r="J1557" s="6">
        <v>2.2333</v>
      </c>
      <c r="K1557" s="5">
        <v>6.67</v>
      </c>
      <c r="L1557" s="6">
        <v>0.6667</v>
      </c>
      <c r="M1557" s="6">
        <v>-2.94</v>
      </c>
      <c r="N1557" s="6">
        <v>0.3333</v>
      </c>
      <c r="O1557" s="6">
        <v>0</v>
      </c>
      <c r="P1557" s="6">
        <v>1</v>
      </c>
      <c r="Q1557" s="7"/>
      <c r="R1557" s="7"/>
    </row>
    <row r="1558" spans="1:18">
      <c r="A1558" s="4" t="s">
        <v>2090</v>
      </c>
      <c r="B1558" s="4">
        <f t="shared" si="24"/>
        <v>6</v>
      </c>
      <c r="C1558" s="4"/>
      <c r="D1558" s="1" t="str">
        <f>IFERROR(VLOOKUP(A1558,[1]biopep_DB!$F$2:$J$1654,5,0),)</f>
        <v/>
      </c>
      <c r="E1558" s="1" t="str">
        <f>IFERROR(VLOOKUP(A1558,[1]biopep_DB!$F$2:$L$1654,6,0),0)</f>
        <v/>
      </c>
      <c r="F1558" s="1" t="str">
        <f>IFERROR(VLOOKUP(A1558,[1]biopep_DB!$F$2:$L$1654,7,0),0)</f>
        <v/>
      </c>
      <c r="G1558" s="5">
        <v>721.8</v>
      </c>
      <c r="H1558" s="5">
        <v>5.81</v>
      </c>
      <c r="I1558" s="5">
        <v>-0.27</v>
      </c>
      <c r="J1558" s="6">
        <v>-0.2833</v>
      </c>
      <c r="K1558" s="5">
        <v>-19.85</v>
      </c>
      <c r="L1558" s="6">
        <v>0.3333</v>
      </c>
      <c r="M1558" s="6">
        <v>-0.8933</v>
      </c>
      <c r="N1558" s="6">
        <v>0.1667</v>
      </c>
      <c r="O1558" s="6">
        <v>0.3333</v>
      </c>
      <c r="P1558" s="6">
        <v>0.5</v>
      </c>
      <c r="Q1558" s="7"/>
      <c r="R1558" s="7"/>
    </row>
    <row r="1559" spans="1:18">
      <c r="A1559" s="4" t="s">
        <v>2091</v>
      </c>
      <c r="B1559" s="4">
        <f t="shared" si="24"/>
        <v>7</v>
      </c>
      <c r="C1559" s="4" t="s">
        <v>2092</v>
      </c>
      <c r="D1559" s="1" t="str">
        <f>IFERROR(VLOOKUP(A1559,[1]biopep_DB!$F$2:$J$1654,5,0),)</f>
        <v>A new QSAR model, for angiotensin I-converting enzyme inhibitory oligopeptides.; Vegetable foods: a cheap source of proteins and peptides with antihypertensive, antioxidant, and other less occurrence bioactivities.; Isolation and characterization of peptides with antihypertensive activity in foodstuffs.</v>
      </c>
      <c r="E1559" s="1" t="str">
        <f>IFERROR(VLOOKUP(A1559,[1]biopep_DB!$F$2:$L$1654,6,0),0)</f>
        <v>10.1016/j.foodchem.2012.09.092; 10.1016/j.talanta.2012.12.041; 10.1080/10408398.2012.664829</v>
      </c>
      <c r="F1559" s="1" t="str">
        <f>IFERROR(VLOOKUP(A1559,[1]biopep_DB!$F$2:$L$1654,7,0),0)</f>
        <v>23194537 23598136 24915368</v>
      </c>
      <c r="G1559" s="5">
        <v>773.9</v>
      </c>
      <c r="H1559" s="5">
        <v>5.81</v>
      </c>
      <c r="I1559" s="5">
        <v>-0.27</v>
      </c>
      <c r="J1559" s="6">
        <v>-0.9714</v>
      </c>
      <c r="K1559" s="5">
        <v>13.19</v>
      </c>
      <c r="L1559" s="6">
        <v>0.4286</v>
      </c>
      <c r="M1559" s="6">
        <v>-0.3871</v>
      </c>
      <c r="N1559" s="6">
        <v>0.2857</v>
      </c>
      <c r="O1559" s="6">
        <v>0.4286</v>
      </c>
      <c r="P1559" s="6">
        <v>0.1429</v>
      </c>
      <c r="Q1559" s="7"/>
      <c r="R1559" s="7"/>
    </row>
    <row r="1560" spans="1:18">
      <c r="A1560" s="4" t="s">
        <v>2093</v>
      </c>
      <c r="B1560" s="4">
        <f t="shared" si="24"/>
        <v>3</v>
      </c>
      <c r="C1560" s="4" t="s">
        <v>2094</v>
      </c>
      <c r="D1560" s="1" t="str">
        <f>IFERROR(VLOOKUP(A1560,[1]biopep_DB!$F$2:$J$1654,5,0),)</f>
        <v>Inhibition of angiotensin-converting enzyme by synthetic peptide fragments of various beta-caseins.; What are the ideal properties for functional food peptides with antihypertensive effect? A computational peptidology approach.</v>
      </c>
      <c r="E1560" s="1" t="str">
        <f>IFERROR(VLOOKUP(A1560,[1]biopep_DB!$F$2:$L$1654,6,0),0)</f>
        <v>10.1016/j.foodchem.2013.05.140</v>
      </c>
      <c r="F1560" s="1" t="str">
        <f>IFERROR(VLOOKUP(A1560,[1]biopep_DB!$F$2:$L$1654,7,0),0)</f>
        <v>1368548 23871047</v>
      </c>
      <c r="G1560" s="5">
        <v>345.46</v>
      </c>
      <c r="H1560" s="5">
        <v>5.49</v>
      </c>
      <c r="I1560" s="5">
        <v>-0.27</v>
      </c>
      <c r="J1560" s="6">
        <v>1.5</v>
      </c>
      <c r="K1560" s="5">
        <v>153.13</v>
      </c>
      <c r="L1560" s="6">
        <v>1</v>
      </c>
      <c r="M1560" s="6">
        <v>-2.13</v>
      </c>
      <c r="N1560" s="6">
        <v>0.3333</v>
      </c>
      <c r="O1560" s="6">
        <v>0.3333</v>
      </c>
      <c r="P1560" s="6">
        <v>0.3333</v>
      </c>
      <c r="Q1560" s="7"/>
      <c r="R1560" s="7"/>
    </row>
    <row r="1561" spans="1:18">
      <c r="A1561" s="4" t="s">
        <v>2095</v>
      </c>
      <c r="B1561" s="4">
        <f t="shared" si="24"/>
        <v>4</v>
      </c>
      <c r="C1561" s="4"/>
      <c r="D1561" s="1" t="str">
        <f>IFERROR(VLOOKUP(A1561,[1]biopep_DB!$F$2:$J$1654,5,0),)</f>
        <v>Hot topic: Changes in angiotensin-converting enzyme inhibition and concentrations of the tripeptides Val-Pro-Pro and Ile-Pro-Pro during ripening of different Swiss cheese varieties.</v>
      </c>
      <c r="E1561" s="1" t="str">
        <f>IFERROR(VLOOKUP(A1561,[1]biopep_DB!$F$2:$L$1654,6,0),0)</f>
        <v>10.3168/jds.2008-1531</v>
      </c>
      <c r="F1561" s="1" t="str">
        <f>IFERROR(VLOOKUP(A1561,[1]biopep_DB!$F$2:$L$1654,7,0),0)</f>
        <v>19233775</v>
      </c>
      <c r="G1561" s="5">
        <v>473.52</v>
      </c>
      <c r="H1561" s="5">
        <v>4.05</v>
      </c>
      <c r="I1561" s="5">
        <v>-1.26</v>
      </c>
      <c r="J1561" s="6">
        <v>0.25</v>
      </c>
      <c r="K1561" s="5">
        <v>7.5</v>
      </c>
      <c r="L1561" s="6">
        <v>0.5</v>
      </c>
      <c r="M1561" s="6">
        <v>-1.425</v>
      </c>
      <c r="N1561" s="6">
        <v>0.5</v>
      </c>
      <c r="O1561" s="6">
        <v>0.25</v>
      </c>
      <c r="P1561" s="6">
        <v>0.5</v>
      </c>
      <c r="Q1561" s="7"/>
      <c r="R1561" s="7"/>
    </row>
    <row r="1562" spans="1:18">
      <c r="A1562" s="4" t="s">
        <v>2096</v>
      </c>
      <c r="B1562" s="4">
        <f t="shared" si="24"/>
        <v>9</v>
      </c>
      <c r="C1562" s="4"/>
      <c r="G1562" s="5">
        <v>995.09</v>
      </c>
      <c r="H1562" s="5">
        <v>8.56</v>
      </c>
      <c r="I1562" s="5">
        <v>0.73</v>
      </c>
      <c r="J1562" s="6">
        <v>-1.0889</v>
      </c>
      <c r="K1562" s="5">
        <v>13.59</v>
      </c>
      <c r="L1562" s="6">
        <v>0.2222</v>
      </c>
      <c r="M1562" s="6">
        <v>0.0156</v>
      </c>
      <c r="N1562" s="6">
        <v>0.3333</v>
      </c>
      <c r="O1562" s="6">
        <v>0.4444</v>
      </c>
      <c r="P1562" s="6">
        <v>0.2222</v>
      </c>
      <c r="Q1562" s="7"/>
      <c r="R1562" s="7"/>
    </row>
    <row r="1563" spans="1:18">
      <c r="A1563" s="4" t="s">
        <v>2097</v>
      </c>
      <c r="B1563" s="4">
        <f t="shared" si="24"/>
        <v>3</v>
      </c>
      <c r="C1563" s="4" t="s">
        <v>31</v>
      </c>
      <c r="D1563" s="1" t="str">
        <f>IFERROR(VLOOKUP(A1563,[1]biopep_DB!$F$2:$J$1654,5,0),)</f>
        <v/>
      </c>
      <c r="G1563" s="5">
        <v>328.36</v>
      </c>
      <c r="H1563" s="5">
        <v>5.49</v>
      </c>
      <c r="I1563" s="5">
        <v>-0.27</v>
      </c>
      <c r="J1563" s="6">
        <v>-0.3</v>
      </c>
      <c r="K1563" s="5">
        <v>-2.93</v>
      </c>
      <c r="L1563" s="6">
        <v>0.6667</v>
      </c>
      <c r="M1563" s="6">
        <v>-0.8067</v>
      </c>
      <c r="N1563" s="6">
        <v>0</v>
      </c>
      <c r="O1563" s="6">
        <v>0.6667</v>
      </c>
      <c r="P1563" s="6">
        <v>0.3333</v>
      </c>
      <c r="Q1563" s="7"/>
      <c r="R1563" s="7"/>
    </row>
    <row r="1564" spans="1:18">
      <c r="A1564" s="4" t="s">
        <v>2098</v>
      </c>
      <c r="B1564" s="4">
        <f t="shared" si="24"/>
        <v>2</v>
      </c>
      <c r="C1564" s="4" t="s">
        <v>36</v>
      </c>
      <c r="D1564" s="1" t="str">
        <f>IFERROR(VLOOKUP(A1564,[1]biopep_DB!$F$2:$J$1654,5,0),)</f>
        <v>Binding of peptide substrates and inhibitors of angiotensin-converting enzyme. Importance of the COOH-terminal dipeptide sequence.; Angiotensin I-converting enzyme inhibitory activity and insulin secretion stimulative activity of fermented fish sauce.;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Antihypertensive effect of peptide-enriched soy sauce-like seasoning and identification of its angiotensin I-converting enzyme inhibitory substances.; QSAR study on angiotensin-converting enzyme inhibitor oligopeptides based on a novel set of sequence information descriptors.;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Isolation and characterization of peptides with antihypertensive activity in foodstuffs.</v>
      </c>
      <c r="E1564" s="1" t="str">
        <f>IFERROR(VLOOKUP(A1564,[1]biopep_DB!$F$2:$L$1654,6,0),0)</f>
        <v>10.1016/S1389-1723(03)70138-8; 10.1021/jf051263l; 10.1002/psc.892; 10.1021/jf903261h; 10.1007/s00894-010-0862-x; 10.1016/j.talanta.2012.12.041; 10.1016/j.jprot.2013.06.023; 10.1016/j.foodchem.2013.05.140; 10.1080/10408398.2012.664829</v>
      </c>
      <c r="F1564" s="1" t="str">
        <f>IFERROR(VLOOKUP(A1564,[1]biopep_DB!$F$2:$L$1654,7,0),0)</f>
        <v>6243277 16233562 16448176 17654623 19994857 20941517 23598136 23806758 23871047 24915368</v>
      </c>
      <c r="G1564" s="5">
        <v>214.26</v>
      </c>
      <c r="H1564" s="5">
        <v>5.49</v>
      </c>
      <c r="I1564" s="5">
        <v>-0.27</v>
      </c>
      <c r="J1564" s="6">
        <v>1.3</v>
      </c>
      <c r="K1564" s="5">
        <v>101.3</v>
      </c>
      <c r="L1564" s="6">
        <v>1</v>
      </c>
      <c r="M1564" s="6">
        <v>-2.02</v>
      </c>
      <c r="N1564" s="6">
        <v>0</v>
      </c>
      <c r="O1564" s="6">
        <v>0.5</v>
      </c>
      <c r="P1564" s="6">
        <v>0.5</v>
      </c>
      <c r="Q1564" s="7"/>
      <c r="R1564" s="7"/>
    </row>
    <row r="1565" spans="1:18">
      <c r="A1565" s="4" t="s">
        <v>2099</v>
      </c>
      <c r="B1565" s="4">
        <f t="shared" si="24"/>
        <v>6</v>
      </c>
      <c r="C1565" s="4" t="s">
        <v>2100</v>
      </c>
      <c r="D1565" s="1" t="str">
        <f>IFERROR(VLOOKUP(A1565,[1]biopep_DB!$F$2:$J$1654,5,0),)</f>
        <v>Isolation and characterization of a low molecular weight peptide contained in sourdough.</v>
      </c>
      <c r="E1565" s="1" t="str">
        <f>IFERROR(VLOOKUP(A1565,[1]biopep_DB!$F$2:$L$1654,6,0),0)</f>
        <v>10.1021/jf070069r</v>
      </c>
      <c r="F1565" s="1" t="str">
        <f>IFERROR(VLOOKUP(A1565,[1]biopep_DB!$F$2:$L$1654,7,0),0)</f>
        <v>17516655</v>
      </c>
      <c r="G1565" s="5">
        <v>574.67</v>
      </c>
      <c r="H1565" s="5">
        <v>5.49</v>
      </c>
      <c r="I1565" s="5">
        <v>-0.27</v>
      </c>
      <c r="J1565" s="6">
        <v>1.4667</v>
      </c>
      <c r="K1565" s="5">
        <v>58.38</v>
      </c>
      <c r="L1565" s="6">
        <v>0.6667</v>
      </c>
      <c r="M1565" s="6">
        <v>-2.1567</v>
      </c>
      <c r="N1565" s="6">
        <v>0</v>
      </c>
      <c r="O1565" s="6">
        <v>0.5</v>
      </c>
      <c r="P1565" s="6">
        <v>0.5</v>
      </c>
      <c r="Q1565" s="7"/>
      <c r="R1565" s="7"/>
    </row>
    <row r="1566" spans="1:18">
      <c r="A1566" s="4" t="s">
        <v>2101</v>
      </c>
      <c r="B1566" s="4">
        <f t="shared" si="24"/>
        <v>3</v>
      </c>
      <c r="C1566" s="4" t="s">
        <v>25</v>
      </c>
      <c r="D1566" s="1" t="str">
        <f>IFERROR(VLOOKUP(A1566,[1]biopep_DB!$F$2:$J$1654,5,0),)</f>
        <v>Angiotensin I-converting enzyme inhibitory properties of whey protein digests: concentration and characterization of active peptides.</v>
      </c>
      <c r="E1566" s="1" t="str">
        <f>IFERROR(VLOOKUP(A1566,[1]biopep_DB!$F$2:$L$1654,6,0),0)</f>
        <v>10.1017/s0022029999003982</v>
      </c>
      <c r="F1566" s="1" t="str">
        <f>IFERROR(VLOOKUP(A1566,[1]biopep_DB!$F$2:$L$1654,7,0),0)</f>
        <v>10717843</v>
      </c>
      <c r="G1566" s="5">
        <v>342.43</v>
      </c>
      <c r="H1566" s="5">
        <v>8.72</v>
      </c>
      <c r="I1566" s="5">
        <v>0.73</v>
      </c>
      <c r="J1566" s="6">
        <v>-0.4333</v>
      </c>
      <c r="K1566" s="5">
        <v>70.87</v>
      </c>
      <c r="L1566" s="6">
        <v>0.6667</v>
      </c>
      <c r="M1566" s="6">
        <v>-0.82</v>
      </c>
      <c r="N1566" s="6">
        <v>0.3333</v>
      </c>
      <c r="O1566" s="6">
        <v>0.3333</v>
      </c>
      <c r="P1566" s="6">
        <v>0.3333</v>
      </c>
      <c r="Q1566" s="7"/>
      <c r="R1566" s="7"/>
    </row>
    <row r="1567" spans="1:18">
      <c r="A1567" s="4" t="s">
        <v>2102</v>
      </c>
      <c r="B1567" s="4">
        <f t="shared" si="24"/>
        <v>5</v>
      </c>
      <c r="C1567" s="4" t="s">
        <v>2103</v>
      </c>
      <c r="D1567" s="1" t="str">
        <f>IFERROR(VLOOKUP(A1567,[1]biopep_DB!$F$2:$J$1654,5,0),)</f>
        <v/>
      </c>
      <c r="E1567" s="1" t="str">
        <f>IFERROR(VLOOKUP(A1567,[1]biopep_DB!$F$2:$L$1654,6,0),0)</f>
        <v/>
      </c>
      <c r="F1567" s="1" t="str">
        <f>IFERROR(VLOOKUP(A1567,[1]biopep_DB!$F$2:$L$1654,7,0),0)</f>
        <v/>
      </c>
      <c r="G1567" s="5">
        <v>569.74</v>
      </c>
      <c r="H1567" s="5">
        <v>10</v>
      </c>
      <c r="I1567" s="5">
        <v>1.73</v>
      </c>
      <c r="J1567" s="6">
        <v>-0.2</v>
      </c>
      <c r="K1567" s="5">
        <v>23.78</v>
      </c>
      <c r="L1567" s="6">
        <v>0.6</v>
      </c>
      <c r="M1567" s="6">
        <v>-0.984</v>
      </c>
      <c r="N1567" s="6">
        <v>0.4</v>
      </c>
      <c r="O1567" s="6">
        <v>0.2</v>
      </c>
      <c r="P1567" s="6">
        <v>0.4</v>
      </c>
      <c r="Q1567" s="7"/>
      <c r="R1567" s="7"/>
    </row>
    <row r="1568" spans="1:18">
      <c r="A1568" s="4" t="s">
        <v>2104</v>
      </c>
      <c r="B1568" s="4">
        <f t="shared" si="24"/>
        <v>6</v>
      </c>
      <c r="C1568" s="4"/>
      <c r="D1568" s="1" t="str">
        <f>IFERROR(VLOOKUP(A1568,[1]biopep_DB!$F$2:$J$1654,5,0),)</f>
        <v/>
      </c>
      <c r="E1568" s="1" t="str">
        <f>IFERROR(VLOOKUP(A1568,[1]biopep_DB!$F$2:$L$1654,6,0),0)</f>
        <v/>
      </c>
      <c r="F1568" s="1" t="str">
        <f>IFERROR(VLOOKUP(A1568,[1]biopep_DB!$F$2:$L$1654,7,0),0)</f>
        <v/>
      </c>
      <c r="G1568" s="5">
        <v>698.85</v>
      </c>
      <c r="H1568" s="5">
        <v>8.56</v>
      </c>
      <c r="I1568" s="5">
        <v>0.74</v>
      </c>
      <c r="J1568" s="6">
        <v>-0.75</v>
      </c>
      <c r="K1568" s="5">
        <v>21.48</v>
      </c>
      <c r="L1568" s="6">
        <v>0.5</v>
      </c>
      <c r="M1568" s="6">
        <v>-0.5467</v>
      </c>
      <c r="N1568" s="6">
        <v>0.5</v>
      </c>
      <c r="O1568" s="6">
        <v>0.1667</v>
      </c>
      <c r="P1568" s="6">
        <v>0.3333</v>
      </c>
      <c r="Q1568" s="7"/>
      <c r="R1568" s="7"/>
    </row>
    <row r="1569" spans="1:18">
      <c r="A1569" s="4" t="s">
        <v>2105</v>
      </c>
      <c r="B1569" s="4">
        <f t="shared" si="24"/>
        <v>7</v>
      </c>
      <c r="C1569" s="4"/>
      <c r="D1569" s="1" t="str">
        <f>IFERROR(VLOOKUP(A1569,[1]biopep_DB!$F$2:$J$1654,5,0),)</f>
        <v/>
      </c>
      <c r="E1569" s="1" t="str">
        <f>IFERROR(VLOOKUP(A1569,[1]biopep_DB!$F$2:$L$1654,6,0),0)</f>
        <v/>
      </c>
      <c r="F1569" s="1" t="str">
        <f>IFERROR(VLOOKUP(A1569,[1]biopep_DB!$F$2:$L$1654,7,0),0)</f>
        <v/>
      </c>
      <c r="G1569" s="5">
        <v>799.95</v>
      </c>
      <c r="H1569" s="5">
        <v>8.56</v>
      </c>
      <c r="I1569" s="5">
        <v>0.73</v>
      </c>
      <c r="J1569" s="6">
        <v>-0.7429</v>
      </c>
      <c r="K1569" s="5">
        <v>19.84</v>
      </c>
      <c r="L1569" s="6">
        <v>0.4286</v>
      </c>
      <c r="M1569" s="6">
        <v>-0.4314</v>
      </c>
      <c r="N1569" s="6">
        <v>0.4286</v>
      </c>
      <c r="O1569" s="6">
        <v>0.1429</v>
      </c>
      <c r="P1569" s="6">
        <v>0.4286</v>
      </c>
      <c r="Q1569" s="7"/>
      <c r="R1569" s="7"/>
    </row>
    <row r="1570" spans="1:18">
      <c r="A1570" s="4" t="s">
        <v>2106</v>
      </c>
      <c r="B1570" s="4">
        <f t="shared" si="24"/>
        <v>8</v>
      </c>
      <c r="C1570" s="4"/>
      <c r="D1570" s="1" t="str">
        <f>IFERROR(VLOOKUP(A1570,[1]biopep_DB!$F$2:$J$1654,5,0),)</f>
        <v>Hot topic: Changes in angiotensin-converting enzyme inhibition and concentrations of the tripeptides Val-Pro-Pro and Ile-Pro-Pro during ripening of different Swiss cheese varieties.</v>
      </c>
      <c r="E1570" s="1" t="str">
        <f>IFERROR(VLOOKUP(A1570,[1]biopep_DB!$F$2:$L$1654,6,0),0)</f>
        <v>10.3168/jds.2008-1531</v>
      </c>
      <c r="F1570" s="1" t="str">
        <f>IFERROR(VLOOKUP(A1570,[1]biopep_DB!$F$2:$L$1654,7,0),0)</f>
        <v>19233775</v>
      </c>
      <c r="G1570" s="5">
        <v>877.98</v>
      </c>
      <c r="H1570" s="5">
        <v>5.49</v>
      </c>
      <c r="I1570" s="5">
        <v>-0.27</v>
      </c>
      <c r="J1570" s="6">
        <v>-0.025</v>
      </c>
      <c r="K1570" s="5">
        <v>-7.25</v>
      </c>
      <c r="L1570" s="6">
        <v>0.375</v>
      </c>
      <c r="M1570" s="6">
        <v>-0.985</v>
      </c>
      <c r="N1570" s="6">
        <v>0.125</v>
      </c>
      <c r="O1570" s="6">
        <v>0.25</v>
      </c>
      <c r="P1570" s="6">
        <v>0.625</v>
      </c>
      <c r="Q1570" s="7"/>
      <c r="R1570" s="7"/>
    </row>
    <row r="1571" spans="1:18">
      <c r="A1571" s="4" t="s">
        <v>2107</v>
      </c>
      <c r="B1571" s="4">
        <f t="shared" si="24"/>
        <v>3</v>
      </c>
      <c r="C1571" s="4" t="s">
        <v>36</v>
      </c>
      <c r="D1571" s="1" t="str">
        <f>IFERROR(VLOOKUP(A1571,[1]biopep_DB!$F$2:$J$1654,5,0),)</f>
        <v>Antihypertensive effect of sour milk and peptides isolated from it that are inhibitors to angiotensin I-converting enzyme.; Purification and characterization of angiotensin I-converting enzyme inhibitors from sour milk.; Randomized controlled trial of sour milk on blood pressure in borderline hypertensive men.; Structural requirements of Angiotensin I-converting enzyme inhibitory peptides: quantitative structure-activity relationship study of di- and tripeptides.; Bioactive peptides in amaranth (Amaranthus hypochondriacus) seed.; Evaluation of the allergenicity of goat milk, cow milk, and their lactosera in a guinea pig model.; Antihypertensive peptides: production, bioavailability and incorporation into foods.; LC-MS/MS quantification of bioactive angiotensin I-converting enzyme inhibitory peptides in rye malt sourdoughs.; Antihypertensive peptides from food proteins: a review.; VPPIPP and IPPVPP: two hexapeptides innovated to exert antihypertensive activity.; What are the ideal properties for functional food peptides with antihypertensive effect? A computational peptidology approach.; Comparison of analytical methods to assay inhibitors of angiotensin I-converting enzyme.; Isolation and characterization of peptides with antihypertensive activity in foodstuffs.</v>
      </c>
      <c r="E1571" s="1" t="str">
        <f>IFERROR(VLOOKUP(A1571,[1]biopep_DB!$F$2:$L$1654,6,0),0)</f>
        <v>10.3168/jds.S0022-0302(95)76745-5; 10.3168/jds.S0022-0302(95)76689-9; 10.1016/j.amjhyper.2004.03.674; 10.1021/jf051263l; 10.1021/jf072911z; 10.3168/jds.2008-1125; 10.1016/j.cis.2010.11.001; 10.1021/jf2033329; 10.1039/c2fo10192k; 10.1371/journal.pone.0062384; 10.1016/j.foodchem.2013.05.140; 10.1016/j.foodchem.2013.06.048; 10.1080/10408398.2012.664829</v>
      </c>
      <c r="F1571" s="1" t="str">
        <f>IFERROR(VLOOKUP(A1571,[1]biopep_DB!$F$2:$L$1654,7,0),0)</f>
        <v>7673515 7790570 15288885 16448176 18211015 19233776 21185549 21985248 22249830 23638059 23871047 23993489 24915368</v>
      </c>
      <c r="G1571" s="5">
        <v>311.38</v>
      </c>
      <c r="H1571" s="5">
        <v>5.49</v>
      </c>
      <c r="I1571" s="5">
        <v>-0.27</v>
      </c>
      <c r="J1571" s="6">
        <v>0.3333</v>
      </c>
      <c r="K1571" s="5">
        <v>135.07</v>
      </c>
      <c r="L1571" s="6">
        <v>1</v>
      </c>
      <c r="M1571" s="6">
        <v>-1.3467</v>
      </c>
      <c r="N1571" s="6">
        <v>0</v>
      </c>
      <c r="O1571" s="6">
        <v>0.6667</v>
      </c>
      <c r="P1571" s="6">
        <v>0.3333</v>
      </c>
      <c r="Q1571" s="7"/>
      <c r="R1571" s="7"/>
    </row>
    <row r="1572" spans="1:18">
      <c r="A1572" s="4" t="s">
        <v>2108</v>
      </c>
      <c r="B1572" s="4">
        <f t="shared" si="24"/>
        <v>9</v>
      </c>
      <c r="C1572" s="4"/>
      <c r="D1572" s="1" t="str">
        <f>IFERROR(VLOOKUP(A1572,[1]biopep_DB!$F$2:$J$1654,5,0),)</f>
        <v>Casein fermentate of Lactobacillus animalis DPC6134 contains a range of novel propeptide angiotensin-converting enzyme inhibitors.</v>
      </c>
      <c r="E1572" s="1" t="str">
        <f>IFERROR(VLOOKUP(A1572,[1]biopep_DB!$F$2:$L$1654,6,0),0)</f>
        <v>10.1128/AEM.00096-07</v>
      </c>
      <c r="F1572" s="1" t="str">
        <f>IFERROR(VLOOKUP(A1572,[1]biopep_DB!$F$2:$L$1654,7,0),0)</f>
        <v>17483275</v>
      </c>
      <c r="G1572" s="5">
        <v>1025.2</v>
      </c>
      <c r="H1572" s="5">
        <v>4.05</v>
      </c>
      <c r="I1572" s="5">
        <v>-1.26</v>
      </c>
      <c r="J1572" s="6">
        <v>0.3556</v>
      </c>
      <c r="K1572" s="5">
        <v>150.02</v>
      </c>
      <c r="L1572" s="6">
        <v>0.7778</v>
      </c>
      <c r="M1572" s="6">
        <v>-1.4422</v>
      </c>
      <c r="N1572" s="6">
        <v>0.2222</v>
      </c>
      <c r="O1572" s="6">
        <v>0.3333</v>
      </c>
      <c r="P1572" s="6">
        <v>0.4444</v>
      </c>
      <c r="Q1572" s="7"/>
      <c r="R1572" s="7"/>
    </row>
    <row r="1573" spans="1:18">
      <c r="A1573" s="4" t="s">
        <v>2109</v>
      </c>
      <c r="B1573" s="4">
        <f t="shared" si="24"/>
        <v>6</v>
      </c>
      <c r="C1573" s="4" t="s">
        <v>2110</v>
      </c>
      <c r="D1573" s="1" t="str">
        <f>IFERROR(VLOOKUP(A1573,[1]biopep_DB!$F$2:$J$1654,5,0),)</f>
        <v>The potential role of milk-derived peptides in cardiovascular disease.; VPPIPP and IPPVPP: two hexapeptides innovated to exert antihypertensive activity.</v>
      </c>
      <c r="E1573" s="1" t="str">
        <f>IFERROR(VLOOKUP(A1573,[1]biopep_DB!$F$2:$L$1654,6,0),0)</f>
        <v>10.1039/c1fo10017c; 10.1371/journal.pone.0062384</v>
      </c>
      <c r="F1573" s="1" t="str">
        <f>IFERROR(VLOOKUP(A1573,[1]biopep_DB!$F$2:$L$1654,7,0),0)</f>
        <v>21779574 23638059</v>
      </c>
      <c r="G1573" s="5">
        <v>618.76</v>
      </c>
      <c r="H1573" s="5">
        <v>5.49</v>
      </c>
      <c r="I1573" s="5">
        <v>-0.27</v>
      </c>
      <c r="J1573" s="6">
        <v>0.3833</v>
      </c>
      <c r="K1573" s="5">
        <v>99.83</v>
      </c>
      <c r="L1573" s="6">
        <v>1</v>
      </c>
      <c r="M1573" s="6">
        <v>-1.4933</v>
      </c>
      <c r="N1573" s="6">
        <v>0</v>
      </c>
      <c r="O1573" s="6">
        <v>0.6667</v>
      </c>
      <c r="P1573" s="6">
        <v>0.3333</v>
      </c>
      <c r="Q1573" s="7"/>
      <c r="R1573" s="7"/>
    </row>
    <row r="1574" spans="1:18">
      <c r="A1574" s="4" t="s">
        <v>2111</v>
      </c>
      <c r="B1574" s="4">
        <f t="shared" si="24"/>
        <v>3</v>
      </c>
      <c r="C1574" s="4"/>
      <c r="D1574" s="1" t="str">
        <f>IFERROR(VLOOKUP(A1574,[1]biopep_DB!$F$2:$J$1654,5,0),)</f>
        <v>Angiotensin I-converting-enzyme-inhibitory and antibacterial peptides from Lactobacillus helveticus PR4 proteinase-hydrolyzed caseins of milk from six species.</v>
      </c>
      <c r="E1574" s="1" t="str">
        <f>IFERROR(VLOOKUP(A1574,[1]biopep_DB!$F$2:$L$1654,6,0),0)</f>
        <v>10.1128/AEM.69.9.5297-5305.2003</v>
      </c>
      <c r="F1574" s="1" t="str">
        <f>IFERROR(VLOOKUP(A1574,[1]biopep_DB!$F$2:$L$1654,7,0),0)</f>
        <v>12957917</v>
      </c>
      <c r="G1574" s="5">
        <v>342.39</v>
      </c>
      <c r="H1574" s="5">
        <v>5.49</v>
      </c>
      <c r="I1574" s="5">
        <v>-0.27</v>
      </c>
      <c r="J1574" s="6">
        <v>-0.3</v>
      </c>
      <c r="K1574" s="5">
        <v>135.07</v>
      </c>
      <c r="L1574" s="6">
        <v>0.6667</v>
      </c>
      <c r="M1574" s="6">
        <v>-0.8933</v>
      </c>
      <c r="N1574" s="6">
        <v>0</v>
      </c>
      <c r="O1574" s="6">
        <v>0.3333</v>
      </c>
      <c r="P1574" s="6">
        <v>0.3333</v>
      </c>
      <c r="Q1574" s="7"/>
      <c r="R1574" s="7"/>
    </row>
    <row r="1575" spans="1:18">
      <c r="A1575" s="4" t="s">
        <v>2112</v>
      </c>
      <c r="B1575" s="4">
        <f t="shared" si="24"/>
        <v>4</v>
      </c>
      <c r="C1575" s="4" t="s">
        <v>311</v>
      </c>
      <c r="D1575" s="1" t="str">
        <f>IFERROR(VLOOKUP(A1575,[1]biopep_DB!$F$2:$J$1654,5,0),)</f>
        <v>Inhibition of angiotensin-converting enzyme by synthetic peptide fragments of various beta-caseins.</v>
      </c>
      <c r="E1575" s="1" t="str">
        <f>IFERROR(VLOOKUP(A1575,[1]biopep_DB!$F$2:$L$1654,6,0),0)</f>
        <v/>
      </c>
      <c r="F1575" s="1" t="str">
        <f>IFERROR(VLOOKUP(A1575,[1]biopep_DB!$F$2:$L$1654,7,0),0)</f>
        <v>1368548</v>
      </c>
      <c r="G1575" s="5">
        <v>439.51</v>
      </c>
      <c r="H1575" s="5">
        <v>5.49</v>
      </c>
      <c r="I1575" s="5">
        <v>-0.27</v>
      </c>
      <c r="J1575" s="6">
        <v>-0.625</v>
      </c>
      <c r="K1575" s="5">
        <v>151.95</v>
      </c>
      <c r="L1575" s="6">
        <v>0.75</v>
      </c>
      <c r="M1575" s="6">
        <v>-0.67</v>
      </c>
      <c r="N1575" s="6">
        <v>0</v>
      </c>
      <c r="O1575" s="6">
        <v>0.5</v>
      </c>
      <c r="P1575" s="6">
        <v>0.25</v>
      </c>
      <c r="Q1575" s="7"/>
      <c r="R1575" s="7"/>
    </row>
    <row r="1576" spans="1:18">
      <c r="A1576" s="4" t="s">
        <v>2113</v>
      </c>
      <c r="B1576" s="4">
        <f t="shared" si="24"/>
        <v>6</v>
      </c>
      <c r="C1576" s="4" t="s">
        <v>2114</v>
      </c>
      <c r="D1576" s="1" t="str">
        <f>IFERROR(VLOOKUP(A1576,[1]biopep_DB!$F$2:$J$1654,5,0),)</f>
        <v>Inhibition of angiotensin-converting enzyme by synthetic peptide fragments of various beta-caseins.</v>
      </c>
      <c r="E1576" s="1" t="str">
        <f>IFERROR(VLOOKUP(A1576,[1]biopep_DB!$F$2:$L$1654,6,0),0)</f>
        <v/>
      </c>
      <c r="F1576" s="1" t="str">
        <f>IFERROR(VLOOKUP(A1576,[1]biopep_DB!$F$2:$L$1654,7,0),0)</f>
        <v>1368548</v>
      </c>
      <c r="G1576" s="5">
        <v>649.78</v>
      </c>
      <c r="H1576" s="5">
        <v>5.49</v>
      </c>
      <c r="I1576" s="5">
        <v>-0.27</v>
      </c>
      <c r="J1576" s="6">
        <v>0.0667</v>
      </c>
      <c r="K1576" s="5">
        <v>99.83</v>
      </c>
      <c r="L1576" s="6">
        <v>0.8333</v>
      </c>
      <c r="M1576" s="6">
        <v>-1.2667</v>
      </c>
      <c r="N1576" s="6">
        <v>0</v>
      </c>
      <c r="O1576" s="6">
        <v>0.5</v>
      </c>
      <c r="P1576" s="6">
        <v>0.3333</v>
      </c>
      <c r="Q1576" s="7"/>
      <c r="R1576" s="7"/>
    </row>
    <row r="1577" spans="1:18">
      <c r="A1577" s="4" t="s">
        <v>2115</v>
      </c>
      <c r="B1577" s="4">
        <f t="shared" si="24"/>
        <v>6</v>
      </c>
      <c r="C1577" s="4"/>
      <c r="D1577" s="1" t="str">
        <f>IFERROR(VLOOKUP(A1577,[1]biopep_DB!$F$2:$J$1654,5,0),)</f>
        <v/>
      </c>
      <c r="E1577" s="1" t="str">
        <f>IFERROR(VLOOKUP(A1577,[1]biopep_DB!$F$2:$L$1654,6,0),0)</f>
        <v/>
      </c>
      <c r="F1577" s="1" t="str">
        <f>IFERROR(VLOOKUP(A1577,[1]biopep_DB!$F$2:$L$1654,7,0),0)</f>
        <v/>
      </c>
      <c r="G1577" s="5">
        <v>749.81</v>
      </c>
      <c r="H1577" s="5">
        <v>5.97</v>
      </c>
      <c r="I1577" s="5">
        <v>-0.26</v>
      </c>
      <c r="J1577" s="6">
        <v>-1.25</v>
      </c>
      <c r="K1577" s="5">
        <v>92.07</v>
      </c>
      <c r="L1577" s="6">
        <v>0.3333</v>
      </c>
      <c r="M1577" s="6">
        <v>0.2167</v>
      </c>
      <c r="N1577" s="6">
        <v>0.1667</v>
      </c>
      <c r="O1577" s="6">
        <v>0.3333</v>
      </c>
      <c r="P1577" s="6">
        <v>0.3333</v>
      </c>
      <c r="Q1577" s="7"/>
      <c r="R1577" s="7"/>
    </row>
    <row r="1578" spans="1:18">
      <c r="A1578" s="4" t="s">
        <v>2116</v>
      </c>
      <c r="B1578" s="4">
        <f t="shared" si="24"/>
        <v>7</v>
      </c>
      <c r="C1578" s="4" t="s">
        <v>2117</v>
      </c>
      <c r="D1578" s="1" t="str">
        <f>IFERROR(VLOOKUP(A1578,[1]biopep_DB!$F$2:$J$1654,5,0),)</f>
        <v/>
      </c>
      <c r="E1578" s="1" t="str">
        <f>IFERROR(VLOOKUP(A1578,[1]biopep_DB!$F$2:$L$1654,6,0),0)</f>
        <v/>
      </c>
      <c r="F1578" s="1" t="str">
        <f>IFERROR(VLOOKUP(A1578,[1]biopep_DB!$F$2:$L$1654,7,0),0)</f>
        <v/>
      </c>
      <c r="G1578" s="5">
        <v>862.97</v>
      </c>
      <c r="H1578" s="5">
        <v>5.97</v>
      </c>
      <c r="I1578" s="5">
        <v>-0.26</v>
      </c>
      <c r="J1578" s="6">
        <v>-0.5286</v>
      </c>
      <c r="K1578" s="5">
        <v>80.34</v>
      </c>
      <c r="L1578" s="6">
        <v>0.4286</v>
      </c>
      <c r="M1578" s="6">
        <v>-0.5171</v>
      </c>
      <c r="N1578" s="6">
        <v>0.2857</v>
      </c>
      <c r="O1578" s="6">
        <v>0.2857</v>
      </c>
      <c r="P1578" s="6">
        <v>0.4286</v>
      </c>
      <c r="Q1578" s="7"/>
      <c r="R1578" s="7"/>
    </row>
    <row r="1579" spans="1:18">
      <c r="A1579" s="4" t="s">
        <v>2118</v>
      </c>
      <c r="B1579" s="4">
        <f t="shared" si="24"/>
        <v>12</v>
      </c>
      <c r="C1579" s="4"/>
      <c r="D1579" s="1" t="str">
        <f>IFERROR(VLOOKUP(A1579,[1]biopep_DB!$F$2:$J$1654,5,0),)</f>
        <v>Casein fermentate of Lactobacillus animalis DPC6134 contains a range of novel propeptide angiotensin-converting enzyme inhibitors.</v>
      </c>
      <c r="E1579" s="1" t="str">
        <f>IFERROR(VLOOKUP(A1579,[1]biopep_DB!$F$2:$L$1654,6,0),0)</f>
        <v>10.1128/AEM.00096-07</v>
      </c>
      <c r="F1579" s="1" t="str">
        <f>IFERROR(VLOOKUP(A1579,[1]biopep_DB!$F$2:$L$1654,7,0),0)</f>
        <v>17483275</v>
      </c>
      <c r="G1579" s="5">
        <v>1414.63</v>
      </c>
      <c r="H1579" s="5">
        <v>5.81</v>
      </c>
      <c r="I1579" s="5">
        <v>-0.27</v>
      </c>
      <c r="J1579" s="6">
        <v>-0.725</v>
      </c>
      <c r="K1579" s="5">
        <v>88.17</v>
      </c>
      <c r="L1579" s="6">
        <v>0.5833</v>
      </c>
      <c r="M1579" s="6">
        <v>-0.4883</v>
      </c>
      <c r="N1579" s="6">
        <v>0.1667</v>
      </c>
      <c r="O1579" s="6">
        <v>0.3333</v>
      </c>
      <c r="P1579" s="6">
        <v>0.25</v>
      </c>
      <c r="Q1579" s="7"/>
      <c r="R1579" s="7"/>
    </row>
    <row r="1580" spans="1:18">
      <c r="A1580" s="4" t="s">
        <v>2119</v>
      </c>
      <c r="B1580" s="4">
        <f t="shared" si="24"/>
        <v>2</v>
      </c>
      <c r="C1580" s="4" t="s">
        <v>36</v>
      </c>
      <c r="G1580" s="5">
        <v>245.28</v>
      </c>
      <c r="H1580" s="5">
        <v>5.49</v>
      </c>
      <c r="I1580" s="5">
        <v>-0.27</v>
      </c>
      <c r="J1580" s="6">
        <v>0.35</v>
      </c>
      <c r="K1580" s="5">
        <v>5</v>
      </c>
      <c r="L1580" s="6">
        <v>0.5</v>
      </c>
      <c r="M1580" s="6">
        <v>-1.34</v>
      </c>
      <c r="N1580" s="6">
        <v>0</v>
      </c>
      <c r="O1580" s="6">
        <v>0</v>
      </c>
      <c r="P1580" s="6">
        <v>0.5</v>
      </c>
      <c r="Q1580" s="7"/>
      <c r="R1580" s="7"/>
    </row>
    <row r="1581" spans="1:18">
      <c r="A1581" s="4" t="s">
        <v>2120</v>
      </c>
      <c r="B1581" s="4">
        <f t="shared" si="24"/>
        <v>3</v>
      </c>
      <c r="C1581" s="4" t="s">
        <v>36</v>
      </c>
      <c r="D1581" s="1" t="str">
        <f>IFERROR(VLOOKUP(A1581,[1]biopep_DB!$F$2:$J$1654,5,0),)</f>
        <v>Structural requirements of Angiotensin I-converting enzyme inhibitory peptides: quantitative structure-activity relationship study of di- and tripeptides.</v>
      </c>
      <c r="E1581" s="1" t="str">
        <f>IFERROR(VLOOKUP(A1581,[1]biopep_DB!$F$2:$L$1654,6,0),0)</f>
        <v>10.1021/jf051263l</v>
      </c>
      <c r="F1581" s="1" t="str">
        <f>IFERROR(VLOOKUP(A1581,[1]biopep_DB!$F$2:$L$1654,7,0),0)</f>
        <v>16448176</v>
      </c>
      <c r="G1581" s="5">
        <v>344.41</v>
      </c>
      <c r="H1581" s="5">
        <v>5.49</v>
      </c>
      <c r="I1581" s="5">
        <v>-0.27</v>
      </c>
      <c r="J1581" s="6">
        <v>1.6333</v>
      </c>
      <c r="K1581" s="5">
        <v>-18.47</v>
      </c>
      <c r="L1581" s="6">
        <v>0.6667</v>
      </c>
      <c r="M1581" s="6">
        <v>-2.24</v>
      </c>
      <c r="N1581" s="6">
        <v>0</v>
      </c>
      <c r="O1581" s="6">
        <v>0</v>
      </c>
      <c r="P1581" s="6">
        <v>0.6667</v>
      </c>
      <c r="Q1581" s="7"/>
      <c r="R1581" s="7"/>
    </row>
    <row r="1582" spans="1:18">
      <c r="A1582" s="4" t="s">
        <v>2121</v>
      </c>
      <c r="B1582" s="4">
        <f t="shared" si="24"/>
        <v>8</v>
      </c>
      <c r="C1582" s="4"/>
      <c r="D1582" s="1" t="str">
        <f>IFERROR(VLOOKUP(A1582,[1]biopep_DB!$F$2:$J$1654,5,0),)</f>
        <v/>
      </c>
      <c r="E1582" s="1" t="str">
        <f>IFERROR(VLOOKUP(A1582,[1]biopep_DB!$F$2:$L$1654,6,0),0)</f>
        <v/>
      </c>
      <c r="F1582" s="1" t="str">
        <f>IFERROR(VLOOKUP(A1582,[1]biopep_DB!$F$2:$L$1654,7,0),0)</f>
        <v/>
      </c>
      <c r="G1582" s="5">
        <v>803.9</v>
      </c>
      <c r="H1582" s="5">
        <v>5.49</v>
      </c>
      <c r="I1582" s="5">
        <v>-0.27</v>
      </c>
      <c r="J1582" s="6">
        <v>1.0875</v>
      </c>
      <c r="K1582" s="5">
        <v>-11.29</v>
      </c>
      <c r="L1582" s="6">
        <v>0.5</v>
      </c>
      <c r="M1582" s="6">
        <v>-1.4013</v>
      </c>
      <c r="N1582" s="6">
        <v>0.125</v>
      </c>
      <c r="O1582" s="6">
        <v>0.125</v>
      </c>
      <c r="P1582" s="6">
        <v>0.625</v>
      </c>
      <c r="Q1582" s="7"/>
      <c r="R1582" s="7"/>
    </row>
    <row r="1583" spans="1:18">
      <c r="A1583" s="4" t="s">
        <v>2122</v>
      </c>
      <c r="B1583" s="4">
        <f t="shared" si="24"/>
        <v>2</v>
      </c>
      <c r="C1583" s="4" t="s">
        <v>2123</v>
      </c>
      <c r="D1583" s="1" t="str">
        <f>IFERROR(VLOOKUP(A1583,[1]biopep_DB!$F$2:$J$1654,5,0),)</f>
        <v>Identification of novel angiotensin-converting enzyme-inhibitory peptides from ovine milk proteins by CE-MS and chromatographic techniques.; Review on the angiotensin-I-converting enzyme (ACE) inhibitor peptides from marine proteins.; Peptides with angiotensin I converting enzyme (ACE) inhibitory activity generated from porcine skeletal muscle proteins by the action of meat-borne Lactobacillus.; Isolation and characterization of peptides with antihypertensive activity in foodstuffs.</v>
      </c>
      <c r="E1583" s="1" t="str">
        <f>IFERROR(VLOOKUP(A1583,[1]biopep_DB!$F$2:$L$1654,6,0),0)</f>
        <v>10.1002/elps.200700324; 10.1007/s12010-012-0024-y; 10.1016/j.jprot.2013.06.023; 10.1080/10408398.2012.664829</v>
      </c>
      <c r="F1583" s="1" t="str">
        <f>IFERROR(VLOOKUP(A1583,[1]biopep_DB!$F$2:$L$1654,7,0),0)</f>
        <v>17948260 23271625 23806758 24915368</v>
      </c>
      <c r="G1583" s="5">
        <v>273.33</v>
      </c>
      <c r="H1583" s="5">
        <v>9.72</v>
      </c>
      <c r="I1583" s="5">
        <v>0.73</v>
      </c>
      <c r="J1583" s="6">
        <v>-0.15</v>
      </c>
      <c r="K1583" s="5">
        <v>5</v>
      </c>
      <c r="L1583" s="6">
        <v>0.5</v>
      </c>
      <c r="M1583" s="6">
        <v>-0.66</v>
      </c>
      <c r="N1583" s="6">
        <v>0</v>
      </c>
      <c r="O1583" s="6">
        <v>0</v>
      </c>
      <c r="P1583" s="6">
        <v>0.5</v>
      </c>
      <c r="Q1583" s="7"/>
      <c r="R1583" s="7"/>
    </row>
    <row r="1584" spans="1:18">
      <c r="A1584" s="4" t="s">
        <v>2124</v>
      </c>
      <c r="B1584" s="4">
        <f t="shared" si="24"/>
        <v>3</v>
      </c>
      <c r="C1584" s="4" t="s">
        <v>31</v>
      </c>
      <c r="D1584" s="1" t="str">
        <f>IFERROR(VLOOKUP(A1584,[1]biopep_DB!$F$2:$J$1654,5,0),)</f>
        <v/>
      </c>
      <c r="E1584" s="1" t="str">
        <f>IFERROR(VLOOKUP(A1584,[1]biopep_DB!$F$2:$L$1654,6,0),0)</f>
        <v/>
      </c>
      <c r="F1584" s="1" t="str">
        <f>IFERROR(VLOOKUP(A1584,[1]biopep_DB!$F$2:$L$1654,7,0),0)</f>
        <v/>
      </c>
      <c r="G1584" s="5">
        <v>376.47</v>
      </c>
      <c r="H1584" s="5">
        <v>8.22</v>
      </c>
      <c r="I1584" s="5">
        <v>0.72</v>
      </c>
      <c r="J1584" s="6">
        <v>0.7333</v>
      </c>
      <c r="K1584" s="5">
        <v>6.67</v>
      </c>
      <c r="L1584" s="6">
        <v>0.3333</v>
      </c>
      <c r="M1584" s="6">
        <v>-0.8667</v>
      </c>
      <c r="N1584" s="6">
        <v>0</v>
      </c>
      <c r="O1584" s="6">
        <v>0</v>
      </c>
      <c r="P1584" s="6">
        <v>0.3333</v>
      </c>
      <c r="Q1584" s="7"/>
      <c r="R1584" s="7"/>
    </row>
    <row r="1585" spans="1:18">
      <c r="A1585" s="4" t="s">
        <v>2125</v>
      </c>
      <c r="B1585" s="4">
        <f t="shared" si="24"/>
        <v>3</v>
      </c>
      <c r="C1585" s="4" t="s">
        <v>2126</v>
      </c>
      <c r="D1585" s="1" t="str">
        <f>IFERROR(VLOOKUP(A1585,[1]biopep_DB!$F$2:$J$1654,5,0),)</f>
        <v/>
      </c>
      <c r="E1585" s="1" t="str">
        <f>IFERROR(VLOOKUP(A1585,[1]biopep_DB!$F$2:$L$1654,6,0),0)</f>
        <v/>
      </c>
      <c r="F1585" s="1" t="str">
        <f>IFERROR(VLOOKUP(A1585,[1]biopep_DB!$F$2:$L$1654,7,0),0)</f>
        <v/>
      </c>
      <c r="G1585" s="5">
        <v>420.51</v>
      </c>
      <c r="H1585" s="5">
        <v>9.72</v>
      </c>
      <c r="I1585" s="5">
        <v>0.73</v>
      </c>
      <c r="J1585" s="6">
        <v>0.8333</v>
      </c>
      <c r="K1585" s="5">
        <v>6.67</v>
      </c>
      <c r="L1585" s="6">
        <v>0.6667</v>
      </c>
      <c r="M1585" s="6">
        <v>-1.4333</v>
      </c>
      <c r="N1585" s="6">
        <v>0</v>
      </c>
      <c r="O1585" s="6">
        <v>0</v>
      </c>
      <c r="P1585" s="6">
        <v>0.6667</v>
      </c>
      <c r="Q1585" s="7"/>
      <c r="R1585" s="7"/>
    </row>
    <row r="1586" spans="1:18">
      <c r="A1586" s="4" t="s">
        <v>2127</v>
      </c>
      <c r="B1586" s="4">
        <f t="shared" si="24"/>
        <v>4</v>
      </c>
      <c r="C1586" s="4"/>
      <c r="D1586" s="1" t="str">
        <f>IFERROR(VLOOKUP(A1586,[1]biopep_DB!$F$2:$J$1654,5,0),)</f>
        <v/>
      </c>
      <c r="E1586" s="1" t="str">
        <f>IFERROR(VLOOKUP(A1586,[1]biopep_DB!$F$2:$L$1654,6,0),0)</f>
        <v/>
      </c>
      <c r="F1586" s="1" t="str">
        <f>IFERROR(VLOOKUP(A1586,[1]biopep_DB!$F$2:$L$1654,7,0),0)</f>
        <v/>
      </c>
      <c r="G1586" s="5">
        <v>427.5</v>
      </c>
      <c r="H1586" s="5">
        <v>9.72</v>
      </c>
      <c r="I1586" s="5">
        <v>0.73</v>
      </c>
      <c r="J1586" s="6">
        <v>-0.575</v>
      </c>
      <c r="K1586" s="5">
        <v>-13.73</v>
      </c>
      <c r="L1586" s="6">
        <v>0.5</v>
      </c>
      <c r="M1586" s="6">
        <v>-0.565</v>
      </c>
      <c r="N1586" s="6">
        <v>0</v>
      </c>
      <c r="O1586" s="6">
        <v>0.5</v>
      </c>
      <c r="P1586" s="6">
        <v>0.25</v>
      </c>
      <c r="Q1586" s="7"/>
      <c r="R1586" s="7"/>
    </row>
    <row r="1587" spans="1:18">
      <c r="A1587" s="4" t="s">
        <v>2128</v>
      </c>
      <c r="B1587" s="4">
        <f t="shared" si="24"/>
        <v>6</v>
      </c>
      <c r="C1587" s="4" t="s">
        <v>2129</v>
      </c>
      <c r="D1587" s="1" t="str">
        <f>IFERROR(VLOOKUP(A1587,[1]biopep_DB!$F$2:$J$1654,5,0),)</f>
        <v>A new QSAR model, for angiotensin I-converting enzyme inhibitory oligopeptides.; Enterococcus faecalis strains from food, environmental, and clinical origin produce ACE-inhibitory peptides and other bioactive peptides during growth in bovine skim milk.</v>
      </c>
      <c r="E1587" s="1" t="str">
        <f>IFERROR(VLOOKUP(A1587,[1]biopep_DB!$F$2:$L$1654,6,0),0)</f>
        <v>10.1016/j.foodchem.2012.09.092; 10.1016/j.ijfoodmicro.2013.06.019</v>
      </c>
      <c r="F1587" s="1" t="str">
        <f>IFERROR(VLOOKUP(A1587,[1]biopep_DB!$F$2:$L$1654,7,0),0)</f>
        <v>23194537 23845432</v>
      </c>
      <c r="G1587" s="5">
        <v>671.79</v>
      </c>
      <c r="H1587" s="5">
        <v>9.72</v>
      </c>
      <c r="I1587" s="5">
        <v>0.73</v>
      </c>
      <c r="J1587" s="6">
        <v>-0.1833</v>
      </c>
      <c r="K1587" s="5">
        <v>58.38</v>
      </c>
      <c r="L1587" s="6">
        <v>0.6667</v>
      </c>
      <c r="M1587" s="6">
        <v>-0.8733</v>
      </c>
      <c r="N1587" s="6">
        <v>0</v>
      </c>
      <c r="O1587" s="6">
        <v>0.5</v>
      </c>
      <c r="P1587" s="6">
        <v>0.3333</v>
      </c>
      <c r="Q1587" s="7"/>
      <c r="R1587" s="7"/>
    </row>
    <row r="1588" spans="1:18">
      <c r="A1588" s="4" t="s">
        <v>2130</v>
      </c>
      <c r="B1588" s="4">
        <f t="shared" si="24"/>
        <v>9</v>
      </c>
      <c r="C1588" s="4" t="s">
        <v>2131</v>
      </c>
      <c r="D1588" s="1" t="str">
        <f>IFERROR(VLOOKUP(A1588,[1]biopep_DB!$F$2:$J$1654,5,0),)</f>
        <v>Antihypertensive peptides: production, bioavailability and incorporation into foods.; Antihypertensive peptides from food proteins: a review.; A new QSAR model, for angiotensin I-converting enzyme inhibitory oligopeptides.; Enterococcus faecalis strains from food, environmental, and clinical origin produce ACE-inhibitory peptides and other bioactive peptides during growth in bovine skim milk.</v>
      </c>
      <c r="E1588" s="1" t="str">
        <f>IFERROR(VLOOKUP(A1588,[1]biopep_DB!$F$2:$L$1654,6,0),0)</f>
        <v>10.1016/j.cis.2010.11.001; 10.1039/c2fo10192k; 10.1016/j.foodchem.2012.09.092; 10.1016/j.ijfoodmicro.2013.06.019</v>
      </c>
      <c r="F1588" s="1" t="str">
        <f>IFERROR(VLOOKUP(A1588,[1]biopep_DB!$F$2:$L$1654,7,0),0)</f>
        <v>21185549 22249830 23194537 23845432</v>
      </c>
      <c r="G1588" s="5">
        <v>997.23</v>
      </c>
      <c r="H1588" s="5">
        <v>9.72</v>
      </c>
      <c r="I1588" s="5">
        <v>0.73</v>
      </c>
      <c r="J1588" s="6">
        <v>1.3444</v>
      </c>
      <c r="K1588" s="5">
        <v>32.82</v>
      </c>
      <c r="L1588" s="6">
        <v>0.7778</v>
      </c>
      <c r="M1588" s="6">
        <v>-2.1244</v>
      </c>
      <c r="N1588" s="6">
        <v>0</v>
      </c>
      <c r="O1588" s="6">
        <v>0.3333</v>
      </c>
      <c r="P1588" s="6">
        <v>0.5556</v>
      </c>
      <c r="Q1588" s="7"/>
      <c r="R1588" s="7"/>
    </row>
    <row r="1589" spans="1:18">
      <c r="A1589" s="4" t="s">
        <v>2132</v>
      </c>
      <c r="B1589" s="4">
        <f t="shared" si="24"/>
        <v>3</v>
      </c>
      <c r="C1589" s="4" t="s">
        <v>2133</v>
      </c>
      <c r="D1589" s="1" t="str">
        <f>IFERROR(VLOOKUP(A1589,[1]biopep_DB!$F$2:$J$1654,5,0),)</f>
        <v>What are the ideal properties for functional food peptides with antihypertensive effect? A computational peptidology approach.</v>
      </c>
      <c r="E1589" s="1" t="str">
        <f>IFERROR(VLOOKUP(A1589,[1]biopep_DB!$F$2:$L$1654,6,0),0)</f>
        <v>10.1016/j.foodchem.2013.05.140</v>
      </c>
      <c r="F1589" s="1" t="str">
        <f>IFERROR(VLOOKUP(A1589,[1]biopep_DB!$F$2:$L$1654,7,0),0)</f>
        <v>23871047</v>
      </c>
      <c r="G1589" s="5">
        <v>401.5</v>
      </c>
      <c r="H1589" s="5">
        <v>11</v>
      </c>
      <c r="I1589" s="5">
        <v>1.73</v>
      </c>
      <c r="J1589" s="6">
        <v>-1.4</v>
      </c>
      <c r="K1589" s="5">
        <v>6.67</v>
      </c>
      <c r="L1589" s="6">
        <v>0.3333</v>
      </c>
      <c r="M1589" s="6">
        <v>0.0867</v>
      </c>
      <c r="N1589" s="6">
        <v>0.3333</v>
      </c>
      <c r="O1589" s="6">
        <v>0</v>
      </c>
      <c r="P1589" s="6">
        <v>0.3333</v>
      </c>
      <c r="Q1589" s="7"/>
      <c r="R1589" s="7"/>
    </row>
    <row r="1590" spans="1:18">
      <c r="A1590" s="4" t="s">
        <v>2134</v>
      </c>
      <c r="B1590" s="4">
        <f t="shared" si="24"/>
        <v>5</v>
      </c>
      <c r="C1590" s="4" t="s">
        <v>31</v>
      </c>
      <c r="D1590" s="1" t="str">
        <f>IFERROR(VLOOKUP(A1590,[1]biopep_DB!$F$2:$J$1654,5,0),)</f>
        <v/>
      </c>
      <c r="E1590" s="1" t="str">
        <f>IFERROR(VLOOKUP(A1590,[1]biopep_DB!$F$2:$L$1654,6,0),0)</f>
        <v/>
      </c>
      <c r="F1590" s="1" t="str">
        <f>IFERROR(VLOOKUP(A1590,[1]biopep_DB!$F$2:$L$1654,7,0),0)</f>
        <v/>
      </c>
      <c r="G1590" s="5">
        <v>586.68</v>
      </c>
      <c r="H1590" s="5">
        <v>11</v>
      </c>
      <c r="I1590" s="5">
        <v>1.73</v>
      </c>
      <c r="J1590" s="6">
        <v>-1.62</v>
      </c>
      <c r="K1590" s="5">
        <v>-8.98</v>
      </c>
      <c r="L1590" s="6">
        <v>0.2</v>
      </c>
      <c r="M1590" s="6">
        <v>0.136</v>
      </c>
      <c r="N1590" s="6">
        <v>0.2</v>
      </c>
      <c r="O1590" s="6">
        <v>0.2</v>
      </c>
      <c r="P1590" s="6">
        <v>0.2</v>
      </c>
      <c r="Q1590" s="7"/>
      <c r="R1590" s="7"/>
    </row>
    <row r="1591" spans="1:18">
      <c r="A1591" s="4" t="s">
        <v>2135</v>
      </c>
      <c r="B1591" s="4">
        <f t="shared" si="24"/>
        <v>3</v>
      </c>
      <c r="C1591" s="4" t="s">
        <v>31</v>
      </c>
      <c r="D1591" s="1" t="str">
        <f>IFERROR(VLOOKUP(A1591,[1]biopep_DB!$F$2:$J$1654,5,0),)</f>
        <v/>
      </c>
      <c r="E1591" s="1" t="str">
        <f>IFERROR(VLOOKUP(A1591,[1]biopep_DB!$F$2:$L$1654,6,0),0)</f>
        <v/>
      </c>
      <c r="F1591" s="1" t="str">
        <f>IFERROR(VLOOKUP(A1591,[1]biopep_DB!$F$2:$L$1654,7,0),0)</f>
        <v/>
      </c>
      <c r="G1591" s="5">
        <v>386.49</v>
      </c>
      <c r="H1591" s="5">
        <v>9.72</v>
      </c>
      <c r="I1591" s="5">
        <v>0.73</v>
      </c>
      <c r="J1591" s="6">
        <v>1.1667</v>
      </c>
      <c r="K1591" s="5">
        <v>6.67</v>
      </c>
      <c r="L1591" s="6">
        <v>0.6667</v>
      </c>
      <c r="M1591" s="6">
        <v>-2.08</v>
      </c>
      <c r="N1591" s="6">
        <v>0.3333</v>
      </c>
      <c r="O1591" s="6">
        <v>0</v>
      </c>
      <c r="P1591" s="6">
        <v>0.6667</v>
      </c>
      <c r="Q1591" s="7"/>
      <c r="R1591" s="7"/>
    </row>
    <row r="1592" spans="1:18">
      <c r="A1592" s="4" t="s">
        <v>2136</v>
      </c>
      <c r="B1592" s="4">
        <f t="shared" si="24"/>
        <v>5</v>
      </c>
      <c r="C1592" s="4" t="s">
        <v>31</v>
      </c>
      <c r="D1592" s="1" t="str">
        <f>IFERROR(VLOOKUP(A1592,[1]biopep_DB!$F$2:$J$1654,5,0),)</f>
        <v/>
      </c>
      <c r="E1592" s="1" t="str">
        <f>IFERROR(VLOOKUP(A1592,[1]biopep_DB!$F$2:$L$1654,6,0),0)</f>
        <v/>
      </c>
      <c r="F1592" s="1" t="str">
        <f>IFERROR(VLOOKUP(A1592,[1]biopep_DB!$F$2:$L$1654,7,0),0)</f>
        <v/>
      </c>
      <c r="G1592" s="5">
        <v>584.71</v>
      </c>
      <c r="H1592" s="5">
        <v>9.72</v>
      </c>
      <c r="I1592" s="5">
        <v>0.73</v>
      </c>
      <c r="J1592" s="6">
        <v>0.24</v>
      </c>
      <c r="K1592" s="5">
        <v>46.52</v>
      </c>
      <c r="L1592" s="6">
        <v>0.6</v>
      </c>
      <c r="M1592" s="6">
        <v>-1.196</v>
      </c>
      <c r="N1592" s="6">
        <v>0.2</v>
      </c>
      <c r="O1592" s="6">
        <v>0.2</v>
      </c>
      <c r="P1592" s="6">
        <v>0.6</v>
      </c>
      <c r="Q1592" s="7"/>
      <c r="R1592" s="7"/>
    </row>
    <row r="1593" spans="1:18">
      <c r="A1593" s="4" t="s">
        <v>2137</v>
      </c>
      <c r="B1593" s="4">
        <f t="shared" si="24"/>
        <v>5</v>
      </c>
      <c r="C1593" s="4"/>
      <c r="D1593" s="1" t="str">
        <f>IFERROR(VLOOKUP(A1593,[1]biopep_DB!$F$2:$J$1654,5,0),)</f>
        <v/>
      </c>
      <c r="E1593" s="1" t="str">
        <f>IFERROR(VLOOKUP(A1593,[1]biopep_DB!$F$2:$L$1654,6,0),0)</f>
        <v/>
      </c>
      <c r="F1593" s="1" t="str">
        <f>IFERROR(VLOOKUP(A1593,[1]biopep_DB!$F$2:$L$1654,7,0),0)</f>
        <v/>
      </c>
      <c r="G1593" s="5">
        <v>629.77</v>
      </c>
      <c r="H1593" s="5">
        <v>9.72</v>
      </c>
      <c r="I1593" s="5">
        <v>0.73</v>
      </c>
      <c r="J1593" s="6">
        <v>-0.7</v>
      </c>
      <c r="K1593" s="5">
        <v>134.4</v>
      </c>
      <c r="L1593" s="6">
        <v>0.6</v>
      </c>
      <c r="M1593" s="6">
        <v>-0.462</v>
      </c>
      <c r="N1593" s="6">
        <v>0.2</v>
      </c>
      <c r="O1593" s="6">
        <v>0.2</v>
      </c>
      <c r="P1593" s="6">
        <v>0.2</v>
      </c>
      <c r="Q1593" s="7"/>
      <c r="R1593" s="7"/>
    </row>
    <row r="1594" spans="1:18">
      <c r="A1594" s="4" t="s">
        <v>2138</v>
      </c>
      <c r="B1594" s="4">
        <f t="shared" si="24"/>
        <v>3</v>
      </c>
      <c r="C1594" s="4" t="s">
        <v>31</v>
      </c>
      <c r="D1594" s="1" t="str">
        <f>IFERROR(VLOOKUP(A1594,[1]biopep_DB!$F$2:$J$1654,5,0),)</f>
        <v/>
      </c>
      <c r="E1594" s="1" t="str">
        <f>IFERROR(VLOOKUP(A1594,[1]biopep_DB!$F$2:$L$1654,6,0),0)</f>
        <v/>
      </c>
      <c r="F1594" s="1" t="str">
        <f>IFERROR(VLOOKUP(A1594,[1]biopep_DB!$F$2:$L$1654,7,0),0)</f>
        <v/>
      </c>
      <c r="G1594" s="5">
        <v>387.43</v>
      </c>
      <c r="H1594" s="5">
        <v>9.72</v>
      </c>
      <c r="I1594" s="5">
        <v>0.73</v>
      </c>
      <c r="J1594" s="6">
        <v>-1.2667</v>
      </c>
      <c r="K1594" s="5">
        <v>47.8</v>
      </c>
      <c r="L1594" s="6">
        <v>0.3333</v>
      </c>
      <c r="M1594" s="6">
        <v>0.1</v>
      </c>
      <c r="N1594" s="6">
        <v>0</v>
      </c>
      <c r="O1594" s="6">
        <v>0.3333</v>
      </c>
      <c r="P1594" s="6">
        <v>0.3333</v>
      </c>
      <c r="Q1594" s="7"/>
      <c r="R1594" s="7"/>
    </row>
    <row r="1595" spans="1:18">
      <c r="A1595" s="4" t="s">
        <v>2139</v>
      </c>
      <c r="B1595" s="4">
        <f t="shared" si="24"/>
        <v>3</v>
      </c>
      <c r="C1595" s="4" t="s">
        <v>36</v>
      </c>
      <c r="D1595" s="1" t="str">
        <f>IFERROR(VLOOKUP(A1595,[1]biopep_DB!$F$2:$J$1654,5,0),)</f>
        <v>Inhibition of angiotensin-converting enzyme by synthetic peptide fragments of human kappa-casein.; Angiotensin I-converting enzyme inhibitory peptides derived from bonito bowels autolysate.; Structural requirements of Angiotensin I-converting enzyme inhibitory peptides: quantitative structure-activity relationship study of di- and tripeptides.; Bioactive peptides in amaranth (Amaranthus hypochondriacus) seed.; What are the ideal properties for functional food peptides with antihypertensive effect? A computational peptidology approach.; Isolation and characterization of peptides with antihypertensive activity in foodstuffs.</v>
      </c>
      <c r="E1595" s="1" t="str">
        <f>IFERROR(VLOOKUP(A1595,[1]biopep_DB!$F$2:$L$1654,6,0),0)</f>
        <v>10.1271/bbb.57.695; 10.1021/jf051263l; 10.1021/jf072911z; 10.1016/j.foodchem.2013.05.140; 10.1080/10408398.2012.664829</v>
      </c>
      <c r="F1595" s="1" t="str">
        <f>IFERROR(VLOOKUP(A1595,[1]biopep_DB!$F$2:$L$1654,7,0),0)</f>
        <v>1368540 7763772 16448176 18211015 23871047 24915368</v>
      </c>
      <c r="G1595" s="5">
        <v>370.45</v>
      </c>
      <c r="H1595" s="5">
        <v>9.72</v>
      </c>
      <c r="I1595" s="5">
        <v>0.73</v>
      </c>
      <c r="J1595" s="6">
        <v>-0.6333</v>
      </c>
      <c r="K1595" s="5">
        <v>70.87</v>
      </c>
      <c r="L1595" s="6">
        <v>0.6667</v>
      </c>
      <c r="M1595" s="6">
        <v>-0.44</v>
      </c>
      <c r="N1595" s="6">
        <v>0</v>
      </c>
      <c r="O1595" s="6">
        <v>0.3333</v>
      </c>
      <c r="P1595" s="6">
        <v>0.3333</v>
      </c>
      <c r="Q1595" s="7"/>
      <c r="R1595" s="7"/>
    </row>
    <row r="1596" spans="1:18">
      <c r="A1596" s="4" t="s">
        <v>2140</v>
      </c>
      <c r="B1596" s="4">
        <f t="shared" si="24"/>
        <v>5</v>
      </c>
      <c r="C1596" s="4" t="s">
        <v>31</v>
      </c>
      <c r="D1596" s="1" t="str">
        <f>IFERROR(VLOOKUP(A1596,[1]biopep_DB!$F$2:$J$1654,5,0),)</f>
        <v/>
      </c>
      <c r="E1596" s="1" t="str">
        <f>IFERROR(VLOOKUP(A1596,[1]biopep_DB!$F$2:$L$1654,6,0),0)</f>
        <v/>
      </c>
      <c r="F1596" s="1" t="str">
        <f>IFERROR(VLOOKUP(A1596,[1]biopep_DB!$F$2:$L$1654,7,0),0)</f>
        <v/>
      </c>
      <c r="G1596" s="5">
        <v>627.73</v>
      </c>
      <c r="H1596" s="5">
        <v>8.72</v>
      </c>
      <c r="I1596" s="5">
        <v>0.74</v>
      </c>
      <c r="J1596" s="6">
        <v>-1.86</v>
      </c>
      <c r="K1596" s="5">
        <v>81.28</v>
      </c>
      <c r="L1596" s="6">
        <v>0.4</v>
      </c>
      <c r="M1596" s="6">
        <v>0.38</v>
      </c>
      <c r="N1596" s="6">
        <v>0.4</v>
      </c>
      <c r="O1596" s="6">
        <v>0.2</v>
      </c>
      <c r="P1596" s="6">
        <v>0.2</v>
      </c>
      <c r="Q1596" s="7"/>
      <c r="R1596" s="7"/>
    </row>
    <row r="1597" spans="1:18">
      <c r="A1597" s="4" t="s">
        <v>2141</v>
      </c>
      <c r="B1597" s="4">
        <f t="shared" si="24"/>
        <v>4</v>
      </c>
      <c r="C1597" s="4" t="s">
        <v>2142</v>
      </c>
      <c r="D1597" s="1" t="str">
        <f>IFERROR(VLOOKUP(A1597,[1]biopep_DB!$F$2:$J$1654,5,0),)</f>
        <v/>
      </c>
      <c r="E1597" s="1" t="str">
        <f>IFERROR(VLOOKUP(A1597,[1]biopep_DB!$F$2:$L$1654,6,0),0)</f>
        <v/>
      </c>
      <c r="F1597" s="1" t="str">
        <f>IFERROR(VLOOKUP(A1597,[1]biopep_DB!$F$2:$L$1654,7,0),0)</f>
        <v/>
      </c>
      <c r="G1597" s="5">
        <v>457.52</v>
      </c>
      <c r="H1597" s="5">
        <v>9.72</v>
      </c>
      <c r="I1597" s="5">
        <v>0.73</v>
      </c>
      <c r="J1597" s="6">
        <v>-0.675</v>
      </c>
      <c r="K1597" s="5">
        <v>227.2</v>
      </c>
      <c r="L1597" s="6">
        <v>0.5</v>
      </c>
      <c r="M1597" s="6">
        <v>-0.12</v>
      </c>
      <c r="N1597" s="6">
        <v>0</v>
      </c>
      <c r="O1597" s="6">
        <v>0.5</v>
      </c>
      <c r="P1597" s="6">
        <v>0.25</v>
      </c>
      <c r="Q1597" s="7"/>
      <c r="R1597" s="7"/>
    </row>
    <row r="1598" spans="1:18">
      <c r="A1598" s="4" t="s">
        <v>2143</v>
      </c>
      <c r="B1598" s="4">
        <f t="shared" si="24"/>
        <v>5</v>
      </c>
      <c r="C1598" s="4"/>
      <c r="D1598" s="1" t="str">
        <f>IFERROR(VLOOKUP(A1598,[1]biopep_DB!$F$2:$J$1654,5,0),)</f>
        <v/>
      </c>
      <c r="E1598" s="1" t="str">
        <f>IFERROR(VLOOKUP(A1598,[1]biopep_DB!$F$2:$L$1654,6,0),0)</f>
        <v/>
      </c>
      <c r="F1598" s="1" t="str">
        <f>IFERROR(VLOOKUP(A1598,[1]biopep_DB!$F$2:$L$1654,7,0),0)</f>
        <v/>
      </c>
      <c r="G1598" s="5">
        <v>600.67</v>
      </c>
      <c r="H1598" s="5">
        <v>6.19</v>
      </c>
      <c r="I1598" s="5">
        <v>-0.26</v>
      </c>
      <c r="J1598" s="6">
        <v>-1.22</v>
      </c>
      <c r="K1598" s="5">
        <v>42.76</v>
      </c>
      <c r="L1598" s="6">
        <v>0.4</v>
      </c>
      <c r="M1598" s="6">
        <v>0.116</v>
      </c>
      <c r="N1598" s="6">
        <v>0.2</v>
      </c>
      <c r="O1598" s="6">
        <v>0.2</v>
      </c>
      <c r="P1598" s="6">
        <v>0.4</v>
      </c>
      <c r="Q1598" s="7"/>
      <c r="R1598" s="7"/>
    </row>
    <row r="1599" spans="1:18">
      <c r="A1599" s="4" t="s">
        <v>2144</v>
      </c>
      <c r="B1599" s="4">
        <f t="shared" si="24"/>
        <v>8</v>
      </c>
      <c r="C1599" s="4"/>
      <c r="G1599" s="5">
        <v>929.97</v>
      </c>
      <c r="H1599" s="5">
        <v>4.27</v>
      </c>
      <c r="I1599" s="5">
        <v>-2.26</v>
      </c>
      <c r="J1599" s="6">
        <v>-1.1125</v>
      </c>
      <c r="K1599" s="5">
        <v>11.69</v>
      </c>
      <c r="L1599" s="6">
        <v>0.375</v>
      </c>
      <c r="M1599" s="6">
        <v>-0.0125</v>
      </c>
      <c r="N1599" s="6">
        <v>0.125</v>
      </c>
      <c r="O1599" s="6">
        <v>0.375</v>
      </c>
      <c r="P1599" s="6">
        <v>0.375</v>
      </c>
      <c r="Q1599" s="7"/>
      <c r="R1599" s="7"/>
    </row>
    <row r="1600" spans="1:18">
      <c r="A1600" s="4" t="s">
        <v>2145</v>
      </c>
      <c r="B1600" s="4">
        <f t="shared" si="24"/>
        <v>3</v>
      </c>
      <c r="C1600" s="4" t="s">
        <v>31</v>
      </c>
      <c r="D1600" s="1" t="str">
        <f>IFERROR(VLOOKUP(A1600,[1]biopep_DB!$F$2:$J$1654,5,0),)</f>
        <v/>
      </c>
      <c r="E1600" s="1" t="str">
        <f>IFERROR(VLOOKUP(A1600,[1]biopep_DB!$F$2:$L$1654,6,0),0)</f>
        <v/>
      </c>
      <c r="F1600" s="1" t="str">
        <f>IFERROR(VLOOKUP(A1600,[1]biopep_DB!$F$2:$L$1654,7,0),0)</f>
        <v/>
      </c>
      <c r="G1600" s="5">
        <v>459.54</v>
      </c>
      <c r="H1600" s="5">
        <v>9.72</v>
      </c>
      <c r="I1600" s="5">
        <v>0.73</v>
      </c>
      <c r="J1600" s="6">
        <v>-0.4</v>
      </c>
      <c r="K1600" s="5">
        <v>197.6</v>
      </c>
      <c r="L1600" s="6">
        <v>0.6667</v>
      </c>
      <c r="M1600" s="6">
        <v>-1.2167</v>
      </c>
      <c r="N1600" s="6">
        <v>0</v>
      </c>
      <c r="O1600" s="6">
        <v>0</v>
      </c>
      <c r="P1600" s="6">
        <v>0.6667</v>
      </c>
      <c r="Q1600" s="7"/>
      <c r="R1600" s="7"/>
    </row>
    <row r="1601" spans="1:18">
      <c r="A1601" s="4" t="s">
        <v>2146</v>
      </c>
      <c r="B1601" s="4">
        <f t="shared" si="24"/>
        <v>5</v>
      </c>
      <c r="C1601" s="4" t="s">
        <v>31</v>
      </c>
      <c r="D1601" s="1" t="str">
        <f>IFERROR(VLOOKUP(A1601,[1]biopep_DB!$F$2:$J$1654,5,0),)</f>
        <v/>
      </c>
      <c r="E1601" s="1" t="str">
        <f>IFERROR(VLOOKUP(A1601,[1]biopep_DB!$F$2:$L$1654,6,0),0)</f>
        <v/>
      </c>
      <c r="F1601" s="1" t="str">
        <f>IFERROR(VLOOKUP(A1601,[1]biopep_DB!$F$2:$L$1654,7,0),0)</f>
        <v/>
      </c>
      <c r="G1601" s="5">
        <v>663.79</v>
      </c>
      <c r="H1601" s="5">
        <v>8.22</v>
      </c>
      <c r="I1601" s="5">
        <v>0.72</v>
      </c>
      <c r="J1601" s="6">
        <v>0.12</v>
      </c>
      <c r="K1601" s="5">
        <v>187.76</v>
      </c>
      <c r="L1601" s="6">
        <v>0.4</v>
      </c>
      <c r="M1601" s="6">
        <v>-0.934</v>
      </c>
      <c r="N1601" s="6">
        <v>0</v>
      </c>
      <c r="O1601" s="6">
        <v>0</v>
      </c>
      <c r="P1601" s="6">
        <v>0.6</v>
      </c>
      <c r="Q1601" s="7"/>
      <c r="R1601" s="7"/>
    </row>
    <row r="1602" spans="1:18">
      <c r="A1602" s="4" t="s">
        <v>2147</v>
      </c>
      <c r="B1602" s="4">
        <f t="shared" si="24"/>
        <v>3</v>
      </c>
      <c r="C1602" s="4" t="s">
        <v>31</v>
      </c>
      <c r="D1602" s="1" t="str">
        <f>IFERROR(VLOOKUP(A1602,[1]biopep_DB!$F$2:$J$1654,5,0),)</f>
        <v/>
      </c>
      <c r="E1602" s="1" t="str">
        <f>IFERROR(VLOOKUP(A1602,[1]biopep_DB!$F$2:$L$1654,6,0),0)</f>
        <v/>
      </c>
      <c r="F1602" s="1" t="str">
        <f>IFERROR(VLOOKUP(A1602,[1]biopep_DB!$F$2:$L$1654,7,0),0)</f>
        <v/>
      </c>
      <c r="G1602" s="5">
        <v>436.51</v>
      </c>
      <c r="H1602" s="5">
        <v>8.72</v>
      </c>
      <c r="I1602" s="5">
        <v>0.73</v>
      </c>
      <c r="J1602" s="6">
        <v>-0.5333</v>
      </c>
      <c r="K1602" s="5">
        <v>-18.47</v>
      </c>
      <c r="L1602" s="6">
        <v>0.3333</v>
      </c>
      <c r="M1602" s="6">
        <v>-0.3933</v>
      </c>
      <c r="N1602" s="6">
        <v>0</v>
      </c>
      <c r="O1602" s="6">
        <v>0</v>
      </c>
      <c r="P1602" s="6">
        <v>0.6667</v>
      </c>
      <c r="Q1602" s="7"/>
      <c r="R1602" s="7"/>
    </row>
    <row r="1603" spans="1:18">
      <c r="A1603" s="4" t="s">
        <v>2148</v>
      </c>
      <c r="B1603" s="4">
        <f t="shared" si="24"/>
        <v>4</v>
      </c>
      <c r="C1603" s="4" t="s">
        <v>1057</v>
      </c>
      <c r="D1603" s="1" t="str">
        <f>IFERROR(VLOOKUP(A1603,[1]biopep_DB!$F$2:$J$1654,5,0),)</f>
        <v>Angiotensin converting enzyme inhibitory peptides derived from food proteins: biochemistry, bioactivity and production.</v>
      </c>
      <c r="E1603" s="1" t="str">
        <f>IFERROR(VLOOKUP(A1603,[1]biopep_DB!$F$2:$L$1654,6,0),0)</f>
        <v>10.2174/138161207780363068</v>
      </c>
      <c r="F1603" s="1" t="str">
        <f>IFERROR(VLOOKUP(A1603,[1]biopep_DB!$F$2:$L$1654,7,0),0)</f>
        <v>17430180</v>
      </c>
      <c r="G1603" s="5">
        <v>549.66</v>
      </c>
      <c r="H1603" s="5">
        <v>8.72</v>
      </c>
      <c r="I1603" s="5">
        <v>0.73</v>
      </c>
      <c r="J1603" s="6">
        <v>0.55</v>
      </c>
      <c r="K1603" s="5">
        <v>-11.35</v>
      </c>
      <c r="L1603" s="6">
        <v>0.5</v>
      </c>
      <c r="M1603" s="6">
        <v>-1.525</v>
      </c>
      <c r="N1603" s="6">
        <v>0.25</v>
      </c>
      <c r="O1603" s="6">
        <v>0</v>
      </c>
      <c r="P1603" s="6">
        <v>0.75</v>
      </c>
      <c r="Q1603" s="7"/>
      <c r="R1603" s="7"/>
    </row>
    <row r="1604" spans="1:18">
      <c r="A1604" s="4" t="s">
        <v>2149</v>
      </c>
      <c r="B1604" s="4">
        <f t="shared" si="24"/>
        <v>7</v>
      </c>
      <c r="C1604" s="4"/>
      <c r="D1604" s="1" t="str">
        <f>IFERROR(VLOOKUP(A1604,[1]biopep_DB!$F$2:$J$1654,5,0),)</f>
        <v>Enterococcus faecalis strains from food, environmental, and clinical origin produce ACE-inhibitory peptides and other bioactive peptides during growth in bovine skim milk.</v>
      </c>
      <c r="E1604" s="1" t="str">
        <f>IFERROR(VLOOKUP(A1604,[1]biopep_DB!$F$2:$L$1654,6,0),0)</f>
        <v>10.1016/j.ijfoodmicro.2013.06.019</v>
      </c>
      <c r="F1604" s="1" t="str">
        <f>IFERROR(VLOOKUP(A1604,[1]biopep_DB!$F$2:$L$1654,7,0),0)</f>
        <v>23845432</v>
      </c>
      <c r="G1604" s="5">
        <v>789.92</v>
      </c>
      <c r="H1604" s="5">
        <v>8.56</v>
      </c>
      <c r="I1604" s="5">
        <v>0.73</v>
      </c>
      <c r="J1604" s="6">
        <v>-0.6286</v>
      </c>
      <c r="K1604" s="5">
        <v>-7.67</v>
      </c>
      <c r="L1604" s="6">
        <v>0.2857</v>
      </c>
      <c r="M1604" s="6">
        <v>-0.3114</v>
      </c>
      <c r="N1604" s="6">
        <v>0.4286</v>
      </c>
      <c r="O1604" s="6">
        <v>0.1429</v>
      </c>
      <c r="P1604" s="6">
        <v>0.4286</v>
      </c>
      <c r="Q1604" s="7"/>
      <c r="R1604" s="7"/>
    </row>
    <row r="1605" spans="1:18">
      <c r="A1605" s="4" t="s">
        <v>2150</v>
      </c>
      <c r="B1605" s="4">
        <f t="shared" si="24"/>
        <v>6</v>
      </c>
      <c r="C1605" s="4" t="s">
        <v>2151</v>
      </c>
      <c r="D1605" s="1" t="str">
        <f>IFERROR(VLOOKUP(A1605,[1]biopep_DB!$F$2:$J$1654,5,0),)</f>
        <v/>
      </c>
      <c r="E1605" s="1" t="str">
        <f>IFERROR(VLOOKUP(A1605,[1]biopep_DB!$F$2:$L$1654,6,0),0)</f>
        <v/>
      </c>
      <c r="F1605" s="1" t="str">
        <f>IFERROR(VLOOKUP(A1605,[1]biopep_DB!$F$2:$L$1654,7,0),0)</f>
        <v/>
      </c>
      <c r="G1605" s="5">
        <v>729.82</v>
      </c>
      <c r="H1605" s="5">
        <v>4.05</v>
      </c>
      <c r="I1605" s="5">
        <v>-1.26</v>
      </c>
      <c r="J1605" s="6">
        <v>0.2</v>
      </c>
      <c r="K1605" s="5">
        <v>44.35</v>
      </c>
      <c r="L1605" s="6">
        <v>0.6667</v>
      </c>
      <c r="M1605" s="6">
        <v>-1.4683</v>
      </c>
      <c r="N1605" s="6">
        <v>0.3333</v>
      </c>
      <c r="O1605" s="6">
        <v>0.3333</v>
      </c>
      <c r="P1605" s="6">
        <v>0.5</v>
      </c>
      <c r="Q1605" s="7"/>
      <c r="R1605" s="7"/>
    </row>
    <row r="1606" spans="1:18">
      <c r="A1606" s="4" t="s">
        <v>2152</v>
      </c>
      <c r="B1606" s="4">
        <f t="shared" ref="B1606:B1669" si="25">LEN(A1606)</f>
        <v>3</v>
      </c>
      <c r="C1606" s="4" t="s">
        <v>31</v>
      </c>
      <c r="D1606" s="1" t="str">
        <f>IFERROR(VLOOKUP(A1606,[1]biopep_DB!$F$2:$J$1654,5,0),)</f>
        <v>Structures and activity of angiotensin-converting enzyme inhibitors in an alpha-zein hydrolysate.; Structural requirements of Angiotensin I-converting enzyme inhibitory peptides: quantitative structure-activity relationship study of di- and tripeptides.; Bioactive peptides in amaranth (Amaranthus hypochondriacus) seed.; Cellular membrane disruption by amyloid fibrils involved intermolecular disulfide cross-linking.; What are the ideal properties for functional food peptides with antihypertensive effect? A computational peptidology approach.</v>
      </c>
      <c r="E1606" s="1" t="str">
        <f>IFERROR(VLOOKUP(A1606,[1]biopep_DB!$F$2:$L$1654,6,0),0)</f>
        <v>10.1021/jf051263l; 10.1021/jf072911z; 10.1021/bi900219c; 10.1016/j.foodchem.2013.05.140</v>
      </c>
      <c r="F1606" s="1" t="str">
        <f>IFERROR(VLOOKUP(A1606,[1]biopep_DB!$F$2:$L$1654,7,0),0)</f>
        <v>1368684 16448176 18211015 19449893 23871047</v>
      </c>
      <c r="G1606" s="5">
        <v>301.34</v>
      </c>
      <c r="H1606" s="5">
        <v>5.49</v>
      </c>
      <c r="I1606" s="5">
        <v>-0.27</v>
      </c>
      <c r="J1606" s="6">
        <v>0.6</v>
      </c>
      <c r="K1606" s="5">
        <v>153.13</v>
      </c>
      <c r="L1606" s="6">
        <v>0.6667</v>
      </c>
      <c r="M1606" s="6">
        <v>-1.0667</v>
      </c>
      <c r="N1606" s="6">
        <v>0</v>
      </c>
      <c r="O1606" s="6">
        <v>0.6667</v>
      </c>
      <c r="P1606" s="6">
        <v>0.3333</v>
      </c>
      <c r="Q1606" s="7"/>
      <c r="R1606" s="7"/>
    </row>
    <row r="1607" spans="1:18">
      <c r="A1607" s="4" t="s">
        <v>2153</v>
      </c>
      <c r="B1607" s="4">
        <f t="shared" si="25"/>
        <v>10</v>
      </c>
      <c r="C1607" s="4"/>
      <c r="G1607" s="5">
        <v>1151.23</v>
      </c>
      <c r="H1607" s="5">
        <v>8.73</v>
      </c>
      <c r="I1607" s="5">
        <v>0.82</v>
      </c>
      <c r="J1607" s="6">
        <v>-0.35</v>
      </c>
      <c r="K1607" s="5">
        <v>60.83</v>
      </c>
      <c r="L1607" s="6">
        <v>0.4</v>
      </c>
      <c r="M1607" s="6">
        <v>-0.349</v>
      </c>
      <c r="N1607" s="6">
        <v>0.2</v>
      </c>
      <c r="O1607" s="6">
        <v>0.3</v>
      </c>
      <c r="P1607" s="6">
        <v>0.3</v>
      </c>
      <c r="Q1607" s="7"/>
      <c r="R1607" s="7"/>
    </row>
    <row r="1608" spans="1:18">
      <c r="A1608" s="4" t="s">
        <v>2154</v>
      </c>
      <c r="B1608" s="4">
        <f t="shared" si="25"/>
        <v>3</v>
      </c>
      <c r="C1608" s="4" t="s">
        <v>2155</v>
      </c>
      <c r="D1608" s="1" t="str">
        <f>IFERROR(VLOOKUP(A1608,[1]biopep_DB!$F$2:$J$1654,5,0),)</f>
        <v/>
      </c>
      <c r="E1608" s="1" t="str">
        <f>IFERROR(VLOOKUP(A1608,[1]biopep_DB!$F$2:$L$1654,6,0),0)</f>
        <v/>
      </c>
      <c r="F1608" s="1" t="str">
        <f>IFERROR(VLOOKUP(A1608,[1]biopep_DB!$F$2:$L$1654,7,0),0)</f>
        <v/>
      </c>
      <c r="G1608" s="5">
        <v>303.35</v>
      </c>
      <c r="H1608" s="5">
        <v>5.49</v>
      </c>
      <c r="I1608" s="5">
        <v>-0.27</v>
      </c>
      <c r="J1608" s="6">
        <v>2.5333</v>
      </c>
      <c r="K1608" s="5">
        <v>6.67</v>
      </c>
      <c r="L1608" s="6">
        <v>0.6667</v>
      </c>
      <c r="M1608" s="6">
        <v>-2.4133</v>
      </c>
      <c r="N1608" s="6">
        <v>0</v>
      </c>
      <c r="O1608" s="6">
        <v>0.3333</v>
      </c>
      <c r="P1608" s="6">
        <v>0.6667</v>
      </c>
      <c r="Q1608" s="7"/>
      <c r="R1608" s="7"/>
    </row>
    <row r="1609" spans="1:18">
      <c r="A1609" s="4" t="s">
        <v>2156</v>
      </c>
      <c r="B1609" s="4">
        <f t="shared" si="25"/>
        <v>3</v>
      </c>
      <c r="C1609" s="4" t="s">
        <v>36</v>
      </c>
      <c r="D1609" s="1" t="str">
        <f>IFERROR(VLOOKUP(A1609,[1]biopep_DB!$F$2:$J$1654,5,0),)</f>
        <v>Structural requirements of Angiotensin I-converting enzyme inhibitory peptides: quantitative structure-activity relationship study of di- and tripeptides.</v>
      </c>
      <c r="E1609" s="1" t="str">
        <f>IFERROR(VLOOKUP(A1609,[1]biopep_DB!$F$2:$L$1654,6,0),0)</f>
        <v>10.1021/jf051263l</v>
      </c>
      <c r="F1609" s="1" t="str">
        <f>IFERROR(VLOOKUP(A1609,[1]biopep_DB!$F$2:$L$1654,7,0),0)</f>
        <v>16448176</v>
      </c>
      <c r="G1609" s="5">
        <v>390.43</v>
      </c>
      <c r="H1609" s="5">
        <v>5.49</v>
      </c>
      <c r="I1609" s="5">
        <v>-0.27</v>
      </c>
      <c r="J1609" s="6">
        <v>0.8333</v>
      </c>
      <c r="K1609" s="5">
        <v>6.67</v>
      </c>
      <c r="L1609" s="6">
        <v>0.6667</v>
      </c>
      <c r="M1609" s="6">
        <v>-1.8433</v>
      </c>
      <c r="N1609" s="6">
        <v>0</v>
      </c>
      <c r="O1609" s="6">
        <v>0.3333</v>
      </c>
      <c r="P1609" s="6">
        <v>0.6667</v>
      </c>
      <c r="Q1609" s="7"/>
      <c r="R1609" s="7"/>
    </row>
    <row r="1610" spans="1:18">
      <c r="A1610" s="4" t="s">
        <v>2157</v>
      </c>
      <c r="B1610" s="4">
        <f t="shared" si="25"/>
        <v>3</v>
      </c>
      <c r="C1610" s="4" t="s">
        <v>31</v>
      </c>
      <c r="D1610" s="1" t="str">
        <f>IFERROR(VLOOKUP(A1610,[1]biopep_DB!$F$2:$J$1654,5,0),)</f>
        <v/>
      </c>
      <c r="E1610" s="1" t="str">
        <f>IFERROR(VLOOKUP(A1610,[1]biopep_DB!$F$2:$L$1654,6,0),0)</f>
        <v/>
      </c>
      <c r="F1610" s="1" t="str">
        <f>IFERROR(VLOOKUP(A1610,[1]biopep_DB!$F$2:$L$1654,7,0),0)</f>
        <v/>
      </c>
      <c r="G1610" s="5">
        <v>321.39</v>
      </c>
      <c r="H1610" s="5">
        <v>5.49</v>
      </c>
      <c r="I1610" s="5">
        <v>-0.28</v>
      </c>
      <c r="J1610" s="6">
        <v>2</v>
      </c>
      <c r="K1610" s="5">
        <v>-21.63</v>
      </c>
      <c r="L1610" s="6">
        <v>0.3333</v>
      </c>
      <c r="M1610" s="6">
        <v>-1.6867</v>
      </c>
      <c r="N1610" s="6">
        <v>0</v>
      </c>
      <c r="O1610" s="6">
        <v>0</v>
      </c>
      <c r="P1610" s="6">
        <v>0.6667</v>
      </c>
      <c r="Q1610" s="7"/>
      <c r="R1610" s="7"/>
    </row>
    <row r="1611" spans="1:18">
      <c r="A1611" s="4" t="s">
        <v>2158</v>
      </c>
      <c r="B1611" s="4">
        <f t="shared" si="25"/>
        <v>12</v>
      </c>
      <c r="C1611" s="4"/>
      <c r="G1611" s="5">
        <v>1211.33</v>
      </c>
      <c r="H1611" s="5">
        <v>9.73</v>
      </c>
      <c r="I1611" s="5">
        <v>0.82</v>
      </c>
      <c r="J1611" s="6">
        <v>-0.1583</v>
      </c>
      <c r="K1611" s="5">
        <v>8.67</v>
      </c>
      <c r="L1611" s="6">
        <v>0.5</v>
      </c>
      <c r="M1611" s="6">
        <v>-0.75</v>
      </c>
      <c r="N1611" s="6">
        <v>0.25</v>
      </c>
      <c r="O1611" s="6">
        <v>0.25</v>
      </c>
      <c r="P1611" s="6">
        <v>0.25</v>
      </c>
      <c r="Q1611" s="7"/>
      <c r="R1611" s="7"/>
    </row>
    <row r="1612" spans="1:18">
      <c r="A1612" s="4" t="s">
        <v>2159</v>
      </c>
      <c r="B1612" s="4">
        <f t="shared" si="25"/>
        <v>3</v>
      </c>
      <c r="C1612" s="4"/>
      <c r="D1612" s="1" t="str">
        <f>IFERROR(VLOOKUP(A1612,[1]biopep_DB!$F$2:$J$1654,5,0),)</f>
        <v>Vegetable foods: a cheap source of proteins and peptides with antihypertensive, antioxidant, and other less occurrence bioactivities.</v>
      </c>
      <c r="E1612" s="1" t="str">
        <f>IFERROR(VLOOKUP(A1612,[1]biopep_DB!$F$2:$L$1654,6,0),0)</f>
        <v>10.1016/j.talanta.2012.12.041</v>
      </c>
      <c r="F1612" s="1" t="str">
        <f>IFERROR(VLOOKUP(A1612,[1]biopep_DB!$F$2:$L$1654,7,0),0)</f>
        <v>23598136</v>
      </c>
      <c r="G1612" s="5">
        <v>315.37</v>
      </c>
      <c r="H1612" s="5">
        <v>5.49</v>
      </c>
      <c r="I1612" s="5">
        <v>-0.27</v>
      </c>
      <c r="J1612" s="6">
        <v>0.6333</v>
      </c>
      <c r="K1612" s="5">
        <v>-21.63</v>
      </c>
      <c r="L1612" s="6">
        <v>0.6667</v>
      </c>
      <c r="M1612" s="6">
        <v>-1.26</v>
      </c>
      <c r="N1612" s="6">
        <v>0</v>
      </c>
      <c r="O1612" s="6">
        <v>0.3333</v>
      </c>
      <c r="P1612" s="6">
        <v>0.6667</v>
      </c>
      <c r="Q1612" s="7"/>
      <c r="R1612" s="7"/>
    </row>
    <row r="1613" spans="1:18">
      <c r="A1613" s="4" t="s">
        <v>2160</v>
      </c>
      <c r="B1613" s="4">
        <f t="shared" si="25"/>
        <v>6</v>
      </c>
      <c r="C1613" s="4" t="s">
        <v>317</v>
      </c>
      <c r="D1613" s="1" t="str">
        <f>IFERROR(VLOOKUP(A1613,[1]biopep_DB!$F$2:$J$1654,5,0),)</f>
        <v>Novel angiotensin I-converting enzyme inhibitory peptides isolated from Alcalase hydrolysate of mung bean protein.; Vegetable foods: a cheap source of proteins and peptides with antihypertensive, antioxidant, and other less occurrence bioactivities.; Isolation and characterization of peptides with antihypertensive activity in foodstuffs.</v>
      </c>
      <c r="E1613" s="1" t="str">
        <f>IFERROR(VLOOKUP(A1613,[1]biopep_DB!$F$2:$L$1654,6,0),0)</f>
        <v>10.1002/psc.758; 10.1016/j.talanta.2012.12.041; 10.1080/10408398.2012.664829</v>
      </c>
      <c r="F1613" s="1" t="str">
        <f>IFERROR(VLOOKUP(A1613,[1]biopep_DB!$F$2:$L$1654,7,0),0)</f>
        <v>16680798 23598136 24915368</v>
      </c>
      <c r="G1613" s="5">
        <v>655.79</v>
      </c>
      <c r="H1613" s="5">
        <v>9.72</v>
      </c>
      <c r="I1613" s="5">
        <v>0.73</v>
      </c>
      <c r="J1613" s="6">
        <v>0.5</v>
      </c>
      <c r="K1613" s="5">
        <v>58.38</v>
      </c>
      <c r="L1613" s="6">
        <v>0.6667</v>
      </c>
      <c r="M1613" s="6">
        <v>-1.2983</v>
      </c>
      <c r="N1613" s="6">
        <v>0.3333</v>
      </c>
      <c r="O1613" s="6">
        <v>0.1667</v>
      </c>
      <c r="P1613" s="6">
        <v>0.5</v>
      </c>
      <c r="Q1613" s="7"/>
      <c r="R1613" s="7"/>
    </row>
    <row r="1614" spans="1:18">
      <c r="A1614" s="4" t="s">
        <v>2161</v>
      </c>
      <c r="B1614" s="4">
        <f t="shared" si="25"/>
        <v>3</v>
      </c>
      <c r="C1614" s="4" t="s">
        <v>36</v>
      </c>
      <c r="D1614" s="1" t="str">
        <f>IFERROR(VLOOKUP(A1614,[1]biopep_DB!$F$2:$J$1654,5,0),)</f>
        <v>Structural requirements of Angiotensin I-converting enzyme inhibitory peptides: quantitative structure-activity relationship study of di- and tripeptides.</v>
      </c>
      <c r="E1614" s="1" t="str">
        <f>IFERROR(VLOOKUP(A1614,[1]biopep_DB!$F$2:$L$1654,6,0),0)</f>
        <v>10.1021/jf051263l</v>
      </c>
      <c r="F1614" s="1" t="str">
        <f>IFERROR(VLOOKUP(A1614,[1]biopep_DB!$F$2:$L$1654,7,0),0)</f>
        <v>16448176</v>
      </c>
      <c r="G1614" s="5">
        <v>374.44</v>
      </c>
      <c r="H1614" s="5">
        <v>9.72</v>
      </c>
      <c r="I1614" s="5">
        <v>0.73</v>
      </c>
      <c r="J1614" s="6">
        <v>-0.3333</v>
      </c>
      <c r="K1614" s="5">
        <v>-21.63</v>
      </c>
      <c r="L1614" s="6">
        <v>0.3333</v>
      </c>
      <c r="M1614" s="6">
        <v>-0.3533</v>
      </c>
      <c r="N1614" s="6">
        <v>0</v>
      </c>
      <c r="O1614" s="6">
        <v>0</v>
      </c>
      <c r="P1614" s="6">
        <v>0.6667</v>
      </c>
      <c r="Q1614" s="7"/>
      <c r="R1614" s="7"/>
    </row>
    <row r="1615" spans="1:18">
      <c r="A1615" s="4" t="s">
        <v>2162</v>
      </c>
      <c r="B1615" s="4">
        <f t="shared" si="25"/>
        <v>6</v>
      </c>
      <c r="C1615" s="4" t="s">
        <v>2163</v>
      </c>
      <c r="D1615" s="1" t="str">
        <f>IFERROR(VLOOKUP(A1615,[1]biopep_DB!$F$2:$J$1654,5,0),)</f>
        <v>A new QSAR model, for angiotensin I-converting enzyme inhibitory oligopeptides.</v>
      </c>
      <c r="E1615" s="1" t="str">
        <f>IFERROR(VLOOKUP(A1615,[1]biopep_DB!$F$2:$L$1654,6,0),0)</f>
        <v>10.1016/j.foodchem.2012.09.092</v>
      </c>
      <c r="F1615" s="1" t="str">
        <f>IFERROR(VLOOKUP(A1615,[1]biopep_DB!$F$2:$L$1654,7,0),0)</f>
        <v>23194537</v>
      </c>
      <c r="G1615" s="5">
        <v>576.64</v>
      </c>
      <c r="H1615" s="5">
        <v>5.49</v>
      </c>
      <c r="I1615" s="5">
        <v>-0.27</v>
      </c>
      <c r="J1615" s="6">
        <v>1.3333</v>
      </c>
      <c r="K1615" s="5">
        <v>-5.82</v>
      </c>
      <c r="L1615" s="6">
        <v>0.5</v>
      </c>
      <c r="M1615" s="6">
        <v>-1.4217</v>
      </c>
      <c r="N1615" s="6">
        <v>0.1667</v>
      </c>
      <c r="O1615" s="6">
        <v>0.1667</v>
      </c>
      <c r="P1615" s="6">
        <v>0.6667</v>
      </c>
      <c r="Q1615" s="7"/>
      <c r="R1615" s="7"/>
    </row>
    <row r="1616" spans="1:18">
      <c r="A1616" s="4" t="s">
        <v>2164</v>
      </c>
      <c r="B1616" s="4">
        <f t="shared" si="25"/>
        <v>10</v>
      </c>
      <c r="C1616" s="4" t="s">
        <v>1671</v>
      </c>
      <c r="D1616" s="1" t="str">
        <f>IFERROR(VLOOKUP(A1616,[1]biopep_DB!$F$2:$J$1654,5,0),)</f>
        <v>Novel angiotensin-converting enzyme (ACE) inhibitory peptides derived from boneless chicken leg meat.; Inhibition strength of short peptides derived from an ACE inhibitory peptide.; A new QSAR model, for angiotensin I-converting enzyme inhibitory oligopeptides.</v>
      </c>
      <c r="E1616" s="1" t="str">
        <f>IFERROR(VLOOKUP(A1616,[1]biopep_DB!$F$2:$L$1654,6,0),0)</f>
        <v>10.1021/jf100977z; 10.1021/jf202902r; 10.1016/j.foodchem.2012.09.092</v>
      </c>
      <c r="F1616" s="1" t="str">
        <f>IFERROR(VLOOKUP(A1616,[1]biopep_DB!$F$2:$L$1654,7,0),0)</f>
        <v>20509692 21923188 23194537</v>
      </c>
      <c r="G1616" s="5">
        <v>1216.43</v>
      </c>
      <c r="H1616" s="5">
        <v>8.56</v>
      </c>
      <c r="I1616" s="5">
        <v>0.73</v>
      </c>
      <c r="J1616" s="6">
        <v>-0.13</v>
      </c>
      <c r="K1616" s="5">
        <v>29.23</v>
      </c>
      <c r="L1616" s="6">
        <v>0.6</v>
      </c>
      <c r="M1616" s="6">
        <v>-1.173</v>
      </c>
      <c r="N1616" s="6">
        <v>0.2</v>
      </c>
      <c r="O1616" s="6">
        <v>0.3</v>
      </c>
      <c r="P1616" s="6">
        <v>0.6</v>
      </c>
      <c r="Q1616" s="7"/>
      <c r="R1616" s="7"/>
    </row>
    <row r="1617" spans="1:18">
      <c r="A1617" s="4" t="s">
        <v>2165</v>
      </c>
      <c r="B1617" s="4">
        <f t="shared" si="25"/>
        <v>3</v>
      </c>
      <c r="C1617" s="4"/>
      <c r="D1617" s="1" t="str">
        <f>IFERROR(VLOOKUP(A1617,[1]biopep_DB!$F$2:$J$1654,5,0),)</f>
        <v>Vegetable foods: a cheap source of proteins and peptides with antihypertensive, antioxidant, and other less occurrence bioactivities.</v>
      </c>
      <c r="E1617" s="1" t="str">
        <f>IFERROR(VLOOKUP(A1617,[1]biopep_DB!$F$2:$L$1654,6,0),0)</f>
        <v>10.1016/j.talanta.2012.12.041</v>
      </c>
      <c r="F1617" s="1" t="str">
        <f>IFERROR(VLOOKUP(A1617,[1]biopep_DB!$F$2:$L$1654,7,0),0)</f>
        <v>23598136</v>
      </c>
      <c r="G1617" s="5">
        <v>381.42</v>
      </c>
      <c r="H1617" s="5">
        <v>5.49</v>
      </c>
      <c r="I1617" s="5">
        <v>-0.27</v>
      </c>
      <c r="J1617" s="6">
        <v>0.7333</v>
      </c>
      <c r="K1617" s="5">
        <v>-21.63</v>
      </c>
      <c r="L1617" s="6">
        <v>0.3333</v>
      </c>
      <c r="M1617" s="6">
        <v>-1.2133</v>
      </c>
      <c r="N1617" s="6">
        <v>0</v>
      </c>
      <c r="O1617" s="6">
        <v>0</v>
      </c>
      <c r="P1617" s="6">
        <v>1</v>
      </c>
      <c r="Q1617" s="7"/>
      <c r="R1617" s="7"/>
    </row>
    <row r="1618" spans="1:18">
      <c r="A1618" s="4" t="s">
        <v>2166</v>
      </c>
      <c r="B1618" s="4">
        <f t="shared" si="25"/>
        <v>2</v>
      </c>
      <c r="C1618" s="4"/>
      <c r="D1618" s="1" t="str">
        <f>IFERROR(VLOOKUP(A1618,[1]biopep_DB!$F$2:$J$1654,5,0),)</f>
        <v>Three-dimensional holograph vector of atomic interaction field (3D-HoVAIF): a novel rotation-translation invariant 3D structure descriptor and its applications to peptides.</v>
      </c>
      <c r="E1618" s="1" t="str">
        <f>IFERROR(VLOOKUP(A1618,[1]biopep_DB!$F$2:$L$1654,6,0),0)</f>
        <v>10.1002/psc.892</v>
      </c>
      <c r="F1618" s="1" t="str">
        <f>IFERROR(VLOOKUP(A1618,[1]biopep_DB!$F$2:$L$1654,7,0),0)</f>
        <v>17654623</v>
      </c>
      <c r="G1618" s="5">
        <v>216.28</v>
      </c>
      <c r="H1618" s="5">
        <v>5.49</v>
      </c>
      <c r="I1618" s="5">
        <v>-0.27</v>
      </c>
      <c r="J1618" s="6">
        <v>4.2</v>
      </c>
      <c r="K1618" s="5">
        <v>5</v>
      </c>
      <c r="L1618" s="6">
        <v>1</v>
      </c>
      <c r="M1618" s="6">
        <v>-4.04</v>
      </c>
      <c r="N1618" s="6">
        <v>0</v>
      </c>
      <c r="O1618" s="6">
        <v>0</v>
      </c>
      <c r="P1618" s="6">
        <v>1</v>
      </c>
      <c r="Q1618" s="7"/>
      <c r="R1618" s="7"/>
    </row>
    <row r="1619" spans="1:18">
      <c r="A1619" s="4" t="s">
        <v>2167</v>
      </c>
      <c r="B1619" s="4">
        <f t="shared" si="25"/>
        <v>7</v>
      </c>
      <c r="C1619" s="4"/>
      <c r="D1619" s="1" t="str">
        <f>IFERROR(VLOOKUP(A1619,[1]biopep_DB!$F$2:$J$1654,5,0),)</f>
        <v/>
      </c>
      <c r="E1619" s="1" t="str">
        <f>IFERROR(VLOOKUP(A1619,[1]biopep_DB!$F$2:$L$1654,6,0),0)</f>
        <v/>
      </c>
      <c r="F1619" s="1" t="str">
        <f>IFERROR(VLOOKUP(A1619,[1]biopep_DB!$F$2:$L$1654,7,0),0)</f>
        <v/>
      </c>
      <c r="G1619" s="5">
        <v>757.87</v>
      </c>
      <c r="H1619" s="5">
        <v>4.6</v>
      </c>
      <c r="I1619" s="5">
        <v>-1.26</v>
      </c>
      <c r="J1619" s="6">
        <v>0.9</v>
      </c>
      <c r="K1619" s="5">
        <v>115.94</v>
      </c>
      <c r="L1619" s="6">
        <v>0.8571</v>
      </c>
      <c r="M1619" s="6">
        <v>-1.6043</v>
      </c>
      <c r="N1619" s="6">
        <v>0.2857</v>
      </c>
      <c r="O1619" s="6">
        <v>0.2857</v>
      </c>
      <c r="P1619" s="6">
        <v>0.4286</v>
      </c>
      <c r="Q1619" s="7"/>
      <c r="R1619" s="7"/>
    </row>
    <row r="1620" spans="1:18">
      <c r="A1620" s="4" t="s">
        <v>2168</v>
      </c>
      <c r="B1620" s="4">
        <f t="shared" si="25"/>
        <v>9</v>
      </c>
      <c r="C1620" s="4"/>
      <c r="D1620" s="1" t="str">
        <f>IFERROR(VLOOKUP(A1620,[1]biopep_DB!$F$2:$J$1654,5,0),)</f>
        <v/>
      </c>
      <c r="E1620" s="1" t="str">
        <f>IFERROR(VLOOKUP(A1620,[1]biopep_DB!$F$2:$L$1654,6,0),0)</f>
        <v/>
      </c>
      <c r="F1620" s="1" t="str">
        <f>IFERROR(VLOOKUP(A1620,[1]biopep_DB!$F$2:$L$1654,7,0),0)</f>
        <v/>
      </c>
      <c r="G1620" s="5">
        <v>1004.18</v>
      </c>
      <c r="H1620" s="5">
        <v>4.05</v>
      </c>
      <c r="I1620" s="5">
        <v>-1.26</v>
      </c>
      <c r="J1620" s="6">
        <v>1.4778</v>
      </c>
      <c r="K1620" s="5">
        <v>92.4</v>
      </c>
      <c r="L1620" s="6">
        <v>0.8889</v>
      </c>
      <c r="M1620" s="6">
        <v>-2.0278</v>
      </c>
      <c r="N1620" s="6">
        <v>0.2222</v>
      </c>
      <c r="O1620" s="6">
        <v>0.2222</v>
      </c>
      <c r="P1620" s="6">
        <v>0.5556</v>
      </c>
      <c r="Q1620" s="7"/>
      <c r="R1620" s="7"/>
    </row>
    <row r="1621" spans="1:18">
      <c r="A1621" s="4" t="s">
        <v>2169</v>
      </c>
      <c r="B1621" s="4">
        <f t="shared" si="25"/>
        <v>3</v>
      </c>
      <c r="C1621" s="4" t="s">
        <v>36</v>
      </c>
      <c r="D1621" s="1" t="str">
        <f>IFERROR(VLOOKUP(A1621,[1]biopep_DB!$F$2:$J$1654,5,0),)</f>
        <v>Structural requirements of Angiotensin I-converting enzyme inhibitory peptides: quantitative structure-activity relationship study of di- and tripeptides.</v>
      </c>
      <c r="E1621" s="1" t="str">
        <f>IFERROR(VLOOKUP(A1621,[1]biopep_DB!$F$2:$L$1654,6,0),0)</f>
        <v>10.1021/jf051263l</v>
      </c>
      <c r="F1621" s="1" t="str">
        <f>IFERROR(VLOOKUP(A1621,[1]biopep_DB!$F$2:$L$1654,7,0),0)</f>
        <v>16448176</v>
      </c>
      <c r="G1621" s="5">
        <v>363.45</v>
      </c>
      <c r="H1621" s="5">
        <v>5.49</v>
      </c>
      <c r="I1621" s="5">
        <v>-0.27</v>
      </c>
      <c r="J1621" s="6">
        <v>3.7333</v>
      </c>
      <c r="K1621" s="5">
        <v>6.67</v>
      </c>
      <c r="L1621" s="6">
        <v>1</v>
      </c>
      <c r="M1621" s="6">
        <v>-3.6867</v>
      </c>
      <c r="N1621" s="6">
        <v>0</v>
      </c>
      <c r="O1621" s="6">
        <v>0</v>
      </c>
      <c r="P1621" s="6">
        <v>1</v>
      </c>
      <c r="Q1621" s="7"/>
      <c r="R1621" s="7"/>
    </row>
    <row r="1622" spans="1:18">
      <c r="A1622" s="4" t="s">
        <v>2170</v>
      </c>
      <c r="B1622" s="4">
        <f t="shared" si="25"/>
        <v>5</v>
      </c>
      <c r="C1622" s="4" t="s">
        <v>2171</v>
      </c>
      <c r="D1622" s="1" t="str">
        <f>IFERROR(VLOOKUP(A1622,[1]biopep_DB!$F$2:$J$1654,5,0),)</f>
        <v/>
      </c>
      <c r="E1622" s="1" t="str">
        <f>IFERROR(VLOOKUP(A1622,[1]biopep_DB!$F$2:$L$1654,6,0),0)</f>
        <v/>
      </c>
      <c r="F1622" s="1" t="str">
        <f>IFERROR(VLOOKUP(A1622,[1]biopep_DB!$F$2:$L$1654,7,0),0)</f>
        <v/>
      </c>
      <c r="G1622" s="5">
        <v>472.58</v>
      </c>
      <c r="H1622" s="5">
        <v>8.72</v>
      </c>
      <c r="I1622" s="5">
        <v>0.73</v>
      </c>
      <c r="J1622" s="6">
        <v>1.18</v>
      </c>
      <c r="K1622" s="5">
        <v>-25.96</v>
      </c>
      <c r="L1622" s="6">
        <v>0.6</v>
      </c>
      <c r="M1622" s="6">
        <v>-1.85</v>
      </c>
      <c r="N1622" s="6">
        <v>0.4</v>
      </c>
      <c r="O1622" s="6">
        <v>0.2</v>
      </c>
      <c r="P1622" s="6">
        <v>0.4</v>
      </c>
      <c r="Q1622" s="7"/>
      <c r="R1622" s="7"/>
    </row>
    <row r="1623" spans="1:18">
      <c r="A1623" s="4" t="s">
        <v>2172</v>
      </c>
      <c r="B1623" s="4">
        <f t="shared" si="25"/>
        <v>4</v>
      </c>
      <c r="C1623" s="4" t="s">
        <v>2173</v>
      </c>
      <c r="D1623" s="1" t="str">
        <f>IFERROR(VLOOKUP(A1623,[1]biopep_DB!$F$2:$J$1654,5,0),)</f>
        <v/>
      </c>
      <c r="E1623" s="1" t="str">
        <f>IFERROR(VLOOKUP(A1623,[1]biopep_DB!$F$2:$L$1654,6,0),0)</f>
        <v/>
      </c>
      <c r="F1623" s="1" t="str">
        <f>IFERROR(VLOOKUP(A1623,[1]biopep_DB!$F$2:$L$1654,7,0),0)</f>
        <v/>
      </c>
      <c r="G1623" s="5">
        <v>410.51</v>
      </c>
      <c r="H1623" s="5">
        <v>5.49</v>
      </c>
      <c r="I1623" s="5">
        <v>-0.27</v>
      </c>
      <c r="J1623" s="6">
        <v>1.3</v>
      </c>
      <c r="K1623" s="5">
        <v>103.8</v>
      </c>
      <c r="L1623" s="6">
        <v>1</v>
      </c>
      <c r="M1623" s="6">
        <v>-2.02</v>
      </c>
      <c r="N1623" s="6">
        <v>0</v>
      </c>
      <c r="O1623" s="6">
        <v>0.5</v>
      </c>
      <c r="P1623" s="6">
        <v>0.5</v>
      </c>
      <c r="Q1623" s="7"/>
      <c r="R1623" s="7"/>
    </row>
    <row r="1624" spans="1:18">
      <c r="A1624" s="4" t="s">
        <v>2174</v>
      </c>
      <c r="B1624" s="4">
        <f t="shared" si="25"/>
        <v>5</v>
      </c>
      <c r="C1624" s="4" t="s">
        <v>2175</v>
      </c>
      <c r="D1624" s="1" t="str">
        <f>IFERROR(VLOOKUP(A1624,[1]biopep_DB!$F$2:$J$1654,5,0),)</f>
        <v>A new QSAR model, for angiotensin I-converting enzyme inhibitory oligopeptides.; Review on the angiotensin-I-converting enzyme (ACE) inhibitor peptides from marine proteins.; Vegetable foods: a cheap source of proteins and peptides with antihypertensive, antioxidant, and other less occurrence bioactivities.</v>
      </c>
      <c r="E1624" s="1" t="str">
        <f>IFERROR(VLOOKUP(A1624,[1]biopep_DB!$F$2:$L$1654,6,0),0)</f>
        <v>10.1016/j.foodchem.2012.09.092; 10.1007/s12010-012-0024-y; 10.1016/j.talanta.2012.12.041</v>
      </c>
      <c r="F1624" s="1" t="str">
        <f>IFERROR(VLOOKUP(A1624,[1]biopep_DB!$F$2:$L$1654,7,0),0)</f>
        <v>23194537 23271625 23598136</v>
      </c>
      <c r="G1624" s="5">
        <v>481.59</v>
      </c>
      <c r="H1624" s="5">
        <v>5.49</v>
      </c>
      <c r="I1624" s="5">
        <v>-0.27</v>
      </c>
      <c r="J1624" s="6">
        <v>1.4</v>
      </c>
      <c r="K1624" s="5">
        <v>123.56</v>
      </c>
      <c r="L1624" s="6">
        <v>1</v>
      </c>
      <c r="M1624" s="6">
        <v>-1.978</v>
      </c>
      <c r="N1624" s="6">
        <v>0.2</v>
      </c>
      <c r="O1624" s="6">
        <v>0.4</v>
      </c>
      <c r="P1624" s="6">
        <v>0.4</v>
      </c>
      <c r="Q1624" s="7"/>
      <c r="R1624" s="7"/>
    </row>
    <row r="1625" spans="1:18">
      <c r="A1625" s="4" t="s">
        <v>2176</v>
      </c>
      <c r="B1625" s="4">
        <f t="shared" si="25"/>
        <v>9</v>
      </c>
      <c r="C1625" s="4"/>
      <c r="D1625" s="1" t="str">
        <f>IFERROR(VLOOKUP(A1625,[1]biopep_DB!$F$2:$J$1654,5,0),)</f>
        <v>Casein fermentate of Lactobacillus animalis DPC6134 contains a range of novel propeptide angiotensin-converting enzyme inhibitors.</v>
      </c>
      <c r="E1625" s="1" t="str">
        <f>IFERROR(VLOOKUP(A1625,[1]biopep_DB!$F$2:$L$1654,6,0),0)</f>
        <v>10.1128/AEM.00096-07</v>
      </c>
      <c r="F1625" s="1" t="str">
        <f>IFERROR(VLOOKUP(A1625,[1]biopep_DB!$F$2:$L$1654,7,0),0)</f>
        <v>17483275</v>
      </c>
      <c r="G1625" s="5">
        <v>1025.2</v>
      </c>
      <c r="H1625" s="5">
        <v>4.6</v>
      </c>
      <c r="I1625" s="5">
        <v>-1.26</v>
      </c>
      <c r="J1625" s="6">
        <v>0.4333</v>
      </c>
      <c r="K1625" s="5">
        <v>113.8</v>
      </c>
      <c r="L1625" s="6">
        <v>0.7778</v>
      </c>
      <c r="M1625" s="6">
        <v>-1.4422</v>
      </c>
      <c r="N1625" s="6">
        <v>0.1111</v>
      </c>
      <c r="O1625" s="6">
        <v>0.3333</v>
      </c>
      <c r="P1625" s="6">
        <v>0.4444</v>
      </c>
      <c r="Q1625" s="7"/>
      <c r="R1625" s="7"/>
    </row>
    <row r="1626" spans="1:18">
      <c r="A1626" s="4" t="s">
        <v>2177</v>
      </c>
      <c r="B1626" s="4">
        <f t="shared" si="25"/>
        <v>4</v>
      </c>
      <c r="C1626" s="4" t="s">
        <v>2178</v>
      </c>
      <c r="D1626" s="1" t="str">
        <f>IFERROR(VLOOKUP(A1626,[1]biopep_DB!$F$2:$J$1654,5,0),)</f>
        <v>Inhibition of angiotensin-converting enzyme by synthetic peptide fragments of human kappa-casein.; Angiotensin converting enzyme inhibitory peptides derived from food proteins: biochemistry, bioactivity and production.; What are the ideal properties for functional food peptides with antihypertensive effect? A computational peptidology approach.</v>
      </c>
      <c r="E1626" s="1" t="str">
        <f>IFERROR(VLOOKUP(A1626,[1]biopep_DB!$F$2:$L$1654,6,0),0)</f>
        <v>10.2174/138161207780363068; 10.1016/j.foodchem.2013.05.140</v>
      </c>
      <c r="F1626" s="1" t="str">
        <f>IFERROR(VLOOKUP(A1626,[1]biopep_DB!$F$2:$L$1654,7,0),0)</f>
        <v>1368540 17430180 23871047</v>
      </c>
      <c r="G1626" s="5">
        <v>469.58</v>
      </c>
      <c r="H1626" s="5">
        <v>9.72</v>
      </c>
      <c r="I1626" s="5">
        <v>0.73</v>
      </c>
      <c r="J1626" s="6">
        <v>0.575</v>
      </c>
      <c r="K1626" s="5">
        <v>55.65</v>
      </c>
      <c r="L1626" s="6">
        <v>0.75</v>
      </c>
      <c r="M1626" s="6">
        <v>-1.34</v>
      </c>
      <c r="N1626" s="6">
        <v>0</v>
      </c>
      <c r="O1626" s="6">
        <v>0.25</v>
      </c>
      <c r="P1626" s="6">
        <v>0.5</v>
      </c>
      <c r="Q1626" s="7"/>
      <c r="R1626" s="7"/>
    </row>
    <row r="1627" spans="1:18">
      <c r="A1627" s="4" t="s">
        <v>2179</v>
      </c>
      <c r="B1627" s="4">
        <f t="shared" si="25"/>
        <v>3</v>
      </c>
      <c r="C1627" s="4"/>
      <c r="D1627" s="1" t="str">
        <f>IFERROR(VLOOKUP(A1627,[1]biopep_DB!$F$2:$J$1654,5,0),)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627" s="1" t="str">
        <f>IFERROR(VLOOKUP(A1627,[1]biopep_DB!$F$2:$L$1654,6,0),0)</f>
        <v>10.1002/psc.800; 10.1007/s00894-010-0862-x; 10.1016/j.foodchem.2013.05.140</v>
      </c>
      <c r="F1627" s="1" t="str">
        <f>IFERROR(VLOOKUP(A1627,[1]biopep_DB!$F$2:$L$1654,7,0),0)</f>
        <v>17117396 20941517 23871047</v>
      </c>
      <c r="G1627" s="5">
        <v>315.41</v>
      </c>
      <c r="H1627" s="5">
        <v>5.49</v>
      </c>
      <c r="I1627" s="5">
        <v>-0.27</v>
      </c>
      <c r="J1627" s="6">
        <v>4.2</v>
      </c>
      <c r="K1627" s="5">
        <v>6.67</v>
      </c>
      <c r="L1627" s="6">
        <v>1</v>
      </c>
      <c r="M1627" s="6">
        <v>-4.04</v>
      </c>
      <c r="N1627" s="6">
        <v>0</v>
      </c>
      <c r="O1627" s="6">
        <v>0</v>
      </c>
      <c r="P1627" s="6">
        <v>1</v>
      </c>
      <c r="Q1627" s="7"/>
      <c r="R1627" s="7"/>
    </row>
    <row r="1628" spans="1:18">
      <c r="A1628" s="4" t="s">
        <v>2180</v>
      </c>
      <c r="B1628" s="4">
        <f t="shared" si="25"/>
        <v>5</v>
      </c>
      <c r="C1628" s="4" t="s">
        <v>2181</v>
      </c>
      <c r="D1628" s="1" t="str">
        <f>IFERROR(VLOOKUP(A1628,[1]biopep_DB!$F$2:$J$1654,5,0),)</f>
        <v>A new QSAR model, for angiotensin I-converting enzyme inhibitory oligopeptides.</v>
      </c>
      <c r="E1628" s="1" t="str">
        <f>IFERROR(VLOOKUP(A1628,[1]biopep_DB!$F$2:$L$1654,6,0),0)</f>
        <v>10.1016/j.foodchem.2012.09.092</v>
      </c>
      <c r="F1628" s="1" t="str">
        <f>IFERROR(VLOOKUP(A1628,[1]biopep_DB!$F$2:$L$1654,7,0),0)</f>
        <v>23194537</v>
      </c>
      <c r="G1628" s="5">
        <v>509.64</v>
      </c>
      <c r="H1628" s="5">
        <v>5.49</v>
      </c>
      <c r="I1628" s="5">
        <v>-0.27</v>
      </c>
      <c r="J1628" s="6">
        <v>1.88</v>
      </c>
      <c r="K1628" s="5">
        <v>85.04</v>
      </c>
      <c r="L1628" s="6">
        <v>1</v>
      </c>
      <c r="M1628" s="6">
        <v>-2.424</v>
      </c>
      <c r="N1628" s="6">
        <v>0</v>
      </c>
      <c r="O1628" s="6">
        <v>0.4</v>
      </c>
      <c r="P1628" s="6">
        <v>0.6</v>
      </c>
      <c r="Q1628" s="7"/>
      <c r="R1628" s="7"/>
    </row>
    <row r="1629" spans="1:18">
      <c r="A1629" s="4" t="s">
        <v>2182</v>
      </c>
      <c r="B1629" s="4">
        <f t="shared" si="25"/>
        <v>6</v>
      </c>
      <c r="C1629" s="4" t="s">
        <v>1348</v>
      </c>
      <c r="D1629" s="1" t="str">
        <f>IFERROR(VLOOKUP(A1629,[1]biopep_DB!$F$2:$J$1654,5,0),)</f>
        <v>A new QSAR model, for angiotensin I-converting enzyme inhibitory oligopeptides.; Enterococcus faecalis strains from food, environmental, and clinical origin produce ACE-inhibitory peptides and other bioactive peptides during growth in bovine skim milk.</v>
      </c>
      <c r="E1629" s="1" t="str">
        <f>IFERROR(VLOOKUP(A1629,[1]biopep_DB!$F$2:$L$1654,6,0),0)</f>
        <v>10.1016/j.foodchem.2012.09.092; 10.1016/j.ijfoodmicro.2013.06.019</v>
      </c>
      <c r="F1629" s="1" t="str">
        <f>IFERROR(VLOOKUP(A1629,[1]biopep_DB!$F$2:$L$1654,7,0),0)</f>
        <v>23194537 23845432</v>
      </c>
      <c r="G1629" s="5">
        <v>656.81</v>
      </c>
      <c r="H1629" s="5">
        <v>5.49</v>
      </c>
      <c r="I1629" s="5">
        <v>-0.27</v>
      </c>
      <c r="J1629" s="6">
        <v>2.0333</v>
      </c>
      <c r="K1629" s="5">
        <v>104.63</v>
      </c>
      <c r="L1629" s="6">
        <v>1</v>
      </c>
      <c r="M1629" s="6">
        <v>-2.5167</v>
      </c>
      <c r="N1629" s="6">
        <v>0</v>
      </c>
      <c r="O1629" s="6">
        <v>0.3333</v>
      </c>
      <c r="P1629" s="6">
        <v>0.6667</v>
      </c>
      <c r="Q1629" s="7"/>
      <c r="R1629" s="7"/>
    </row>
    <row r="1630" spans="1:18">
      <c r="A1630" s="4" t="s">
        <v>2183</v>
      </c>
      <c r="B1630" s="4">
        <f t="shared" si="25"/>
        <v>3</v>
      </c>
      <c r="C1630" s="4" t="s">
        <v>2184</v>
      </c>
      <c r="D1630" s="1" t="str">
        <f>IFERROR(VLOOKUP(A1630,[1]biopep_DB!$F$2:$J$1654,5,0),)</f>
        <v>Vegetable foods: a cheap source of proteins and peptides with antihypertensive, antioxidant, and other less occurrence bioactivities.</v>
      </c>
      <c r="E1630" s="1" t="str">
        <f>IFERROR(VLOOKUP(A1630,[1]biopep_DB!$F$2:$L$1654,6,0),0)</f>
        <v>10.1016/j.talanta.2012.12.041</v>
      </c>
      <c r="F1630" s="1" t="str">
        <f>IFERROR(VLOOKUP(A1630,[1]biopep_DB!$F$2:$L$1654,7,0),0)</f>
        <v>23598136</v>
      </c>
      <c r="G1630" s="5">
        <v>402.49</v>
      </c>
      <c r="H1630" s="5">
        <v>5.49</v>
      </c>
      <c r="I1630" s="5">
        <v>-0.27</v>
      </c>
      <c r="J1630" s="6">
        <v>2.5</v>
      </c>
      <c r="K1630" s="5">
        <v>6.67</v>
      </c>
      <c r="L1630" s="6">
        <v>1</v>
      </c>
      <c r="M1630" s="6">
        <v>-3.47</v>
      </c>
      <c r="N1630" s="6">
        <v>0</v>
      </c>
      <c r="O1630" s="6">
        <v>0</v>
      </c>
      <c r="P1630" s="6">
        <v>1</v>
      </c>
      <c r="Q1630" s="7"/>
      <c r="R1630" s="7"/>
    </row>
    <row r="1631" spans="1:18">
      <c r="A1631" s="4" t="s">
        <v>2185</v>
      </c>
      <c r="B1631" s="4">
        <f t="shared" si="25"/>
        <v>3</v>
      </c>
      <c r="C1631" s="4" t="s">
        <v>2184</v>
      </c>
      <c r="D1631" s="1" t="str">
        <f>IFERROR(VLOOKUP(A1631,[1]biopep_DB!$F$2:$J$1654,5,0),)</f>
        <v>What are the ideal properties for functional food peptides with antihypertensive effect? A computational peptidology approach.; Isolation and characterization of peptides with antihypertensive activity in foodstuffs.</v>
      </c>
      <c r="E1631" s="1" t="str">
        <f>IFERROR(VLOOKUP(A1631,[1]biopep_DB!$F$2:$L$1654,6,0),0)</f>
        <v>10.1016/j.foodchem.2013.05.140; 10.1080/10408398.2012.664829</v>
      </c>
      <c r="F1631" s="1" t="str">
        <f>IFERROR(VLOOKUP(A1631,[1]biopep_DB!$F$2:$L$1654,7,0),0)</f>
        <v>23871047 24915368</v>
      </c>
      <c r="G1631" s="5">
        <v>379.45</v>
      </c>
      <c r="H1631" s="5">
        <v>5.49</v>
      </c>
      <c r="I1631" s="5">
        <v>-0.27</v>
      </c>
      <c r="J1631" s="6">
        <v>2.3667</v>
      </c>
      <c r="K1631" s="5">
        <v>-18.47</v>
      </c>
      <c r="L1631" s="6">
        <v>0.6667</v>
      </c>
      <c r="M1631" s="6">
        <v>-2.6467</v>
      </c>
      <c r="N1631" s="6">
        <v>0</v>
      </c>
      <c r="O1631" s="6">
        <v>0</v>
      </c>
      <c r="P1631" s="6">
        <v>1</v>
      </c>
      <c r="Q1631" s="7"/>
      <c r="R1631" s="7"/>
    </row>
    <row r="1632" spans="1:18">
      <c r="A1632" s="4" t="s">
        <v>2186</v>
      </c>
      <c r="B1632" s="4">
        <f t="shared" si="25"/>
        <v>5</v>
      </c>
      <c r="C1632" s="4" t="s">
        <v>2187</v>
      </c>
      <c r="D1632" s="1" t="str">
        <f>IFERROR(VLOOKUP(A1632,[1]biopep_DB!$F$2:$J$1654,5,0),)</f>
        <v>A new QSAR model, for angiotensin I-converting enzyme inhibitory oligopeptides.</v>
      </c>
      <c r="E1632" s="1" t="str">
        <f>IFERROR(VLOOKUP(A1632,[1]biopep_DB!$F$2:$L$1654,6,0),0)</f>
        <v>10.1016/j.foodchem.2012.09.092</v>
      </c>
      <c r="F1632" s="1" t="str">
        <f>IFERROR(VLOOKUP(A1632,[1]biopep_DB!$F$2:$L$1654,7,0),0)</f>
        <v>23194537</v>
      </c>
      <c r="G1632" s="5">
        <v>662.78</v>
      </c>
      <c r="H1632" s="5">
        <v>5.49</v>
      </c>
      <c r="I1632" s="5">
        <v>-0.27</v>
      </c>
      <c r="J1632" s="6">
        <v>0.92</v>
      </c>
      <c r="K1632" s="5">
        <v>11.84</v>
      </c>
      <c r="L1632" s="6">
        <v>0.8</v>
      </c>
      <c r="M1632" s="6">
        <v>-2.054</v>
      </c>
      <c r="N1632" s="6">
        <v>0</v>
      </c>
      <c r="O1632" s="6">
        <v>0.2</v>
      </c>
      <c r="P1632" s="6">
        <v>0.8</v>
      </c>
      <c r="Q1632" s="7"/>
      <c r="R1632" s="7"/>
    </row>
    <row r="1633" spans="1:18">
      <c r="A1633" s="4" t="s">
        <v>2188</v>
      </c>
      <c r="B1633" s="4">
        <f t="shared" si="25"/>
        <v>6</v>
      </c>
      <c r="C1633" s="4" t="s">
        <v>2189</v>
      </c>
      <c r="D1633" s="1" t="str">
        <f>IFERROR(VLOOKUP(A1633,[1]biopep_DB!$F$2:$J$1654,5,0),)</f>
        <v>Isolation and characterization of peptides with antihypertensive activity in foodstuffs.</v>
      </c>
      <c r="E1633" s="1" t="str">
        <f>IFERROR(VLOOKUP(A1633,[1]biopep_DB!$F$2:$L$1654,6,0),0)</f>
        <v>10.1080/10408398.2012.664829</v>
      </c>
      <c r="F1633" s="1" t="str">
        <f>IFERROR(VLOOKUP(A1633,[1]biopep_DB!$F$2:$L$1654,7,0),0)</f>
        <v>24915368</v>
      </c>
      <c r="G1633" s="5">
        <v>763.88</v>
      </c>
      <c r="H1633" s="5">
        <v>5.49</v>
      </c>
      <c r="I1633" s="5">
        <v>-0.27</v>
      </c>
      <c r="J1633" s="6">
        <v>0.65</v>
      </c>
      <c r="K1633" s="5">
        <v>-13.52</v>
      </c>
      <c r="L1633" s="6">
        <v>0.6667</v>
      </c>
      <c r="M1633" s="6">
        <v>-1.6683</v>
      </c>
      <c r="N1633" s="6">
        <v>0</v>
      </c>
      <c r="O1633" s="6">
        <v>0.1667</v>
      </c>
      <c r="P1633" s="6">
        <v>0.8333</v>
      </c>
      <c r="Q1633" s="7"/>
      <c r="R1633" s="7"/>
    </row>
    <row r="1634" spans="1:18">
      <c r="A1634" s="4" t="s">
        <v>2190</v>
      </c>
      <c r="B1634" s="4">
        <f t="shared" si="25"/>
        <v>9</v>
      </c>
      <c r="C1634" s="4" t="s">
        <v>2191</v>
      </c>
      <c r="D1634" s="1" t="str">
        <f>IFERROR(VLOOKUP(A1634,[1]biopep_DB!$F$2:$J$1654,5,0),)</f>
        <v>Antihypertensive peptides from food proteins: a review.; A new QSAR model, for angiotensin I-converting enzyme inhibitory oligopeptides.; Review on the angiotensin-I-converting enzyme (ACE) inhibitor peptides from marine proteins.; Isolation and characterization of peptides with antihypertensive activity in foodstuffs.</v>
      </c>
      <c r="E1634" s="1" t="str">
        <f>IFERROR(VLOOKUP(A1634,[1]biopep_DB!$F$2:$L$1654,6,0),0)</f>
        <v>10.1039/c2fo10192k; 10.1016/j.foodchem.2012.09.092; 10.1007/s12010-012-0024-y; 10.1080/10408398.2012.664829</v>
      </c>
      <c r="F1634" s="1" t="str">
        <f>IFERROR(VLOOKUP(A1634,[1]biopep_DB!$F$2:$L$1654,7,0),0)</f>
        <v>22249830 23194537 23271625 24915368</v>
      </c>
      <c r="G1634" s="5">
        <v>1195.37</v>
      </c>
      <c r="H1634" s="5">
        <v>8.72</v>
      </c>
      <c r="I1634" s="5">
        <v>0.73</v>
      </c>
      <c r="J1634" s="6">
        <v>-0.1444</v>
      </c>
      <c r="K1634" s="5">
        <v>-14.06</v>
      </c>
      <c r="L1634" s="6">
        <v>0.5556</v>
      </c>
      <c r="M1634" s="6">
        <v>-0.99</v>
      </c>
      <c r="N1634" s="6">
        <v>0</v>
      </c>
      <c r="O1634" s="6">
        <v>0.1111</v>
      </c>
      <c r="P1634" s="6">
        <v>0.6667</v>
      </c>
      <c r="Q1634" s="7"/>
      <c r="R1634" s="7"/>
    </row>
    <row r="1635" spans="1:18">
      <c r="A1635" s="4" t="s">
        <v>2192</v>
      </c>
      <c r="B1635" s="4">
        <f t="shared" si="25"/>
        <v>2</v>
      </c>
      <c r="C1635" s="4" t="s">
        <v>2193</v>
      </c>
      <c r="D1635" s="1" t="str">
        <f>IFERROR(VLOOKUP(A1635,[1]biopep_DB!$F$2:$J$1654,5,0),)</f>
        <v>Structure and activity of angiotensin I converting enzyme inhibitory peptides from sake and sake lees.; Angiotensin I-converting enzyme inhibitory peptides derived from wakame (Undaria pinnatifida) and their antihypertensive effect in spontaneously hypertensive rats.; New antihypertensive peptides isolated from rapeseed.; Antihypertensive effects of Undaria pinnatifida (wakame) peptide on blood pressure in spontaneously hypertensive rats.;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Bioactive peptides in amaranth (Amaranthus hypochondriacus) seed.; Isolation and identification of antihypertensive peptides from antarctic krill tail meat hydrolysate.; QSAR study on angiotensin-converting enzyme inhibitor oligopeptides based on a novel set of sequence information descriptors.; Inhibition strength of short peptides derived from an ACE inhibitory peptide.; Antihypertensive peptides from food proteins: a review.;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 Glycinyl-histidinyl-serine (GHS), a novel rapeseed protein-derived peptide has blood pressure-lowering effect in spontaneously hypertensive rats.; Isolation and characterization of peptides with antihypertensive activity in foodstuffs.</v>
      </c>
      <c r="E1635" s="1" t="str">
        <f>IFERROR(VLOOKUP(A1635,[1]biopep_DB!$F$2:$L$1654,6,0),0)</f>
        <v>10.1271/bbb.58.1767; 10.1021/jf020482t; 10.1016/s0196-9781(03)00174-8; 10.1016/j.jnutbio.2003.11.004; 10.1021/jf051263l; 10.1002/psc.892; 10.1021/jf072911z; 10.1111/j.1750-3841.2009.01138.x; 10.1007/s00894-010-0862-x; 10.1021/jf202902r; 10.1039/c2fo10192k; 10.1007/s12010-012-0024-y; 10.1016/j.talanta.2012.12.041; 10.1016/j.foodchem.2013.05.140; 10.1021/jf400865m; 10.1080/10408398.2012.664829</v>
      </c>
      <c r="F1635" s="1" t="str">
        <f>IFERROR(VLOOKUP(A1635,[1]biopep_DB!$F$2:$L$1654,7,0),0)</f>
        <v>7765503 12358510 12948830 15135150 16448176 17654623 18211015 19490329 20941517 21923188 22249830 23271625 23598136 23871047 23919612 24915368</v>
      </c>
      <c r="G1635" s="5">
        <v>303.36</v>
      </c>
      <c r="H1635" s="5">
        <v>5.49</v>
      </c>
      <c r="I1635" s="5">
        <v>-0.27</v>
      </c>
      <c r="J1635" s="6">
        <v>1.65</v>
      </c>
      <c r="K1635" s="5">
        <v>5</v>
      </c>
      <c r="L1635" s="6">
        <v>1</v>
      </c>
      <c r="M1635" s="6">
        <v>-3.185</v>
      </c>
      <c r="N1635" s="6">
        <v>0</v>
      </c>
      <c r="O1635" s="6">
        <v>0</v>
      </c>
      <c r="P1635" s="6">
        <v>1</v>
      </c>
      <c r="Q1635" s="7"/>
      <c r="R1635" s="7"/>
    </row>
    <row r="1636" spans="1:18">
      <c r="A1636" s="4" t="s">
        <v>2194</v>
      </c>
      <c r="B1636" s="4">
        <f t="shared" si="25"/>
        <v>8</v>
      </c>
      <c r="C1636" s="4" t="s">
        <v>2195</v>
      </c>
      <c r="D1636" s="1" t="str">
        <f>IFERROR(VLOOKUP(A1636,[1]biopep_DB!$F$2:$J$1654,5,0),)</f>
        <v/>
      </c>
      <c r="E1636" s="1" t="str">
        <f>IFERROR(VLOOKUP(A1636,[1]biopep_DB!$F$2:$L$1654,6,0),0)</f>
        <v/>
      </c>
      <c r="F1636" s="1" t="str">
        <f>IFERROR(VLOOKUP(A1636,[1]biopep_DB!$F$2:$L$1654,7,0),0)</f>
        <v/>
      </c>
      <c r="G1636" s="5">
        <v>1003.11</v>
      </c>
      <c r="H1636" s="5">
        <v>4.54</v>
      </c>
      <c r="I1636" s="5">
        <v>-1.26</v>
      </c>
      <c r="J1636" s="6">
        <v>-1</v>
      </c>
      <c r="K1636" s="5">
        <v>48.25</v>
      </c>
      <c r="L1636" s="6">
        <v>0.625</v>
      </c>
      <c r="M1636" s="6">
        <v>-0.5513</v>
      </c>
      <c r="N1636" s="6">
        <v>0.125</v>
      </c>
      <c r="O1636" s="6">
        <v>0.5</v>
      </c>
      <c r="P1636" s="6">
        <v>0.375</v>
      </c>
      <c r="Q1636" s="7"/>
      <c r="R1636" s="7"/>
    </row>
    <row r="1637" spans="1:18">
      <c r="A1637" s="4" t="s">
        <v>2196</v>
      </c>
      <c r="B1637" s="4">
        <f t="shared" si="25"/>
        <v>4</v>
      </c>
      <c r="C1637" s="4" t="s">
        <v>1613</v>
      </c>
      <c r="D1637" s="1" t="str">
        <f>IFERROR(VLOOKUP(A1637,[1]biopep_DB!$F$2:$J$1654,5,0),)</f>
        <v>Angiotensin converting enzyme inhibitory peptides derived from food proteins: biochemistry, bioactivity and production.</v>
      </c>
      <c r="E1637" s="1" t="str">
        <f>IFERROR(VLOOKUP(A1637,[1]biopep_DB!$F$2:$L$1654,6,0),0)</f>
        <v>10.2174/138161207780363068</v>
      </c>
      <c r="F1637" s="1" t="str">
        <f>IFERROR(VLOOKUP(A1637,[1]biopep_DB!$F$2:$L$1654,7,0),0)</f>
        <v>17430180</v>
      </c>
      <c r="G1637" s="5">
        <v>473.57</v>
      </c>
      <c r="H1637" s="5">
        <v>5.49</v>
      </c>
      <c r="I1637" s="5">
        <v>-0.27</v>
      </c>
      <c r="J1637" s="6">
        <v>1.85</v>
      </c>
      <c r="K1637" s="5">
        <v>7.5</v>
      </c>
      <c r="L1637" s="6">
        <v>0.75</v>
      </c>
      <c r="M1637" s="6">
        <v>-3.0575</v>
      </c>
      <c r="N1637" s="6">
        <v>0</v>
      </c>
      <c r="O1637" s="6">
        <v>0.25</v>
      </c>
      <c r="P1637" s="6">
        <v>0.75</v>
      </c>
      <c r="Q1637" s="7"/>
      <c r="R1637" s="7"/>
    </row>
    <row r="1638" spans="1:18">
      <c r="A1638" s="4" t="s">
        <v>2197</v>
      </c>
      <c r="B1638" s="4">
        <f t="shared" si="25"/>
        <v>4</v>
      </c>
      <c r="C1638" s="4" t="s">
        <v>2198</v>
      </c>
      <c r="D1638" s="1" t="str">
        <f>IFERROR(VLOOKUP(A1638,[1]biopep_DB!$F$2:$J$1654,5,0),)</f>
        <v>New antihypertensive peptides isolated from rapeseed.; Antihypertensive peptides from food proteins: a review.; What are the ideal properties for functional food peptides with antihypertensive effect? A computational peptidology approach.; Glycinyl-histidinyl-serine (GHS), a novel rapeseed protein-derived peptide has blood pressure-lowering effect in spontaneously hypertensive rats.</v>
      </c>
      <c r="E1638" s="1" t="str">
        <f>IFERROR(VLOOKUP(A1638,[1]biopep_DB!$F$2:$L$1654,6,0),0)</f>
        <v>10.1016/s0196-9781(03)00174-8; 10.1039/c2fo10192k; 10.1016/j.foodchem.2013.05.140; 10.1021/jf400865m</v>
      </c>
      <c r="F1638" s="1" t="str">
        <f>IFERROR(VLOOKUP(A1638,[1]biopep_DB!$F$2:$L$1654,7,0),0)</f>
        <v>12948830 22249830 23871047 23919612</v>
      </c>
      <c r="G1638" s="5">
        <v>503.59</v>
      </c>
      <c r="H1638" s="5">
        <v>5.49</v>
      </c>
      <c r="I1638" s="5">
        <v>-0.27</v>
      </c>
      <c r="J1638" s="6">
        <v>1.75</v>
      </c>
      <c r="K1638" s="5">
        <v>7.5</v>
      </c>
      <c r="L1638" s="6">
        <v>0.75</v>
      </c>
      <c r="M1638" s="6">
        <v>-2.6125</v>
      </c>
      <c r="N1638" s="6">
        <v>0</v>
      </c>
      <c r="O1638" s="6">
        <v>0.25</v>
      </c>
      <c r="P1638" s="6">
        <v>0.75</v>
      </c>
      <c r="Q1638" s="7"/>
      <c r="R1638" s="7"/>
    </row>
    <row r="1639" spans="1:18">
      <c r="A1639" s="4" t="s">
        <v>2199</v>
      </c>
      <c r="B1639" s="4">
        <f t="shared" si="25"/>
        <v>3</v>
      </c>
      <c r="C1639" s="4" t="s">
        <v>1392</v>
      </c>
      <c r="D1639" s="1" t="str">
        <f>IFERROR(VLOOKUP(A1639,[1]biopep_DB!$F$2:$J$1654,5,0),)</f>
        <v/>
      </c>
      <c r="E1639" s="1" t="str">
        <f>IFERROR(VLOOKUP(A1639,[1]biopep_DB!$F$2:$L$1654,6,0),0)</f>
        <v/>
      </c>
      <c r="F1639" s="1" t="str">
        <f>IFERROR(VLOOKUP(A1639,[1]biopep_DB!$F$2:$L$1654,7,0),0)</f>
        <v/>
      </c>
      <c r="G1639" s="5">
        <v>400.47</v>
      </c>
      <c r="H1639" s="5">
        <v>5.49</v>
      </c>
      <c r="I1639" s="5">
        <v>-0.27</v>
      </c>
      <c r="J1639" s="6">
        <v>0.5667</v>
      </c>
      <c r="K1639" s="5">
        <v>6.67</v>
      </c>
      <c r="L1639" s="6">
        <v>1</v>
      </c>
      <c r="M1639" s="6">
        <v>-2.1233</v>
      </c>
      <c r="N1639" s="6">
        <v>0</v>
      </c>
      <c r="O1639" s="6">
        <v>0.3333</v>
      </c>
      <c r="P1639" s="6">
        <v>0.6667</v>
      </c>
      <c r="Q1639" s="7"/>
      <c r="R1639" s="7"/>
    </row>
    <row r="1640" spans="1:18">
      <c r="A1640" s="4" t="s">
        <v>2200</v>
      </c>
      <c r="B1640" s="4">
        <f t="shared" si="25"/>
        <v>3</v>
      </c>
      <c r="C1640" s="4" t="s">
        <v>36</v>
      </c>
      <c r="D1640" s="1" t="str">
        <f>IFERROR(VLOOKUP(A1640,[1]biopep_DB!$F$2:$J$1654,5,0),)</f>
        <v>Structure and activity of angiotensin I converting enzyme inhibitory peptides from sake and sake lees.; Structural requirements of Angiotensin I-converting enzyme inhibitory peptides: quantitative structure-activity relationship study of di- and tripeptides.; Vegetable foods: a cheap source of proteins and peptides with antihypertensive, antioxidant, and other less occurrence bioactivities.; What are the ideal properties for functional food peptides with antihypertensive effect? A computational peptidology approach.</v>
      </c>
      <c r="E1640" s="1" t="str">
        <f>IFERROR(VLOOKUP(A1640,[1]biopep_DB!$F$2:$L$1654,6,0),0)</f>
        <v>10.1271/bbb.58.1767; 10.1021/jf051263l; 10.1016/j.talanta.2012.12.041; 10.1016/j.foodchem.2013.05.140</v>
      </c>
      <c r="F1640" s="1" t="str">
        <f>IFERROR(VLOOKUP(A1640,[1]biopep_DB!$F$2:$L$1654,7,0),0)</f>
        <v>7765503 16448176 23598136 23871047</v>
      </c>
      <c r="G1640" s="5">
        <v>466.53</v>
      </c>
      <c r="H1640" s="5">
        <v>5.49</v>
      </c>
      <c r="I1640" s="5">
        <v>-0.27</v>
      </c>
      <c r="J1640" s="6">
        <v>0.6667</v>
      </c>
      <c r="K1640" s="5">
        <v>6.67</v>
      </c>
      <c r="L1640" s="6">
        <v>0.6667</v>
      </c>
      <c r="M1640" s="6">
        <v>-2.0767</v>
      </c>
      <c r="N1640" s="6">
        <v>0</v>
      </c>
      <c r="O1640" s="6">
        <v>0</v>
      </c>
      <c r="P1640" s="6">
        <v>1</v>
      </c>
      <c r="Q1640" s="7"/>
      <c r="R1640" s="7"/>
    </row>
    <row r="1641" spans="1:18">
      <c r="A1641" s="4" t="s">
        <v>2201</v>
      </c>
      <c r="B1641" s="4">
        <f t="shared" si="25"/>
        <v>2</v>
      </c>
      <c r="C1641" s="4" t="s">
        <v>36</v>
      </c>
      <c r="D1641" s="1" t="str">
        <f>IFERROR(VLOOKUP(A1641,[1]biopep_DB!$F$2:$J$1654,5,0),)</f>
        <v>Structure and activity of angiotensin I converting enzyme inhibitory peptides from sake and sake lees.; Antihypertensive effect of valyl-tyrosine, a short chain peptide derived from sardine muscle hydrolyzate, on mild hypertensive subjects.; Angiotensin I-converting enzyme inhibitory peptides derived from wakame (Undaria pinnatifida) and their antihypertensive effect in spontaneously hypertensive rats.; Antihypertensive effects of Undaria pinnatifida (wakame) peptide on blood pressure in spontaneously hypertensive rats.;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Bioactive peptides in amaranth (Amaranthus hypochondriacus) seed.; Assessing the dependence of (51)V A(z) value on the aromatic ring orientation of V(IV)O(2+) pyridine complexes.; Angiotensin I converting enzyme inhibitory peptides produced by autolysis reactions from wheat bran.; QSAR study on angiotensin-converting enzyme inhibitor oligopeptides based on a novel set of sequence information descriptors.; Antihypertensive peptides from food proteins: a review.; Review on the angiotensin-I-converting enzyme (ACE) inhibitor peptides from marine proteins.; Vegetable foods: a cheap source of proteins and peptides with antihypertensive, antioxidant, and other less occurrence bioactivities.;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 Novel probiotic-fermented milk with angiotensin I-converting enzyme inhibitory peptides produced by Bifidobacterium bifidum MF 20/5.; Isolation and characterization of peptides with antihypertensive activity in foodstuffs.</v>
      </c>
      <c r="E1641" s="1" t="str">
        <f>IFERROR(VLOOKUP(A1641,[1]biopep_DB!$F$2:$L$1654,6,0),0)</f>
        <v>10.1271/bbb.58.1767; 10.1038/sj.jhh.1001065; 10.1021/jf020482t; 10.1016/j.jnutbio.2003.11.004; 10.1021/jf051263l; 10.1002/psc.800; 10.1002/psc.892; 10.1021/jf072911z; 10.1021/ic9001779; 10.1021/jf900857w; 10.1007/s00894-010-0862-x; 10.1039/c2fo10192k; 10.1007/s12010-012-0024-y; 10.1016/j.talanta.2012.12.041; 10.1016/j.jprot.2013.06.023; 10.1016/j.foodchem.2013.05.140; 10.1016/j.ijfoodmicro.2013.09.002; 10.1080/10408398.2012.664829</v>
      </c>
      <c r="F1641" s="1" t="str">
        <f>IFERROR(VLOOKUP(A1641,[1]biopep_DB!$F$2:$L$1654,7,0),0)</f>
        <v>7765503 10962520 12358510 15135150 16448176 17117396 17654623 18211015 19449891 19572648 20941517 22249830 23271625 23598136 23806758 23871047 24135669 24915368</v>
      </c>
      <c r="G1641" s="5">
        <v>280.32</v>
      </c>
      <c r="H1641" s="5">
        <v>5.49</v>
      </c>
      <c r="I1641" s="5">
        <v>-0.27</v>
      </c>
      <c r="J1641" s="6">
        <v>1.45</v>
      </c>
      <c r="K1641" s="5">
        <v>-32.7</v>
      </c>
      <c r="L1641" s="6">
        <v>0.5</v>
      </c>
      <c r="M1641" s="6">
        <v>-1.95</v>
      </c>
      <c r="N1641" s="6">
        <v>0</v>
      </c>
      <c r="O1641" s="6">
        <v>0</v>
      </c>
      <c r="P1641" s="6">
        <v>1</v>
      </c>
      <c r="Q1641" s="7"/>
      <c r="R1641" s="7"/>
    </row>
    <row r="1642" spans="1:18">
      <c r="A1642" s="4" t="s">
        <v>2202</v>
      </c>
      <c r="B1642" s="4">
        <f t="shared" si="25"/>
        <v>4</v>
      </c>
      <c r="C1642" s="4" t="s">
        <v>2203</v>
      </c>
      <c r="D1642" s="1" t="str">
        <f>IFERROR(VLOOKUP(A1642,[1]biopep_DB!$F$2:$J$1654,5,0),)</f>
        <v>Review on the angiotensin-I-converting enzyme (ACE) inhibitor peptides from marine proteins.; What are the ideal properties for functional food peptides with antihypertensive effect? A computational peptidology approach.</v>
      </c>
      <c r="E1642" s="1" t="str">
        <f>IFERROR(VLOOKUP(A1642,[1]biopep_DB!$F$2:$L$1654,6,0),0)</f>
        <v>10.1007/s12010-012-0024-y; 10.1016/j.foodchem.2013.05.140</v>
      </c>
      <c r="F1642" s="1" t="str">
        <f>IFERROR(VLOOKUP(A1642,[1]biopep_DB!$F$2:$L$1654,7,0),0)</f>
        <v>23271625 23871047</v>
      </c>
      <c r="G1642" s="5">
        <v>448.51</v>
      </c>
      <c r="H1642" s="5">
        <v>5.49</v>
      </c>
      <c r="I1642" s="5">
        <v>-0.27</v>
      </c>
      <c r="J1642" s="6">
        <v>0.775</v>
      </c>
      <c r="K1642" s="5">
        <v>96</v>
      </c>
      <c r="L1642" s="6">
        <v>0.75</v>
      </c>
      <c r="M1642" s="6">
        <v>-1.4275</v>
      </c>
      <c r="N1642" s="6">
        <v>0.25</v>
      </c>
      <c r="O1642" s="6">
        <v>0.25</v>
      </c>
      <c r="P1642" s="6">
        <v>0.5</v>
      </c>
      <c r="Q1642" s="7"/>
      <c r="R1642" s="7"/>
    </row>
    <row r="1643" spans="1:18">
      <c r="A1643" s="4" t="s">
        <v>2204</v>
      </c>
      <c r="B1643" s="4">
        <f t="shared" si="25"/>
        <v>5</v>
      </c>
      <c r="C1643" s="4" t="s">
        <v>31</v>
      </c>
      <c r="D1643" s="1" t="str">
        <f>IFERROR(VLOOKUP(A1643,[1]biopep_DB!$F$2:$J$1654,5,0),)</f>
        <v/>
      </c>
      <c r="E1643" s="1" t="str">
        <f>IFERROR(VLOOKUP(A1643,[1]biopep_DB!$F$2:$L$1654,6,0),0)</f>
        <v/>
      </c>
      <c r="F1643" s="1" t="str">
        <f>IFERROR(VLOOKUP(A1643,[1]biopep_DB!$F$2:$L$1654,7,0),0)</f>
        <v/>
      </c>
      <c r="G1643" s="5">
        <v>659.73</v>
      </c>
      <c r="H1643" s="5">
        <v>5.24</v>
      </c>
      <c r="I1643" s="5">
        <v>-1.18</v>
      </c>
      <c r="J1643" s="6">
        <v>0</v>
      </c>
      <c r="K1643" s="5">
        <v>17.6</v>
      </c>
      <c r="L1643" s="6">
        <v>0.4</v>
      </c>
      <c r="M1643" s="6">
        <v>-1.238</v>
      </c>
      <c r="N1643" s="6">
        <v>0.4</v>
      </c>
      <c r="O1643" s="6">
        <v>0</v>
      </c>
      <c r="P1643" s="6">
        <v>0.6</v>
      </c>
      <c r="Q1643" s="7"/>
      <c r="R1643" s="7"/>
    </row>
    <row r="1644" spans="1:18">
      <c r="A1644" s="4" t="s">
        <v>2205</v>
      </c>
      <c r="B1644" s="4">
        <f t="shared" si="25"/>
        <v>6</v>
      </c>
      <c r="C1644" s="4"/>
      <c r="D1644" s="1" t="str">
        <f>IFERROR(VLOOKUP(A1644,[1]biopep_DB!$F$2:$J$1654,5,0),)</f>
        <v>Angiotensin II and its heptapeptide (2-8), hexapeptide (3-8), and pentapeptide (4-8) metabolites in arterial and venous blood of man.</v>
      </c>
      <c r="E1644" s="1" t="str">
        <f>IFERROR(VLOOKUP(A1644,[1]biopep_DB!$F$2:$L$1654,6,0),0)</f>
        <v>10.1161/01.res.39.5.671</v>
      </c>
      <c r="F1644" s="1" t="str">
        <f>IFERROR(VLOOKUP(A1644,[1]biopep_DB!$F$2:$L$1654,7,0),0)</f>
        <v>975455</v>
      </c>
      <c r="G1644" s="5">
        <v>774.91</v>
      </c>
      <c r="H1644" s="5">
        <v>6.71</v>
      </c>
      <c r="I1644" s="5">
        <v>-0.18</v>
      </c>
      <c r="J1644" s="6">
        <v>0.9</v>
      </c>
      <c r="K1644" s="5">
        <v>43.63</v>
      </c>
      <c r="L1644" s="6">
        <v>0.6667</v>
      </c>
      <c r="M1644" s="6">
        <v>-1.8017</v>
      </c>
      <c r="N1644" s="6">
        <v>0</v>
      </c>
      <c r="O1644" s="6">
        <v>0.1667</v>
      </c>
      <c r="P1644" s="6">
        <v>0.6667</v>
      </c>
      <c r="Q1644" s="7"/>
      <c r="R1644" s="7"/>
    </row>
    <row r="1645" spans="1:18">
      <c r="A1645" s="4" t="s">
        <v>2206</v>
      </c>
      <c r="B1645" s="4">
        <f t="shared" si="25"/>
        <v>8</v>
      </c>
      <c r="C1645" s="4"/>
      <c r="G1645" s="5">
        <v>991.14</v>
      </c>
      <c r="H1645" s="5">
        <v>5.24</v>
      </c>
      <c r="I1645" s="5">
        <v>-1.18</v>
      </c>
      <c r="J1645" s="6">
        <v>1.05</v>
      </c>
      <c r="K1645" s="5">
        <v>-13.64</v>
      </c>
      <c r="L1645" s="6">
        <v>0.625</v>
      </c>
      <c r="M1645" s="6">
        <v>-1.9875</v>
      </c>
      <c r="N1645" s="6">
        <v>0.5</v>
      </c>
      <c r="O1645" s="6">
        <v>0</v>
      </c>
      <c r="P1645" s="6">
        <v>0.625</v>
      </c>
      <c r="Q1645" s="7"/>
      <c r="R1645" s="7"/>
    </row>
    <row r="1646" spans="1:18">
      <c r="A1646" s="4" t="s">
        <v>2207</v>
      </c>
      <c r="B1646" s="4">
        <f t="shared" si="25"/>
        <v>5</v>
      </c>
      <c r="C1646" s="4" t="s">
        <v>31</v>
      </c>
      <c r="D1646" s="1" t="str">
        <f>IFERROR(VLOOKUP(A1646,[1]biopep_DB!$F$2:$J$1654,5,0),)</f>
        <v/>
      </c>
      <c r="E1646" s="1" t="str">
        <f>IFERROR(VLOOKUP(A1646,[1]biopep_DB!$F$2:$L$1654,6,0),0)</f>
        <v/>
      </c>
      <c r="F1646" s="1" t="str">
        <f>IFERROR(VLOOKUP(A1646,[1]biopep_DB!$F$2:$L$1654,7,0),0)</f>
        <v/>
      </c>
      <c r="G1646" s="5">
        <v>618.72</v>
      </c>
      <c r="H1646" s="5">
        <v>5.49</v>
      </c>
      <c r="I1646" s="5">
        <v>-0.27</v>
      </c>
      <c r="J1646" s="6">
        <v>0.32</v>
      </c>
      <c r="K1646" s="5">
        <v>69.96</v>
      </c>
      <c r="L1646" s="6">
        <v>0.6</v>
      </c>
      <c r="M1646" s="6">
        <v>-1.492</v>
      </c>
      <c r="N1646" s="6">
        <v>0.2</v>
      </c>
      <c r="O1646" s="6">
        <v>0.2</v>
      </c>
      <c r="P1646" s="6">
        <v>0.6</v>
      </c>
      <c r="Q1646" s="7"/>
      <c r="R1646" s="7"/>
    </row>
    <row r="1647" spans="1:18">
      <c r="A1647" s="4" t="s">
        <v>2208</v>
      </c>
      <c r="B1647" s="4">
        <f t="shared" si="25"/>
        <v>9</v>
      </c>
      <c r="C1647" s="4" t="s">
        <v>2209</v>
      </c>
      <c r="D1647" s="1" t="str">
        <f>IFERROR(VLOOKUP(A1647,[1]biopep_DB!$F$2:$J$1654,5,0),)</f>
        <v>A new QSAR model, for angiotensin I-converting enzyme inhibitory oligopeptides.</v>
      </c>
      <c r="E1647" s="1" t="str">
        <f>IFERROR(VLOOKUP(A1647,[1]biopep_DB!$F$2:$L$1654,6,0),0)</f>
        <v>10.1016/j.foodchem.2012.09.092</v>
      </c>
      <c r="F1647" s="1" t="str">
        <f>IFERROR(VLOOKUP(A1647,[1]biopep_DB!$F$2:$L$1654,7,0),0)</f>
        <v>23194537</v>
      </c>
      <c r="G1647" s="5">
        <v>959.05</v>
      </c>
      <c r="H1647" s="5">
        <v>4.05</v>
      </c>
      <c r="I1647" s="5">
        <v>-1.26</v>
      </c>
      <c r="J1647" s="6">
        <v>-0.2333</v>
      </c>
      <c r="K1647" s="5">
        <v>64.71</v>
      </c>
      <c r="L1647" s="6">
        <v>0.5556</v>
      </c>
      <c r="M1647" s="6">
        <v>-0.9233</v>
      </c>
      <c r="N1647" s="6">
        <v>0.3333</v>
      </c>
      <c r="O1647" s="6">
        <v>0.4444</v>
      </c>
      <c r="P1647" s="6">
        <v>0.3333</v>
      </c>
      <c r="Q1647" s="7"/>
      <c r="R1647" s="7"/>
    </row>
    <row r="1648" spans="1:18">
      <c r="A1648" s="4" t="s">
        <v>2210</v>
      </c>
      <c r="B1648" s="4">
        <f t="shared" si="25"/>
        <v>3</v>
      </c>
      <c r="C1648" s="4" t="s">
        <v>36</v>
      </c>
      <c r="D1648" s="1" t="str">
        <f>IFERROR(VLOOKUP(A1648,[1]biopep_DB!$F$2:$J$1654,5,0),)</f>
        <v>Inhibition of angiotensin-converting enzyme by synthetic peptide fragments of various beta-caseins.; Structural analysis of new antihypertensive peptides derived from cheese whey protein by proteinase K digestion.; Quantitative structure-activity relationship study of bitter di- and tri-peptides including relationship with angiotensin I-converting enzyme inhibitory activity.; Bioactive peptides in amaranth (Amaranthus hypochondriacus) seed.; Evaluation of the allergenicity of goat milk, cow milk, and their lactosera in a guinea pig model.; QSAR study on angiotensin-converting enzyme inhibitor oligopeptides based on a novel set of sequence information descriptors.; Antihypertensive peptides: production, bioavailability and incorporation into foods.; Antihypertensive peptides from food proteins: a review.; What are the ideal properties for functional food peptides with antihypertensive effect? A computational peptidology approach.; Isolation and characterization of peptides with antihypertensive activity in foodstuffs.</v>
      </c>
      <c r="E1648" s="1" t="str">
        <f>IFERROR(VLOOKUP(A1648,[1]biopep_DB!$F$2:$L$1654,6,0),0)</f>
        <v>10.3168/jds.S0022-0302(98)75878-3; 10.1002/psc.800; 10.1021/jf072911z; 10.3168/jds.2008-1125; 10.1007/s00894-010-0862-x; 10.1016/j.cis.2010.11.001; 10.1039/c2fo10192k; 10.1016/j.foodchem.2013.05.140; 10.1080/10408398.2012.664829</v>
      </c>
      <c r="F1648" s="1" t="str">
        <f>IFERROR(VLOOKUP(A1648,[1]biopep_DB!$F$2:$L$1654,7,0),0)</f>
        <v>1368548 9891260 17117396 18211015 19233776 20941517 21185549 22249830 23871047 24915368</v>
      </c>
      <c r="G1648" s="5">
        <v>377.43</v>
      </c>
      <c r="H1648" s="5">
        <v>5.49</v>
      </c>
      <c r="I1648" s="5">
        <v>-0.27</v>
      </c>
      <c r="J1648" s="6">
        <v>0.4333</v>
      </c>
      <c r="K1648" s="5">
        <v>22.67</v>
      </c>
      <c r="L1648" s="6">
        <v>0.6667</v>
      </c>
      <c r="M1648" s="6">
        <v>-1.3</v>
      </c>
      <c r="N1648" s="6">
        <v>0</v>
      </c>
      <c r="O1648" s="6">
        <v>0.3333</v>
      </c>
      <c r="P1648" s="6">
        <v>0.6667</v>
      </c>
      <c r="Q1648" s="7"/>
      <c r="R1648" s="7"/>
    </row>
    <row r="1649" spans="1:18">
      <c r="A1649" s="4" t="s">
        <v>2211</v>
      </c>
      <c r="B1649" s="4">
        <f t="shared" si="25"/>
        <v>6</v>
      </c>
      <c r="C1649" s="4" t="s">
        <v>2212</v>
      </c>
      <c r="D1649" s="1" t="str">
        <f>IFERROR(VLOOKUP(A1649,[1]biopep_DB!$F$2:$J$1654,5,0),)</f>
        <v>Structural analysis of new antihypertensive peptides derived from cheese whey protein by proteinase K digestion.; Evaluation of the allergenicity of goat milk, cow milk, and their lactosera in a guinea pig model.; Antihypertensive peptides: production, bioavailability and incorporation into foods.; Antihypertensive peptides from food proteins: a review.; Characterisation of a new antihypertensive angiotensin I-converting enzyme inhibitory peptide from Pleurotus cornucopiae.; A new QSAR model, for angiotensin I-converting enzyme inhibitory oligopeptides.; Isolation and characterization of peptides with antihypertensive activity in foodstuffs.</v>
      </c>
      <c r="E1649" s="1" t="str">
        <f>IFERROR(VLOOKUP(A1649,[1]biopep_DB!$F$2:$L$1654,6,0),0)</f>
        <v>10.3168/jds.S0022-0302(98)75878-3; 10.3168/jds.2008-1125; 10.1016/j.cis.2010.11.001; 10.1039/c2fo10192k; 10.1016/j.foodchem.2011.01.010; 10.1016/j.foodchem.2012.09.092; 10.1080/10408398.2012.664829</v>
      </c>
      <c r="F1649" s="1" t="str">
        <f>IFERROR(VLOOKUP(A1649,[1]biopep_DB!$F$2:$L$1654,7,0),0)</f>
        <v>9891260 19233776 21185549 22249830 23140680 23194537 24915368</v>
      </c>
      <c r="G1649" s="5">
        <v>678.77</v>
      </c>
      <c r="H1649" s="5">
        <v>5.49</v>
      </c>
      <c r="I1649" s="5">
        <v>-0.27</v>
      </c>
      <c r="J1649" s="6">
        <v>0.35</v>
      </c>
      <c r="K1649" s="5">
        <v>80.53</v>
      </c>
      <c r="L1649" s="6">
        <v>0.6667</v>
      </c>
      <c r="M1649" s="6">
        <v>-1.3033</v>
      </c>
      <c r="N1649" s="6">
        <v>0</v>
      </c>
      <c r="O1649" s="6">
        <v>0.5</v>
      </c>
      <c r="P1649" s="6">
        <v>0.5</v>
      </c>
      <c r="Q1649" s="7"/>
      <c r="R1649" s="7"/>
    </row>
    <row r="1650" spans="1:18">
      <c r="A1650" s="4" t="s">
        <v>2213</v>
      </c>
      <c r="B1650" s="4">
        <f t="shared" si="25"/>
        <v>8</v>
      </c>
      <c r="C1650" s="4" t="s">
        <v>190</v>
      </c>
      <c r="D1650" s="1" t="str">
        <f>IFERROR(VLOOKUP(A1650,[1]biopep_DB!$F$2:$J$1654,5,0),)</f>
        <v/>
      </c>
      <c r="E1650" s="1" t="str">
        <f>IFERROR(VLOOKUP(A1650,[1]biopep_DB!$F$2:$L$1654,6,0),0)</f>
        <v/>
      </c>
      <c r="F1650" s="1" t="str">
        <f>IFERROR(VLOOKUP(A1650,[1]biopep_DB!$F$2:$L$1654,7,0),0)</f>
        <v/>
      </c>
      <c r="G1650" s="5">
        <v>889.05</v>
      </c>
      <c r="H1650" s="5">
        <v>5.49</v>
      </c>
      <c r="I1650" s="5">
        <v>-0.27</v>
      </c>
      <c r="J1650" s="6">
        <v>0.625</v>
      </c>
      <c r="K1650" s="5">
        <v>62.9</v>
      </c>
      <c r="L1650" s="6">
        <v>0.75</v>
      </c>
      <c r="M1650" s="6">
        <v>-1.5925</v>
      </c>
      <c r="N1650" s="6">
        <v>0</v>
      </c>
      <c r="O1650" s="6">
        <v>0.5</v>
      </c>
      <c r="P1650" s="6">
        <v>0.5</v>
      </c>
      <c r="Q1650" s="7"/>
      <c r="R1650" s="7"/>
    </row>
    <row r="1651" spans="1:18">
      <c r="A1651" s="4" t="s">
        <v>2214</v>
      </c>
      <c r="B1651" s="4">
        <f t="shared" si="25"/>
        <v>22</v>
      </c>
      <c r="C1651" s="4"/>
      <c r="D1651" s="1" t="str">
        <f>IFERROR(VLOOKUP(A1651,[1]biopep_DB!$F$2:$J$1654,5,0),)</f>
        <v/>
      </c>
      <c r="E1651" s="1" t="str">
        <f>IFERROR(VLOOKUP(A1651,[1]biopep_DB!$F$2:$L$1654,6,0),0)</f>
        <v/>
      </c>
      <c r="F1651" s="1" t="str">
        <f>IFERROR(VLOOKUP(A1651,[1]biopep_DB!$F$2:$L$1654,7,0),0)</f>
        <v/>
      </c>
      <c r="G1651" s="5">
        <v>2430.75</v>
      </c>
      <c r="H1651" s="5">
        <v>6.71</v>
      </c>
      <c r="I1651" s="5">
        <v>-0.18</v>
      </c>
      <c r="J1651" s="6">
        <v>-0.3227</v>
      </c>
      <c r="K1651" s="5">
        <v>87.11</v>
      </c>
      <c r="L1651" s="6">
        <v>0.5455</v>
      </c>
      <c r="M1651" s="6">
        <v>-0.8723</v>
      </c>
      <c r="N1651" s="6">
        <v>0.0909</v>
      </c>
      <c r="O1651" s="6">
        <v>0.4545</v>
      </c>
      <c r="P1651" s="6">
        <v>0.4091</v>
      </c>
      <c r="Q1651" s="7"/>
      <c r="R1651" s="7"/>
    </row>
    <row r="1652" spans="1:18">
      <c r="A1652" s="4" t="s">
        <v>2215</v>
      </c>
      <c r="B1652" s="4">
        <f t="shared" si="25"/>
        <v>12</v>
      </c>
      <c r="C1652" s="4"/>
      <c r="D1652" s="1" t="str">
        <f>IFERROR(VLOOKUP(A1652,[1]biopep_DB!$F$2:$J$1654,5,0),)</f>
        <v/>
      </c>
      <c r="E1652" s="1" t="str">
        <f>IFERROR(VLOOKUP(A1652,[1]biopep_DB!$F$2:$L$1654,6,0),0)</f>
        <v/>
      </c>
      <c r="F1652" s="1" t="str">
        <f>IFERROR(VLOOKUP(A1652,[1]biopep_DB!$F$2:$L$1654,7,0),0)</f>
        <v/>
      </c>
      <c r="G1652" s="5">
        <v>1300.5</v>
      </c>
      <c r="H1652" s="5">
        <v>5.49</v>
      </c>
      <c r="I1652" s="5">
        <v>-0.27</v>
      </c>
      <c r="J1652" s="6">
        <v>0.2417</v>
      </c>
      <c r="K1652" s="5">
        <v>42.87</v>
      </c>
      <c r="L1652" s="6">
        <v>0.6667</v>
      </c>
      <c r="M1652" s="6">
        <v>-1.2667</v>
      </c>
      <c r="N1652" s="6">
        <v>0.0833</v>
      </c>
      <c r="O1652" s="6">
        <v>0.5833</v>
      </c>
      <c r="P1652" s="6">
        <v>0.4167</v>
      </c>
      <c r="Q1652" s="7"/>
      <c r="R1652" s="7"/>
    </row>
    <row r="1653" spans="1:18">
      <c r="A1653" s="4" t="s">
        <v>2216</v>
      </c>
      <c r="B1653" s="4">
        <f t="shared" si="25"/>
        <v>5</v>
      </c>
      <c r="C1653" s="4" t="s">
        <v>2217</v>
      </c>
      <c r="D1653" s="1" t="str">
        <f>IFERROR(VLOOKUP(A1653,[1]biopep_DB!$F$2:$J$1654,5,0),)</f>
        <v>A new QSAR model, for angiotensin I-converting enzyme inhibitory oligopeptides.</v>
      </c>
      <c r="E1653" s="1" t="str">
        <f>IFERROR(VLOOKUP(A1653,[1]biopep_DB!$F$2:$L$1654,6,0),0)</f>
        <v>10.1016/j.foodchem.2012.09.092</v>
      </c>
      <c r="F1653" s="1" t="str">
        <f>IFERROR(VLOOKUP(A1653,[1]biopep_DB!$F$2:$L$1654,7,0),0)</f>
        <v>23194537</v>
      </c>
      <c r="G1653" s="5">
        <v>642.75</v>
      </c>
      <c r="H1653" s="5">
        <v>8.57</v>
      </c>
      <c r="I1653" s="5">
        <v>0.82</v>
      </c>
      <c r="J1653" s="6">
        <v>-1.16</v>
      </c>
      <c r="K1653" s="5">
        <v>64.96</v>
      </c>
      <c r="L1653" s="6">
        <v>0.4</v>
      </c>
      <c r="M1653" s="6">
        <v>-0.266</v>
      </c>
      <c r="N1653" s="6">
        <v>0.2</v>
      </c>
      <c r="O1653" s="6">
        <v>0.2</v>
      </c>
      <c r="P1653" s="6">
        <v>0.4</v>
      </c>
      <c r="Q1653" s="7"/>
      <c r="R1653" s="7"/>
    </row>
    <row r="1654" spans="1:18">
      <c r="A1654" s="4" t="s">
        <v>2218</v>
      </c>
      <c r="B1654" s="4">
        <f t="shared" si="25"/>
        <v>11</v>
      </c>
      <c r="C1654" s="4"/>
      <c r="D1654" s="1" t="str">
        <f>IFERROR(VLOOKUP(A1654,[1]biopep_DB!$F$2:$J$1654,5,0),)</f>
        <v/>
      </c>
      <c r="E1654" s="1" t="str">
        <f>IFERROR(VLOOKUP(A1654,[1]biopep_DB!$F$2:$L$1654,6,0),0)</f>
        <v/>
      </c>
      <c r="F1654" s="1" t="str">
        <f>IFERROR(VLOOKUP(A1654,[1]biopep_DB!$F$2:$L$1654,7,0),0)</f>
        <v/>
      </c>
      <c r="G1654" s="5">
        <v>1303.46</v>
      </c>
      <c r="H1654" s="5">
        <v>4.52</v>
      </c>
      <c r="I1654" s="5">
        <v>-2.25</v>
      </c>
      <c r="J1654" s="6">
        <v>-0.6727</v>
      </c>
      <c r="K1654" s="5">
        <v>33.1</v>
      </c>
      <c r="L1654" s="6">
        <v>0.4545</v>
      </c>
      <c r="M1654" s="6">
        <v>-0.5545</v>
      </c>
      <c r="N1654" s="6">
        <v>0.4545</v>
      </c>
      <c r="O1654" s="6">
        <v>0.1818</v>
      </c>
      <c r="P1654" s="6">
        <v>0.4545</v>
      </c>
      <c r="Q1654" s="7"/>
      <c r="R1654" s="7"/>
    </row>
    <row r="1655" spans="1:18">
      <c r="A1655" s="4" t="s">
        <v>2219</v>
      </c>
      <c r="B1655" s="4">
        <f t="shared" si="25"/>
        <v>2</v>
      </c>
      <c r="C1655" s="4" t="s">
        <v>36</v>
      </c>
      <c r="D1655" s="1" t="str">
        <f>IFERROR(VLOOKUP(A1655,[1]biopep_DB!$F$2:$J$1654,5,0),)</f>
        <v>Structural requirements of Angiotensin I-converting enzyme inhibitory peptides: quantitative structure-activity relationship study of di- and tripeptides.; Review on the angiotensin-I-converting enzyme (ACE) inhibitor peptides from marine proteins.; What are the ideal properties for functional food peptides with antihypertensive effect? A computational peptidology approach.; Isolation and characterization of peptides with antihypertensive activity in foodstuffs.</v>
      </c>
      <c r="E1655" s="1" t="str">
        <f>IFERROR(VLOOKUP(A1655,[1]biopep_DB!$F$2:$L$1654,6,0),0)</f>
        <v>10.1021/jf051263l; 10.1007/s12010-012-0024-y; 10.1016/j.foodchem.2013.05.140; 10.1080/10408398.2012.664829</v>
      </c>
      <c r="F1655" s="1" t="str">
        <f>IFERROR(VLOOKUP(A1655,[1]biopep_DB!$F$2:$L$1654,7,0),0)</f>
        <v>16448176 23271625 23871047 24915368</v>
      </c>
      <c r="G1655" s="5">
        <v>275.3</v>
      </c>
      <c r="H1655" s="5">
        <v>5.53</v>
      </c>
      <c r="I1655" s="5">
        <v>-0.24</v>
      </c>
      <c r="J1655" s="6">
        <v>0.45</v>
      </c>
      <c r="K1655" s="5">
        <v>-70.15</v>
      </c>
      <c r="L1655" s="6">
        <v>1</v>
      </c>
      <c r="M1655" s="6">
        <v>-2.07</v>
      </c>
      <c r="N1655" s="6">
        <v>0.5</v>
      </c>
      <c r="O1655" s="6">
        <v>0</v>
      </c>
      <c r="P1655" s="6">
        <v>0.5</v>
      </c>
      <c r="Q1655" s="7"/>
      <c r="R1655" s="7"/>
    </row>
    <row r="1656" spans="1:18">
      <c r="A1656" s="4" t="s">
        <v>2220</v>
      </c>
      <c r="B1656" s="4">
        <f t="shared" si="25"/>
        <v>3</v>
      </c>
      <c r="C1656" s="4"/>
      <c r="D1656" s="1" t="str">
        <f>IFERROR(VLOOKUP(A1656,[1]biopep_DB!$F$2:$J$1654,5,0),)</f>
        <v/>
      </c>
      <c r="E1656" s="1" t="str">
        <f>IFERROR(VLOOKUP(A1656,[1]biopep_DB!$F$2:$L$1654,6,0),0)</f>
        <v/>
      </c>
      <c r="F1656" s="1" t="str">
        <f>IFERROR(VLOOKUP(A1656,[1]biopep_DB!$F$2:$L$1654,7,0),0)</f>
        <v/>
      </c>
      <c r="G1656" s="5">
        <v>372.42</v>
      </c>
      <c r="H1656" s="5">
        <v>5.53</v>
      </c>
      <c r="I1656" s="5">
        <v>-0.24</v>
      </c>
      <c r="J1656" s="6">
        <v>-0.2333</v>
      </c>
      <c r="K1656" s="5">
        <v>20.77</v>
      </c>
      <c r="L1656" s="6">
        <v>1</v>
      </c>
      <c r="M1656" s="6">
        <v>-1.38</v>
      </c>
      <c r="N1656" s="6">
        <v>0.3333</v>
      </c>
      <c r="O1656" s="6">
        <v>0.3333</v>
      </c>
      <c r="P1656" s="6">
        <v>0.3333</v>
      </c>
      <c r="Q1656" s="7"/>
      <c r="R1656" s="7"/>
    </row>
    <row r="1657" spans="1:18">
      <c r="A1657" s="4" t="s">
        <v>2221</v>
      </c>
      <c r="B1657" s="4">
        <f t="shared" si="25"/>
        <v>2</v>
      </c>
      <c r="C1657" s="4"/>
      <c r="D1657" s="1" t="str">
        <f>IFERROR(VLOOKUP(A1657,[1]biopep_DB!$F$2:$J$1654,5,0),)</f>
        <v>Three-dimensional holograph vector of atomic interaction field (3D-HoVAIF): a novel rotation-translation invariant 3D structure descriptor and its applications to peptides.</v>
      </c>
      <c r="E1657" s="1" t="str">
        <f>IFERROR(VLOOKUP(A1657,[1]biopep_DB!$F$2:$L$1654,6,0),0)</f>
        <v>10.1002/psc.892</v>
      </c>
      <c r="F1657" s="1" t="str">
        <f>IFERROR(VLOOKUP(A1657,[1]biopep_DB!$F$2:$L$1654,7,0),0)</f>
        <v>17654623</v>
      </c>
      <c r="G1657" s="5">
        <v>333.34</v>
      </c>
      <c r="H1657" s="5">
        <v>4.6</v>
      </c>
      <c r="I1657" s="5">
        <v>-1.23</v>
      </c>
      <c r="J1657" s="6">
        <v>-2.2</v>
      </c>
      <c r="K1657" s="5">
        <v>5</v>
      </c>
      <c r="L1657" s="6">
        <v>0.5</v>
      </c>
      <c r="M1657" s="6">
        <v>-0.345</v>
      </c>
      <c r="N1657" s="6">
        <v>0.5</v>
      </c>
      <c r="O1657" s="6">
        <v>0</v>
      </c>
      <c r="P1657" s="6">
        <v>0.5</v>
      </c>
      <c r="Q1657" s="7"/>
      <c r="R1657" s="7"/>
    </row>
    <row r="1658" spans="1:18">
      <c r="A1658" s="4" t="s">
        <v>2222</v>
      </c>
      <c r="B1658" s="4">
        <f t="shared" si="25"/>
        <v>2</v>
      </c>
      <c r="C1658" s="4" t="s">
        <v>36</v>
      </c>
      <c r="D1658" s="1" t="str">
        <f>IFERROR(VLOOKUP(A1658,[1]biopep_DB!$F$2:$J$1654,5,0),)</f>
        <v>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1658" s="1" t="str">
        <f>IFERROR(VLOOKUP(A1658,[1]biopep_DB!$F$2:$L$1654,6,0),0)</f>
        <v>10.1021/jf051263l; 10.1002/psc.892; 10.1007/s00894-010-0862-x; 10.1016/j.jprot.2013.06.023; 10.1016/j.foodchem.2013.05.140</v>
      </c>
      <c r="F1658" s="1" t="str">
        <f>IFERROR(VLOOKUP(A1658,[1]biopep_DB!$F$2:$L$1654,7,0),0)</f>
        <v>16448176 17654623 20941517 23806758 23871047</v>
      </c>
      <c r="G1658" s="5">
        <v>261.28</v>
      </c>
      <c r="H1658" s="5">
        <v>5.53</v>
      </c>
      <c r="I1658" s="5">
        <v>-0.24</v>
      </c>
      <c r="J1658" s="6">
        <v>-0.65</v>
      </c>
      <c r="K1658" s="5">
        <v>-46.85</v>
      </c>
      <c r="L1658" s="6">
        <v>0.5</v>
      </c>
      <c r="M1658" s="6">
        <v>-1.635</v>
      </c>
      <c r="N1658" s="6">
        <v>0</v>
      </c>
      <c r="O1658" s="6">
        <v>0.5</v>
      </c>
      <c r="P1658" s="6">
        <v>0.5</v>
      </c>
      <c r="Q1658" s="7"/>
      <c r="R1658" s="7"/>
    </row>
    <row r="1659" spans="1:18">
      <c r="A1659" s="4" t="s">
        <v>2223</v>
      </c>
      <c r="B1659" s="4">
        <f t="shared" si="25"/>
        <v>8</v>
      </c>
      <c r="C1659" s="4"/>
      <c r="G1659" s="5">
        <v>902.96</v>
      </c>
      <c r="H1659" s="5">
        <v>6.92</v>
      </c>
      <c r="I1659" s="5">
        <v>-0.07</v>
      </c>
      <c r="J1659" s="6">
        <v>-1.125</v>
      </c>
      <c r="K1659" s="5">
        <v>-31.39</v>
      </c>
      <c r="L1659" s="6">
        <v>0.375</v>
      </c>
      <c r="M1659" s="6">
        <v>-0.5813</v>
      </c>
      <c r="N1659" s="6">
        <v>0</v>
      </c>
      <c r="O1659" s="6">
        <v>0.5</v>
      </c>
      <c r="P1659" s="6">
        <v>0.25</v>
      </c>
      <c r="Q1659" s="7"/>
      <c r="R1659" s="7"/>
    </row>
    <row r="1660" spans="1:18">
      <c r="A1660" s="4" t="s">
        <v>2224</v>
      </c>
      <c r="B1660" s="4">
        <f t="shared" si="25"/>
        <v>2</v>
      </c>
      <c r="C1660" s="4" t="s">
        <v>125</v>
      </c>
      <c r="D1660" s="1" t="str">
        <f>IFERROR(VLOOKUP(A1660,[1]biopep_DB!$F$2:$J$1654,5,0),)</f>
        <v>Antihypertensive effects of Undaria pinnatifida (wakame) peptide on blood pressure in spontaneously hypertensive rats.</v>
      </c>
      <c r="E1660" s="1" t="str">
        <f>IFERROR(VLOOKUP(A1660,[1]biopep_DB!$F$2:$L$1654,6,0),0)</f>
        <v>10.1016/j.jnutbio.2003.11.004</v>
      </c>
      <c r="F1660" s="1" t="str">
        <f>IFERROR(VLOOKUP(A1660,[1]biopep_DB!$F$2:$L$1654,7,0),0)</f>
        <v>15135150</v>
      </c>
      <c r="G1660" s="5">
        <v>341.36</v>
      </c>
      <c r="H1660" s="5">
        <v>6.74</v>
      </c>
      <c r="I1660" s="5">
        <v>-0.15</v>
      </c>
      <c r="J1660" s="6">
        <v>-2.05</v>
      </c>
      <c r="K1660" s="5">
        <v>123.4</v>
      </c>
      <c r="L1660" s="6">
        <v>0.5</v>
      </c>
      <c r="M1660" s="6">
        <v>-0.67</v>
      </c>
      <c r="N1660" s="6">
        <v>0</v>
      </c>
      <c r="O1660" s="6">
        <v>0</v>
      </c>
      <c r="P1660" s="6">
        <v>0.5</v>
      </c>
      <c r="Q1660" s="7"/>
      <c r="R1660" s="7"/>
    </row>
    <row r="1661" spans="1:18">
      <c r="A1661" s="4" t="s">
        <v>2225</v>
      </c>
      <c r="B1661" s="4">
        <f t="shared" si="25"/>
        <v>5</v>
      </c>
      <c r="C1661" s="4" t="s">
        <v>1057</v>
      </c>
      <c r="D1661" s="1" t="str">
        <f>IFERROR(VLOOKUP(A1661,[1]biopep_DB!$F$2:$J$1654,5,0),)</f>
        <v>A new QSAR model, for angiotensin I-converting enzyme inhibitory oligopeptides.</v>
      </c>
      <c r="E1661" s="1" t="str">
        <f>IFERROR(VLOOKUP(A1661,[1]biopep_DB!$F$2:$L$1654,6,0),0)</f>
        <v>10.1016/j.foodchem.2012.09.092</v>
      </c>
      <c r="F1661" s="1" t="str">
        <f>IFERROR(VLOOKUP(A1661,[1]biopep_DB!$F$2:$L$1654,7,0),0)</f>
        <v>23194537</v>
      </c>
      <c r="G1661" s="5">
        <v>726.78</v>
      </c>
      <c r="H1661" s="5">
        <v>6.92</v>
      </c>
      <c r="I1661" s="5">
        <v>-0.07</v>
      </c>
      <c r="J1661" s="6">
        <v>-1.04</v>
      </c>
      <c r="K1661" s="5">
        <v>64.96</v>
      </c>
      <c r="L1661" s="6">
        <v>0.4</v>
      </c>
      <c r="M1661" s="6">
        <v>-0.614</v>
      </c>
      <c r="N1661" s="6">
        <v>0</v>
      </c>
      <c r="O1661" s="6">
        <v>0</v>
      </c>
      <c r="P1661" s="6">
        <v>0.6</v>
      </c>
      <c r="Q1661" s="7"/>
      <c r="R1661" s="7"/>
    </row>
    <row r="1662" spans="1:18">
      <c r="A1662" s="4" t="s">
        <v>2226</v>
      </c>
      <c r="B1662" s="4">
        <f t="shared" si="25"/>
        <v>2</v>
      </c>
      <c r="C1662" s="4" t="s">
        <v>36</v>
      </c>
      <c r="D1662" s="1" t="str">
        <f>IFERROR(VLOOKUP(A1662,[1]biopep_DB!$F$2:$J$1654,5,0),)</f>
        <v>Angiotensin I-converting enzyme inhibitory peptides isolated from tofuyo fermented soybean food.; Structural requirements of Angiotensin I-converting enzyme inhibitory peptides: quantitative structure-activity relationship study of di- and tripeptides.; Vegetable foods: a cheap source of proteins and peptides with antihypertensive, antioxidant, and other less occurrence bioactivities.; What are the ideal properties for functional food peptides with antihypertensive effect? A computational peptidology approach.; Glycinyl-histidinyl-serine (GHS), a novel rapeseed protein-derived peptide has blood pressure-lowering effect in spontaneously hypertensive rats.</v>
      </c>
      <c r="E1662" s="1" t="str">
        <f>IFERROR(VLOOKUP(A1662,[1]biopep_DB!$F$2:$L$1654,6,0),0)</f>
        <v>10.1271/bbb.67.1278; 10.1021/jf051263l; 10.1016/j.talanta.2012.12.041; 10.1016/j.foodchem.2013.05.140; 10.1021/jf400865m</v>
      </c>
      <c r="F1662" s="1" t="str">
        <f>IFERROR(VLOOKUP(A1662,[1]biopep_DB!$F$2:$L$1654,7,0),0)</f>
        <v>12843654 16448176 23598136 23871047 23919612</v>
      </c>
      <c r="G1662" s="5">
        <v>317.38</v>
      </c>
      <c r="H1662" s="5">
        <v>5.53</v>
      </c>
      <c r="I1662" s="5">
        <v>-0.24</v>
      </c>
      <c r="J1662" s="6">
        <v>1.45</v>
      </c>
      <c r="K1662" s="5">
        <v>66.7</v>
      </c>
      <c r="L1662" s="6">
        <v>1</v>
      </c>
      <c r="M1662" s="6">
        <v>-3.625</v>
      </c>
      <c r="N1662" s="6">
        <v>0.5</v>
      </c>
      <c r="O1662" s="6">
        <v>0</v>
      </c>
      <c r="P1662" s="6">
        <v>1</v>
      </c>
      <c r="Q1662" s="7"/>
      <c r="R1662" s="7"/>
    </row>
    <row r="1663" spans="1:18">
      <c r="A1663" s="4" t="s">
        <v>2227</v>
      </c>
      <c r="B1663" s="4">
        <f t="shared" si="25"/>
        <v>5</v>
      </c>
      <c r="C1663" s="4" t="s">
        <v>389</v>
      </c>
      <c r="D1663" s="1" t="str">
        <f>IFERROR(VLOOKUP(A1663,[1]biopep_DB!$F$2:$J$1654,5,0),)</f>
        <v>Angiotensin I-converting enzyme inhibitory properties of whey protein digests: concentration and characterization of active peptides.; Angiotensin converting enzyme inhibitory peptides derived from food proteins: biochemistry, bioactivity and production.; A new QSAR model, for angiotensin I-converting enzyme inhibitory oligopeptides.</v>
      </c>
      <c r="E1663" s="1" t="str">
        <f>IFERROR(VLOOKUP(A1663,[1]biopep_DB!$F$2:$L$1654,6,0),0)</f>
        <v>10.1017/s0022029999003982; 10.2174/138161207780363068; 10.1016/j.foodchem.2012.09.092</v>
      </c>
      <c r="F1663" s="1" t="str">
        <f>IFERROR(VLOOKUP(A1663,[1]biopep_DB!$F$2:$L$1654,7,0),0)</f>
        <v>10717843 17430180 23194537</v>
      </c>
      <c r="G1663" s="5">
        <v>653.77</v>
      </c>
      <c r="H1663" s="5">
        <v>8.76</v>
      </c>
      <c r="I1663" s="5">
        <v>0.85</v>
      </c>
      <c r="J1663" s="6">
        <v>-0.48</v>
      </c>
      <c r="K1663" s="5">
        <v>63.06</v>
      </c>
      <c r="L1663" s="6">
        <v>0.6</v>
      </c>
      <c r="M1663" s="6">
        <v>-1.298</v>
      </c>
      <c r="N1663" s="6">
        <v>0.6</v>
      </c>
      <c r="O1663" s="6">
        <v>0</v>
      </c>
      <c r="P1663" s="6">
        <v>0.4</v>
      </c>
      <c r="Q1663" s="7"/>
      <c r="R1663" s="7"/>
    </row>
    <row r="1664" spans="1:18">
      <c r="A1664" s="4" t="s">
        <v>2228</v>
      </c>
      <c r="B1664" s="4">
        <f t="shared" si="25"/>
        <v>3</v>
      </c>
      <c r="C1664" s="4" t="s">
        <v>1903</v>
      </c>
      <c r="D1664" s="1" t="str">
        <f>IFERROR(VLOOKUP(A1664,[1]biopep_DB!$F$2:$J$1654,5,0),)</f>
        <v>Inhibition strength of short peptides derived from an ACE inhibitory peptide.</v>
      </c>
      <c r="E1664" s="1" t="str">
        <f>IFERROR(VLOOKUP(A1664,[1]biopep_DB!$F$2:$L$1654,6,0),0)</f>
        <v>10.1021/jf202902r</v>
      </c>
      <c r="F1664" s="1" t="str">
        <f>IFERROR(VLOOKUP(A1664,[1]biopep_DB!$F$2:$L$1654,7,0),0)</f>
        <v>21923188</v>
      </c>
      <c r="G1664" s="5">
        <v>414.5</v>
      </c>
      <c r="H1664" s="5">
        <v>5.53</v>
      </c>
      <c r="I1664" s="5">
        <v>-0.24</v>
      </c>
      <c r="J1664" s="6">
        <v>0.4333</v>
      </c>
      <c r="K1664" s="5">
        <v>112</v>
      </c>
      <c r="L1664" s="6">
        <v>1</v>
      </c>
      <c r="M1664" s="6">
        <v>-2.4167</v>
      </c>
      <c r="N1664" s="6">
        <v>0.3333</v>
      </c>
      <c r="O1664" s="6">
        <v>0.3333</v>
      </c>
      <c r="P1664" s="6">
        <v>0.6667</v>
      </c>
      <c r="Q1664" s="7"/>
      <c r="R1664" s="7"/>
    </row>
    <row r="1665" spans="1:18">
      <c r="A1665" s="4" t="s">
        <v>2229</v>
      </c>
      <c r="B1665" s="4">
        <f t="shared" si="25"/>
        <v>2</v>
      </c>
      <c r="C1665" s="4" t="s">
        <v>36</v>
      </c>
      <c r="D1665" s="1" t="str">
        <f>IFERROR(VLOOKUP(A1665,[1]biopep_DB!$F$2:$J$1654,5,0),)</f>
        <v>Structural requirements of Angiotensin I-converting enzyme inhibitory peptides: quantitative structure-activity relationship study of di- and tripeptides.; Antihypertensive peptides from food proteins: a review.; Review on the angiotensin-I-converting enzyme (ACE) inhibitor peptides from marine proteins.; What are the ideal properties for functional food peptides with antihypertensive effect? A computational peptidology approach.; Isolation and characterization of peptides with antihypertensive activity in foodstuffs.</v>
      </c>
      <c r="E1665" s="1" t="str">
        <f>IFERROR(VLOOKUP(A1665,[1]biopep_DB!$F$2:$L$1654,6,0),0)</f>
        <v>10.1021/jf051263l; 10.1039/c2fo10192k; 10.1007/s12010-012-0024-y; 10.1016/j.foodchem.2013.05.140; 10.1080/10408398.2012.664829</v>
      </c>
      <c r="F1665" s="1" t="str">
        <f>IFERROR(VLOOKUP(A1665,[1]biopep_DB!$F$2:$L$1654,7,0),0)</f>
        <v>16448176 22249830 23271625 23871047 24915368</v>
      </c>
      <c r="G1665" s="5">
        <v>335.42</v>
      </c>
      <c r="H1665" s="5">
        <v>5.53</v>
      </c>
      <c r="I1665" s="5">
        <v>-0.24</v>
      </c>
      <c r="J1665" s="6">
        <v>0.5</v>
      </c>
      <c r="K1665" s="5">
        <v>123.4</v>
      </c>
      <c r="L1665" s="6">
        <v>1</v>
      </c>
      <c r="M1665" s="6">
        <v>-2.34</v>
      </c>
      <c r="N1665" s="6">
        <v>0.5</v>
      </c>
      <c r="O1665" s="6">
        <v>0</v>
      </c>
      <c r="P1665" s="6">
        <v>0.5</v>
      </c>
      <c r="Q1665" s="7"/>
      <c r="R1665" s="7"/>
    </row>
    <row r="1666" spans="1:18">
      <c r="A1666" s="4" t="s">
        <v>2230</v>
      </c>
      <c r="B1666" s="4">
        <f t="shared" si="25"/>
        <v>5</v>
      </c>
      <c r="C1666" s="4"/>
      <c r="D1666" s="1" t="str">
        <f>IFERROR(VLOOKUP(A1666,[1]biopep_DB!$F$2:$J$1654,5,0),)</f>
        <v>Release of angiotensin I-converting enzyme inhibitory peptides from flaxseed (Linum usitatissimum L.) protein under simulated gastrointestinal digestion.</v>
      </c>
      <c r="E1666" s="1" t="str">
        <f>IFERROR(VLOOKUP(A1666,[1]biopep_DB!$F$2:$L$1654,6,0),0)</f>
        <v>10.1021/jf202000e</v>
      </c>
      <c r="F1666" s="1" t="str">
        <f>IFERROR(VLOOKUP(A1666,[1]biopep_DB!$F$2:$L$1654,7,0),0)</f>
        <v>21776963</v>
      </c>
      <c r="G1666" s="5">
        <v>616.67</v>
      </c>
      <c r="H1666" s="5">
        <v>5.53</v>
      </c>
      <c r="I1666" s="5">
        <v>-0.24</v>
      </c>
      <c r="J1666" s="6">
        <v>-0.32</v>
      </c>
      <c r="K1666" s="5">
        <v>120.56</v>
      </c>
      <c r="L1666" s="6">
        <v>0.6</v>
      </c>
      <c r="M1666" s="6">
        <v>-1.164</v>
      </c>
      <c r="N1666" s="6">
        <v>0.2</v>
      </c>
      <c r="O1666" s="6">
        <v>0.4</v>
      </c>
      <c r="P1666" s="6">
        <v>0.4</v>
      </c>
      <c r="Q1666" s="7"/>
      <c r="R1666" s="7"/>
    </row>
    <row r="1667" spans="1:18">
      <c r="A1667" s="4" t="s">
        <v>2231</v>
      </c>
      <c r="B1667" s="4">
        <f t="shared" si="25"/>
        <v>5</v>
      </c>
      <c r="C1667" s="4"/>
      <c r="D1667" s="1" t="str">
        <f>IFERROR(VLOOKUP(A1667,[1]biopep_DB!$F$2:$J$1654,5,0),)</f>
        <v>Release of angiotensin I-converting enzyme inhibitory peptides from flaxseed (Linum usitatissimum L.) protein under simulated gastrointestinal digestion.</v>
      </c>
      <c r="E1667" s="1" t="str">
        <f>IFERROR(VLOOKUP(A1667,[1]biopep_DB!$F$2:$L$1654,6,0),0)</f>
        <v>10.1021/jf202000e</v>
      </c>
      <c r="F1667" s="1" t="str">
        <f>IFERROR(VLOOKUP(A1667,[1]biopep_DB!$F$2:$L$1654,7,0),0)</f>
        <v>21776963</v>
      </c>
      <c r="G1667" s="5">
        <v>616.67</v>
      </c>
      <c r="H1667" s="5">
        <v>5.53</v>
      </c>
      <c r="I1667" s="5">
        <v>-0.24</v>
      </c>
      <c r="J1667" s="6">
        <v>-0.46</v>
      </c>
      <c r="K1667" s="5">
        <v>32.68</v>
      </c>
      <c r="L1667" s="6">
        <v>0.6</v>
      </c>
      <c r="M1667" s="6">
        <v>-1.164</v>
      </c>
      <c r="N1667" s="6">
        <v>0.4</v>
      </c>
      <c r="O1667" s="6">
        <v>0.4</v>
      </c>
      <c r="P1667" s="6">
        <v>0.4</v>
      </c>
      <c r="Q1667" s="7"/>
      <c r="R1667" s="7"/>
    </row>
    <row r="1668" spans="1:18">
      <c r="A1668" s="4" t="s">
        <v>2232</v>
      </c>
      <c r="B1668" s="4">
        <f t="shared" si="25"/>
        <v>2</v>
      </c>
      <c r="C1668" s="4" t="s">
        <v>2233</v>
      </c>
      <c r="D1668" s="1" t="str">
        <f>IFERROR(VLOOKUP(A1668,[1]biopep_DB!$F$2:$J$1654,5,0),)</f>
        <v/>
      </c>
      <c r="E1668" s="1" t="str">
        <f>IFERROR(VLOOKUP(A1668,[1]biopep_DB!$F$2:$L$1654,6,0),0)</f>
        <v/>
      </c>
      <c r="F1668" s="1" t="str">
        <f>IFERROR(VLOOKUP(A1668,[1]biopep_DB!$F$2:$L$1654,7,0),0)</f>
        <v/>
      </c>
      <c r="G1668" s="5">
        <v>301.34</v>
      </c>
      <c r="H1668" s="5">
        <v>5.53</v>
      </c>
      <c r="I1668" s="5">
        <v>-0.24</v>
      </c>
      <c r="J1668" s="6">
        <v>-1.25</v>
      </c>
      <c r="K1668" s="5">
        <v>5</v>
      </c>
      <c r="L1668" s="6">
        <v>1</v>
      </c>
      <c r="M1668" s="6">
        <v>-1.165</v>
      </c>
      <c r="N1668" s="6">
        <v>0</v>
      </c>
      <c r="O1668" s="6">
        <v>0.5</v>
      </c>
      <c r="P1668" s="6">
        <v>0.5</v>
      </c>
      <c r="Q1668" s="7"/>
      <c r="R1668" s="7"/>
    </row>
    <row r="1669" spans="1:18">
      <c r="A1669" s="4" t="s">
        <v>2234</v>
      </c>
      <c r="B1669" s="4">
        <f t="shared" si="25"/>
        <v>13</v>
      </c>
      <c r="C1669" s="4" t="s">
        <v>2235</v>
      </c>
      <c r="D1669" s="1" t="str">
        <f>IFERROR(VLOOKUP(A1669,[1]biopep_DB!$F$2:$J$1654,5,0),)</f>
        <v>Antihypertensive effect of angiotensin i converting enzyme-inhibitory peptide from hydrolysates of Bigeye tuna dark muscle, Thunnus obesus.; Antihypertensive peptides from food proteins: a review.; Review on the angiotensin-I-converting enzyme (ACE) inhibitor peptides from marine proteins.; Isolation and characterization of peptides with antihypertensive activity in foodstuffs.</v>
      </c>
      <c r="E1669" s="1" t="str">
        <f>IFERROR(VLOOKUP(A1669,[1]biopep_DB!$F$2:$L$1654,6,0),0)</f>
        <v>10.1021/jf0710635; 10.1039/c2fo10192k; 10.1007/s12010-012-0024-y; 10.1080/10408398.2012.664829</v>
      </c>
      <c r="F1669" s="1" t="str">
        <f>IFERROR(VLOOKUP(A1669,[1]biopep_DB!$F$2:$L$1654,7,0),0)</f>
        <v>17894458 22249830 23271625 24915368</v>
      </c>
      <c r="G1669" s="5">
        <v>1517.72</v>
      </c>
      <c r="H1669" s="5">
        <v>4.05</v>
      </c>
      <c r="I1669" s="5">
        <v>-4.23</v>
      </c>
      <c r="J1669" s="6">
        <v>-0.2077</v>
      </c>
      <c r="K1669" s="5">
        <v>8.82</v>
      </c>
      <c r="L1669" s="6">
        <v>0.6923</v>
      </c>
      <c r="M1669" s="6">
        <v>-1.0008</v>
      </c>
      <c r="N1669" s="6">
        <v>0.6154</v>
      </c>
      <c r="O1669" s="6">
        <v>0.2308</v>
      </c>
      <c r="P1669" s="6">
        <v>0.2308</v>
      </c>
      <c r="Q1669" s="7"/>
      <c r="R1669" s="7"/>
    </row>
    <row r="1670" spans="1:18">
      <c r="A1670" s="4" t="s">
        <v>2236</v>
      </c>
      <c r="B1670" s="4">
        <f t="shared" ref="B1670:B1733" si="26">LEN(A1670)</f>
        <v>9</v>
      </c>
      <c r="C1670" s="4" t="s">
        <v>2237</v>
      </c>
      <c r="D1670" s="1" t="str">
        <f>IFERROR(VLOOKUP(A1670,[1]biopep_DB!$F$2:$J$1654,5,0),)</f>
        <v>Purification and identification of an ACE inhibitory peptide from walnut protein.</v>
      </c>
      <c r="E1670" s="1" t="str">
        <f>IFERROR(VLOOKUP(A1670,[1]biopep_DB!$F$2:$L$1654,6,0),0)</f>
        <v>10.1021/jf4001378</v>
      </c>
      <c r="F1670" s="1" t="str">
        <f>IFERROR(VLOOKUP(A1670,[1]biopep_DB!$F$2:$L$1654,7,0),0)</f>
        <v>23566262</v>
      </c>
      <c r="G1670" s="5">
        <v>1119.27</v>
      </c>
      <c r="H1670" s="5">
        <v>6</v>
      </c>
      <c r="I1670" s="5">
        <v>-0.24</v>
      </c>
      <c r="J1670" s="6">
        <v>-1.5889</v>
      </c>
      <c r="K1670" s="5">
        <v>89.2</v>
      </c>
      <c r="L1670" s="6">
        <v>0.6667</v>
      </c>
      <c r="M1670" s="6">
        <v>-0.17</v>
      </c>
      <c r="N1670" s="6">
        <v>0.1111</v>
      </c>
      <c r="O1670" s="6">
        <v>0.4444</v>
      </c>
      <c r="P1670" s="6">
        <v>0.2222</v>
      </c>
      <c r="Q1670" s="7"/>
      <c r="R1670" s="7"/>
    </row>
    <row r="1671" spans="1:18">
      <c r="A1671" s="4" t="s">
        <v>2238</v>
      </c>
      <c r="B1671" s="4">
        <f t="shared" si="26"/>
        <v>9</v>
      </c>
      <c r="C1671" s="4"/>
      <c r="D1671" s="1" t="str">
        <f>IFERROR(VLOOKUP(A1671,[1]biopep_DB!$F$2:$J$1654,5,0),)</f>
        <v>Identification of novel bradykinin-potentiating peptides and C-type natriuretic peptide from Lachesis muta venom.</v>
      </c>
      <c r="E1671" s="1" t="str">
        <f>IFERROR(VLOOKUP(A1671,[1]biopep_DB!$F$2:$L$1654,6,0),0)</f>
        <v>10.1016/j.toxicon.2005.03.006</v>
      </c>
      <c r="F1671" s="1" t="str">
        <f>IFERROR(VLOOKUP(A1671,[1]biopep_DB!$F$2:$L$1654,7,0),0)</f>
        <v>15876444</v>
      </c>
      <c r="G1671" s="5">
        <v>1087.27</v>
      </c>
      <c r="H1671" s="5">
        <v>9.75</v>
      </c>
      <c r="I1671" s="5">
        <v>0.76</v>
      </c>
      <c r="J1671" s="6">
        <v>-1.3778</v>
      </c>
      <c r="K1671" s="5">
        <v>82.91</v>
      </c>
      <c r="L1671" s="6">
        <v>0.7778</v>
      </c>
      <c r="M1671" s="6">
        <v>-0.3522</v>
      </c>
      <c r="N1671" s="6">
        <v>0</v>
      </c>
      <c r="O1671" s="6">
        <v>0.5556</v>
      </c>
      <c r="P1671" s="6">
        <v>0.2222</v>
      </c>
      <c r="Q1671" s="7"/>
      <c r="R1671" s="7"/>
    </row>
    <row r="1672" spans="1:18">
      <c r="A1672" s="4" t="s">
        <v>2239</v>
      </c>
      <c r="B1672" s="4">
        <f t="shared" si="26"/>
        <v>2</v>
      </c>
      <c r="C1672" s="4"/>
      <c r="D1672" s="1" t="str">
        <f>IFERROR(VLOOKUP(A1672,[1]biopep_DB!$F$2:$J$1654,5,0),)</f>
        <v/>
      </c>
      <c r="E1672" s="1" t="str">
        <f>IFERROR(VLOOKUP(A1672,[1]biopep_DB!$F$2:$L$1654,6,0),0)</f>
        <v/>
      </c>
      <c r="F1672" s="1" t="str">
        <f>IFERROR(VLOOKUP(A1672,[1]biopep_DB!$F$2:$L$1654,7,0),0)</f>
        <v/>
      </c>
      <c r="G1672" s="5">
        <v>332.35</v>
      </c>
      <c r="H1672" s="5">
        <v>5.53</v>
      </c>
      <c r="I1672" s="5">
        <v>-0.24</v>
      </c>
      <c r="J1672" s="6">
        <v>-2.2</v>
      </c>
      <c r="K1672" s="5">
        <v>5</v>
      </c>
      <c r="L1672" s="6">
        <v>0.5</v>
      </c>
      <c r="M1672" s="6">
        <v>-0.485</v>
      </c>
      <c r="N1672" s="6">
        <v>0</v>
      </c>
      <c r="O1672" s="6">
        <v>0</v>
      </c>
      <c r="P1672" s="6">
        <v>0.5</v>
      </c>
      <c r="Q1672" s="7"/>
      <c r="R1672" s="7"/>
    </row>
    <row r="1673" spans="1:18">
      <c r="A1673" s="4" t="s">
        <v>2240</v>
      </c>
      <c r="B1673" s="4">
        <f t="shared" si="26"/>
        <v>11</v>
      </c>
      <c r="C1673" s="4" t="s">
        <v>2241</v>
      </c>
      <c r="D1673" s="1" t="str">
        <f>IFERROR(VLOOKUP(A1673,[1]biopep_DB!$F$2:$J$1654,5,0),)</f>
        <v>Changes in arterial blood pressure after single oral administration of milk-casein-derived peptides in spontaneously hypertensive rats.; Antihypertensive peptides: production, bioavailability and incorporation into foods.; Antihypertensive peptides from food proteins: a review.</v>
      </c>
      <c r="E1673" s="1" t="str">
        <f>IFERROR(VLOOKUP(A1673,[1]biopep_DB!$F$2:$L$1654,6,0),0)</f>
        <v>10.1002/mnfr.200900448; 10.1016/j.cis.2010.11.001; 10.1039/c2fo10192k</v>
      </c>
      <c r="F1673" s="1" t="str">
        <f>IFERROR(VLOOKUP(A1673,[1]biopep_DB!$F$2:$L$1654,7,0),0)</f>
        <v>20397194 21185549 22249830</v>
      </c>
      <c r="G1673" s="5">
        <v>1222.44</v>
      </c>
      <c r="H1673" s="5">
        <v>8.75</v>
      </c>
      <c r="I1673" s="5">
        <v>0.76</v>
      </c>
      <c r="J1673" s="6">
        <v>0.0727</v>
      </c>
      <c r="K1673" s="5">
        <v>54.76</v>
      </c>
      <c r="L1673" s="6">
        <v>0.7273</v>
      </c>
      <c r="M1673" s="6">
        <v>-1.3082</v>
      </c>
      <c r="N1673" s="6">
        <v>0.3636</v>
      </c>
      <c r="O1673" s="6">
        <v>0.2727</v>
      </c>
      <c r="P1673" s="6">
        <v>0.3636</v>
      </c>
      <c r="Q1673" s="7"/>
      <c r="R1673" s="7"/>
    </row>
    <row r="1674" spans="1:18">
      <c r="A1674" s="4" t="s">
        <v>2242</v>
      </c>
      <c r="B1674" s="4">
        <f t="shared" si="26"/>
        <v>3</v>
      </c>
      <c r="C1674" s="4" t="s">
        <v>31</v>
      </c>
      <c r="D1674" s="1" t="str">
        <f>IFERROR(VLOOKUP(A1674,[1]biopep_DB!$F$2:$J$1654,5,0),)</f>
        <v/>
      </c>
      <c r="E1674" s="1" t="str">
        <f>IFERROR(VLOOKUP(A1674,[1]biopep_DB!$F$2:$L$1654,6,0),0)</f>
        <v/>
      </c>
      <c r="F1674" s="1" t="str">
        <f>IFERROR(VLOOKUP(A1674,[1]biopep_DB!$F$2:$L$1654,7,0),0)</f>
        <v/>
      </c>
      <c r="G1674" s="5">
        <v>518.56</v>
      </c>
      <c r="H1674" s="5">
        <v>5.53</v>
      </c>
      <c r="I1674" s="5">
        <v>-0.24</v>
      </c>
      <c r="J1674" s="6">
        <v>-1.7667</v>
      </c>
      <c r="K1674" s="5">
        <v>6.67</v>
      </c>
      <c r="L1674" s="6">
        <v>0.6667</v>
      </c>
      <c r="M1674" s="6">
        <v>-1.1</v>
      </c>
      <c r="N1674" s="6">
        <v>0</v>
      </c>
      <c r="O1674" s="6">
        <v>0</v>
      </c>
      <c r="P1674" s="6">
        <v>0.6667</v>
      </c>
      <c r="Q1674" s="7"/>
      <c r="R1674" s="7"/>
    </row>
    <row r="1675" spans="1:18">
      <c r="A1675" s="4" t="s">
        <v>2243</v>
      </c>
      <c r="B1675" s="4">
        <f t="shared" si="26"/>
        <v>6</v>
      </c>
      <c r="C1675" s="4" t="s">
        <v>2244</v>
      </c>
      <c r="D1675" s="1" t="str">
        <f>IFERROR(VLOOKUP(A1675,[1]biopep_DB!$F$2:$J$1654,5,0),)</f>
        <v>Effects of angiotensin I-converting enzyme inhibitory substances derived from Indonesian dried-salted fish on blood pressure of rats.; A new QSAR model, for angiotensin I-converting enzyme inhibitory oligopeptides.</v>
      </c>
      <c r="E1675" s="1" t="str">
        <f>IFERROR(VLOOKUP(A1675,[1]biopep_DB!$F$2:$L$1654,6,0),0)</f>
        <v>10.1271/bbb.59.425; 10.1016/j.foodchem.2012.09.092</v>
      </c>
      <c r="F1675" s="1" t="str">
        <f>IFERROR(VLOOKUP(A1675,[1]biopep_DB!$F$2:$L$1654,7,0),0)</f>
        <v>7766180 23194537</v>
      </c>
      <c r="G1675" s="5">
        <v>730.89</v>
      </c>
      <c r="H1675" s="5">
        <v>8.75</v>
      </c>
      <c r="I1675" s="5">
        <v>0.76</v>
      </c>
      <c r="J1675" s="6">
        <v>1.1</v>
      </c>
      <c r="K1675" s="5">
        <v>-5.82</v>
      </c>
      <c r="L1675" s="6">
        <v>0.6667</v>
      </c>
      <c r="M1675" s="6">
        <v>-2.1517</v>
      </c>
      <c r="N1675" s="6">
        <v>0.3333</v>
      </c>
      <c r="O1675" s="6">
        <v>0.1667</v>
      </c>
      <c r="P1675" s="6">
        <v>0.6667</v>
      </c>
      <c r="Q1675" s="7"/>
      <c r="R1675" s="7"/>
    </row>
    <row r="1676" spans="1:18">
      <c r="A1676" s="4" t="s">
        <v>2245</v>
      </c>
      <c r="B1676" s="4">
        <f t="shared" si="26"/>
        <v>7</v>
      </c>
      <c r="C1676" s="4" t="s">
        <v>1514</v>
      </c>
      <c r="D1676" s="1" t="str">
        <f>IFERROR(VLOOKUP(A1676,[1]biopep_DB!$F$2:$J$1654,5,0),)</f>
        <v>A new QSAR model, for angiotensin I-converting enzyme inhibitory oligopeptides.</v>
      </c>
      <c r="E1676" s="1" t="str">
        <f>IFERROR(VLOOKUP(A1676,[1]biopep_DB!$F$2:$L$1654,6,0),0)</f>
        <v>10.1016/j.foodchem.2012.09.092</v>
      </c>
      <c r="F1676" s="1" t="str">
        <f>IFERROR(VLOOKUP(A1676,[1]biopep_DB!$F$2:$L$1654,7,0),0)</f>
        <v>23194537</v>
      </c>
      <c r="G1676" s="5">
        <v>840.97</v>
      </c>
      <c r="H1676" s="5">
        <v>8.75</v>
      </c>
      <c r="I1676" s="5">
        <v>0.76</v>
      </c>
      <c r="J1676" s="6">
        <v>-1.1571</v>
      </c>
      <c r="K1676" s="5">
        <v>91.11</v>
      </c>
      <c r="L1676" s="6">
        <v>0.5714</v>
      </c>
      <c r="M1676" s="6">
        <v>-0.37</v>
      </c>
      <c r="N1676" s="6">
        <v>0.1429</v>
      </c>
      <c r="O1676" s="6">
        <v>0.4286</v>
      </c>
      <c r="P1676" s="6">
        <v>0.2857</v>
      </c>
      <c r="Q1676" s="7"/>
      <c r="R1676" s="7"/>
    </row>
    <row r="1677" spans="1:18">
      <c r="A1677" s="4" t="s">
        <v>2246</v>
      </c>
      <c r="B1677" s="4">
        <f t="shared" si="26"/>
        <v>2</v>
      </c>
      <c r="C1677" s="4" t="s">
        <v>2247</v>
      </c>
      <c r="D1677" s="1" t="str">
        <f>IFERROR(VLOOKUP(A1677,[1]biopep_DB!$F$2:$J$1654,5,0),)</f>
        <v/>
      </c>
      <c r="E1677" s="1" t="str">
        <f>IFERROR(VLOOKUP(A1677,[1]biopep_DB!$F$2:$L$1654,6,0),0)</f>
        <v/>
      </c>
      <c r="F1677" s="1" t="str">
        <f>IFERROR(VLOOKUP(A1677,[1]biopep_DB!$F$2:$L$1654,7,0),0)</f>
        <v/>
      </c>
      <c r="G1677" s="5">
        <v>305.33</v>
      </c>
      <c r="H1677" s="5">
        <v>5.53</v>
      </c>
      <c r="I1677" s="5">
        <v>-0.24</v>
      </c>
      <c r="J1677" s="6">
        <v>-0.8</v>
      </c>
      <c r="K1677" s="5">
        <v>-70.15</v>
      </c>
      <c r="L1677" s="6">
        <v>0.5</v>
      </c>
      <c r="M1677" s="6">
        <v>-1.035</v>
      </c>
      <c r="N1677" s="6">
        <v>0</v>
      </c>
      <c r="O1677" s="6">
        <v>0</v>
      </c>
      <c r="P1677" s="6">
        <v>1</v>
      </c>
      <c r="Q1677" s="7"/>
      <c r="R1677" s="7"/>
    </row>
    <row r="1678" spans="1:18">
      <c r="A1678" s="4" t="s">
        <v>2248</v>
      </c>
      <c r="B1678" s="4">
        <f t="shared" si="26"/>
        <v>2</v>
      </c>
      <c r="C1678" s="4" t="s">
        <v>2249</v>
      </c>
      <c r="D1678" s="1" t="str">
        <f>IFERROR(VLOOKUP(A1678,[1]biopep_DB!$F$2:$J$1654,5,0),)</f>
        <v/>
      </c>
      <c r="E1678" s="1" t="str">
        <f>IFERROR(VLOOKUP(A1678,[1]biopep_DB!$F$2:$L$1654,6,0),0)</f>
        <v/>
      </c>
      <c r="F1678" s="1" t="str">
        <f>IFERROR(VLOOKUP(A1678,[1]biopep_DB!$F$2:$L$1654,7,0),0)</f>
        <v/>
      </c>
      <c r="G1678" s="5">
        <v>303.36</v>
      </c>
      <c r="H1678" s="5">
        <v>5.53</v>
      </c>
      <c r="I1678" s="5">
        <v>-0.24</v>
      </c>
      <c r="J1678" s="6">
        <v>1.65</v>
      </c>
      <c r="K1678" s="5">
        <v>-37.45</v>
      </c>
      <c r="L1678" s="6">
        <v>1</v>
      </c>
      <c r="M1678" s="6">
        <v>-3.185</v>
      </c>
      <c r="N1678" s="6">
        <v>0</v>
      </c>
      <c r="O1678" s="6">
        <v>0</v>
      </c>
      <c r="P1678" s="6">
        <v>1</v>
      </c>
      <c r="Q1678" s="7"/>
      <c r="R1678" s="7"/>
    </row>
    <row r="1679" spans="1:18">
      <c r="A1679" s="4" t="s">
        <v>2250</v>
      </c>
      <c r="B1679" s="4">
        <f t="shared" si="26"/>
        <v>5</v>
      </c>
      <c r="C1679" s="4" t="s">
        <v>2251</v>
      </c>
      <c r="D1679" s="1" t="str">
        <f>IFERROR(VLOOKUP(A1679,[1]biopep_DB!$F$2:$J$1654,5,0),)</f>
        <v/>
      </c>
      <c r="E1679" s="1" t="str">
        <f>IFERROR(VLOOKUP(A1679,[1]biopep_DB!$F$2:$L$1654,6,0),0)</f>
        <v/>
      </c>
      <c r="F1679" s="1" t="str">
        <f>IFERROR(VLOOKUP(A1679,[1]biopep_DB!$F$2:$L$1654,7,0),0)</f>
        <v/>
      </c>
      <c r="G1679" s="5">
        <v>586.68</v>
      </c>
      <c r="H1679" s="5">
        <v>5.53</v>
      </c>
      <c r="I1679" s="5">
        <v>-0.24</v>
      </c>
      <c r="J1679" s="6">
        <v>1.02</v>
      </c>
      <c r="K1679" s="5">
        <v>68.06</v>
      </c>
      <c r="L1679" s="6">
        <v>0.8</v>
      </c>
      <c r="M1679" s="6">
        <v>-1.914</v>
      </c>
      <c r="N1679" s="6">
        <v>0</v>
      </c>
      <c r="O1679" s="6">
        <v>0.4</v>
      </c>
      <c r="P1679" s="6">
        <v>0.6</v>
      </c>
      <c r="Q1679" s="7"/>
      <c r="R1679" s="7"/>
    </row>
    <row r="1680" spans="1:18">
      <c r="A1680" s="4" t="s">
        <v>2252</v>
      </c>
      <c r="B1680" s="4">
        <f t="shared" si="26"/>
        <v>6</v>
      </c>
      <c r="C1680" s="4" t="s">
        <v>1431</v>
      </c>
      <c r="D1680" s="1" t="str">
        <f>IFERROR(VLOOKUP(A1680,[1]biopep_DB!$F$2:$J$1654,5,0),)</f>
        <v>A new QSAR model, for angiotensin I-converting enzyme inhibitory oligopeptides.; Vegetable foods: a cheap source of proteins and peptides with antihypertensive, antioxidant, and other less occurrence bioactivities.</v>
      </c>
      <c r="E1680" s="1" t="str">
        <f>IFERROR(VLOOKUP(A1680,[1]biopep_DB!$F$2:$L$1654,6,0),0)</f>
        <v>10.1016/j.foodchem.2012.09.092; 10.1016/j.talanta.2012.12.041</v>
      </c>
      <c r="F1680" s="1" t="str">
        <f>IFERROR(VLOOKUP(A1680,[1]biopep_DB!$F$2:$L$1654,7,0),0)</f>
        <v>23194537 23598136</v>
      </c>
      <c r="G1680" s="5">
        <v>749.85</v>
      </c>
      <c r="H1680" s="5">
        <v>5.52</v>
      </c>
      <c r="I1680" s="5">
        <v>-0.24</v>
      </c>
      <c r="J1680" s="6">
        <v>0.6333</v>
      </c>
      <c r="K1680" s="5">
        <v>45.82</v>
      </c>
      <c r="L1680" s="6">
        <v>0.6667</v>
      </c>
      <c r="M1680" s="6">
        <v>-1.5717</v>
      </c>
      <c r="N1680" s="6">
        <v>0</v>
      </c>
      <c r="O1680" s="6">
        <v>0.3333</v>
      </c>
      <c r="P1680" s="6">
        <v>0.6667</v>
      </c>
      <c r="Q1680" s="7"/>
      <c r="R1680" s="7"/>
    </row>
    <row r="1681" spans="1:18">
      <c r="A1681" s="4" t="s">
        <v>2253</v>
      </c>
      <c r="B1681" s="4">
        <f t="shared" si="26"/>
        <v>2</v>
      </c>
      <c r="C1681" s="4"/>
      <c r="D1681" s="1" t="str">
        <f>IFERROR(VLOOKUP(A1681,[1]biopep_DB!$F$2:$J$1654,5,0),)</f>
        <v>Three-dimensional holograph vector of atomic interaction field (3D-HoVAIF): a novel rotation-translation invariant 3D structure descriptor and its applications to peptides.</v>
      </c>
      <c r="E1681" s="1" t="str">
        <f>IFERROR(VLOOKUP(A1681,[1]biopep_DB!$F$2:$L$1654,6,0),0)</f>
        <v>10.1002/psc.892</v>
      </c>
      <c r="F1681" s="1" t="str">
        <f>IFERROR(VLOOKUP(A1681,[1]biopep_DB!$F$2:$L$1654,7,0),0)</f>
        <v>17654623</v>
      </c>
      <c r="G1681" s="5">
        <v>390.44</v>
      </c>
      <c r="H1681" s="5">
        <v>5.53</v>
      </c>
      <c r="I1681" s="5">
        <v>-0.24</v>
      </c>
      <c r="J1681" s="6">
        <v>-0.9</v>
      </c>
      <c r="K1681" s="5">
        <v>5</v>
      </c>
      <c r="L1681" s="6">
        <v>1</v>
      </c>
      <c r="M1681" s="6">
        <v>-2.33</v>
      </c>
      <c r="N1681" s="6">
        <v>0</v>
      </c>
      <c r="O1681" s="6">
        <v>0</v>
      </c>
      <c r="P1681" s="6">
        <v>1</v>
      </c>
      <c r="Q1681" s="7"/>
      <c r="R1681" s="7"/>
    </row>
    <row r="1682" spans="1:18">
      <c r="A1682" s="4" t="s">
        <v>2254</v>
      </c>
      <c r="B1682" s="4">
        <f t="shared" si="26"/>
        <v>2</v>
      </c>
      <c r="C1682" s="4" t="s">
        <v>2255</v>
      </c>
      <c r="D1682" s="1" t="str">
        <f>IFERROR(VLOOKUP(A1682,[1]biopep_DB!$F$2:$J$1654,5,0),)</f>
        <v>ACE-inhibitory and radical-scavenging activity of peptides derived from beta-lactoglobulin f(19-25). Interactions with ascorbic acid.</v>
      </c>
      <c r="E1682" s="1" t="str">
        <f>IFERROR(VLOOKUP(A1682,[1]biopep_DB!$F$2:$L$1654,6,0),0)</f>
        <v>10.1021/jf063427j</v>
      </c>
      <c r="F1682" s="1" t="str">
        <f>IFERROR(VLOOKUP(A1682,[1]biopep_DB!$F$2:$L$1654,7,0),0)</f>
        <v>17411066</v>
      </c>
      <c r="G1682" s="5">
        <v>367.4</v>
      </c>
      <c r="H1682" s="5">
        <v>5.52</v>
      </c>
      <c r="I1682" s="5">
        <v>-0.24</v>
      </c>
      <c r="J1682" s="6">
        <v>-1.1</v>
      </c>
      <c r="K1682" s="5">
        <v>5</v>
      </c>
      <c r="L1682" s="6">
        <v>0.5</v>
      </c>
      <c r="M1682" s="6">
        <v>-1.095</v>
      </c>
      <c r="N1682" s="6">
        <v>0</v>
      </c>
      <c r="O1682" s="6">
        <v>0</v>
      </c>
      <c r="P1682" s="6">
        <v>1</v>
      </c>
      <c r="Q1682" s="7"/>
      <c r="R1682" s="7"/>
    </row>
    <row r="1683" spans="1:18">
      <c r="A1683" s="4" t="s">
        <v>2256</v>
      </c>
      <c r="B1683" s="4">
        <f t="shared" si="26"/>
        <v>10</v>
      </c>
      <c r="C1683" s="4"/>
      <c r="G1683" s="5">
        <v>1134.24</v>
      </c>
      <c r="H1683" s="5">
        <v>5.52</v>
      </c>
      <c r="I1683" s="5">
        <v>-0.24</v>
      </c>
      <c r="J1683" s="6">
        <v>-0.44</v>
      </c>
      <c r="K1683" s="5">
        <v>39.98</v>
      </c>
      <c r="L1683" s="6">
        <v>0.4</v>
      </c>
      <c r="M1683" s="6">
        <v>-0.947</v>
      </c>
      <c r="N1683" s="6">
        <v>0.1</v>
      </c>
      <c r="O1683" s="6">
        <v>0.4</v>
      </c>
      <c r="P1683" s="6">
        <v>0.4</v>
      </c>
      <c r="Q1683" s="7"/>
      <c r="R1683" s="7"/>
    </row>
    <row r="1684" spans="1:18">
      <c r="A1684" s="4" t="s">
        <v>2257</v>
      </c>
      <c r="B1684" s="4">
        <f t="shared" si="26"/>
        <v>3</v>
      </c>
      <c r="C1684" s="4" t="s">
        <v>190</v>
      </c>
      <c r="D1684" s="1" t="str">
        <f>IFERROR(VLOOKUP(A1684,[1]biopep_DB!$F$2:$J$1654,5,0),)</f>
        <v/>
      </c>
      <c r="E1684" s="1" t="str">
        <f>IFERROR(VLOOKUP(A1684,[1]biopep_DB!$F$2:$L$1654,6,0),0)</f>
        <v/>
      </c>
      <c r="F1684" s="1" t="str">
        <f>IFERROR(VLOOKUP(A1684,[1]biopep_DB!$F$2:$L$1654,7,0),0)</f>
        <v/>
      </c>
      <c r="G1684" s="5">
        <v>454.48</v>
      </c>
      <c r="H1684" s="5">
        <v>5.52</v>
      </c>
      <c r="I1684" s="5">
        <v>-0.24</v>
      </c>
      <c r="J1684" s="6">
        <v>-1</v>
      </c>
      <c r="K1684" s="5">
        <v>6.67</v>
      </c>
      <c r="L1684" s="6">
        <v>0.3333</v>
      </c>
      <c r="M1684" s="6">
        <v>-0.45</v>
      </c>
      <c r="N1684" s="6">
        <v>0</v>
      </c>
      <c r="O1684" s="6">
        <v>0.3333</v>
      </c>
      <c r="P1684" s="6">
        <v>0.6667</v>
      </c>
      <c r="Q1684" s="7"/>
      <c r="R1684" s="7"/>
    </row>
    <row r="1685" spans="1:18">
      <c r="A1685" s="4" t="s">
        <v>2258</v>
      </c>
      <c r="B1685" s="4">
        <f t="shared" si="26"/>
        <v>4</v>
      </c>
      <c r="C1685" s="4"/>
      <c r="D1685" s="1" t="str">
        <f>IFERROR(VLOOKUP(A1685,[1]biopep_DB!$F$2:$J$1654,5,0),)</f>
        <v>What are the ideal properties for functional food peptides with antihypertensive effect? A computational peptidology approach.</v>
      </c>
      <c r="E1685" s="1" t="str">
        <f>IFERROR(VLOOKUP(A1685,[1]biopep_DB!$F$2:$L$1654,6,0),0)</f>
        <v>10.1016/j.foodchem.2013.05.140</v>
      </c>
      <c r="F1685" s="1" t="str">
        <f>IFERROR(VLOOKUP(A1685,[1]biopep_DB!$F$2:$L$1654,7,0),0)</f>
        <v>23871047</v>
      </c>
      <c r="G1685" s="5">
        <v>567.63</v>
      </c>
      <c r="H1685" s="5">
        <v>5.52</v>
      </c>
      <c r="I1685" s="5">
        <v>-0.24</v>
      </c>
      <c r="J1685" s="6">
        <v>0.2</v>
      </c>
      <c r="K1685" s="5">
        <v>7.5</v>
      </c>
      <c r="L1685" s="6">
        <v>0.5</v>
      </c>
      <c r="M1685" s="6">
        <v>-1.5675</v>
      </c>
      <c r="N1685" s="6">
        <v>0.25</v>
      </c>
      <c r="O1685" s="6">
        <v>0.25</v>
      </c>
      <c r="P1685" s="6">
        <v>0.75</v>
      </c>
      <c r="Q1685" s="7"/>
      <c r="R1685" s="7"/>
    </row>
    <row r="1686" spans="1:18">
      <c r="A1686" s="4" t="s">
        <v>2259</v>
      </c>
      <c r="B1686" s="4">
        <f t="shared" si="26"/>
        <v>5</v>
      </c>
      <c r="C1686" s="4" t="s">
        <v>2260</v>
      </c>
      <c r="D1686" s="1" t="str">
        <f>IFERROR(VLOOKUP(A1686,[1]biopep_DB!$F$2:$J$1654,5,0),)</f>
        <v>ACE-inhibitory and radical-scavenging activity of peptides derived from beta-lactoglobulin f(19-25). Interactions with ascorbic acid.</v>
      </c>
      <c r="E1686" s="1" t="str">
        <f>IFERROR(VLOOKUP(A1686,[1]biopep_DB!$F$2:$L$1654,6,0),0)</f>
        <v>10.1021/jf063427j</v>
      </c>
      <c r="F1686" s="1" t="str">
        <f>IFERROR(VLOOKUP(A1686,[1]biopep_DB!$F$2:$L$1654,7,0),0)</f>
        <v>17411066</v>
      </c>
      <c r="G1686" s="5">
        <v>638.71</v>
      </c>
      <c r="H1686" s="5">
        <v>5.52</v>
      </c>
      <c r="I1686" s="5">
        <v>-0.24</v>
      </c>
      <c r="J1686" s="6">
        <v>0.52</v>
      </c>
      <c r="K1686" s="5">
        <v>8</v>
      </c>
      <c r="L1686" s="6">
        <v>0.6</v>
      </c>
      <c r="M1686" s="6">
        <v>-1.616</v>
      </c>
      <c r="N1686" s="6">
        <v>0.4</v>
      </c>
      <c r="O1686" s="6">
        <v>0.2</v>
      </c>
      <c r="P1686" s="6">
        <v>0.6</v>
      </c>
      <c r="Q1686" s="7"/>
      <c r="R1686" s="7"/>
    </row>
    <row r="1687" spans="1:18">
      <c r="A1687" s="4" t="s">
        <v>2261</v>
      </c>
      <c r="B1687" s="4">
        <f t="shared" si="26"/>
        <v>6</v>
      </c>
      <c r="C1687" s="4" t="s">
        <v>2262</v>
      </c>
      <c r="D1687" s="1" t="str">
        <f>IFERROR(VLOOKUP(A1687,[1]biopep_DB!$F$2:$J$1654,5,0),)</f>
        <v>ACE-inhibitory and radical-scavenging activity of peptides derived from beta-lactoglobulin f(19-25). Interactions with ascorbic acid.</v>
      </c>
      <c r="E1687" s="1" t="str">
        <f>IFERROR(VLOOKUP(A1687,[1]biopep_DB!$F$2:$L$1654,6,0),0)</f>
        <v>10.1021/jf063427j</v>
      </c>
      <c r="F1687" s="1" t="str">
        <f>IFERROR(VLOOKUP(A1687,[1]biopep_DB!$F$2:$L$1654,7,0),0)</f>
        <v>17411066</v>
      </c>
      <c r="G1687" s="5">
        <v>769.91</v>
      </c>
      <c r="H1687" s="5">
        <v>5.52</v>
      </c>
      <c r="I1687" s="5">
        <v>-0.24</v>
      </c>
      <c r="J1687" s="6">
        <v>0.75</v>
      </c>
      <c r="K1687" s="5">
        <v>8.33</v>
      </c>
      <c r="L1687" s="6">
        <v>0.6667</v>
      </c>
      <c r="M1687" s="6">
        <v>-1.7383</v>
      </c>
      <c r="N1687" s="6">
        <v>0.5</v>
      </c>
      <c r="O1687" s="6">
        <v>0.1667</v>
      </c>
      <c r="P1687" s="6">
        <v>0.5</v>
      </c>
      <c r="Q1687" s="7"/>
      <c r="R1687" s="7"/>
    </row>
    <row r="1688" spans="1:18">
      <c r="A1688" s="4" t="s">
        <v>2263</v>
      </c>
      <c r="B1688" s="4">
        <f t="shared" si="26"/>
        <v>7</v>
      </c>
      <c r="C1688" s="4" t="s">
        <v>2264</v>
      </c>
      <c r="D1688" s="1" t="str">
        <f>IFERROR(VLOOKUP(A1688,[1]biopep_DB!$F$2:$J$1654,5,0),)</f>
        <v>ACE-inhibitory and radical-scavenging activity of peptides derived from beta-lactoglobulin f(19-25). Interactions with ascorbic acid.</v>
      </c>
      <c r="E1688" s="1" t="str">
        <f>IFERROR(VLOOKUP(A1688,[1]biopep_DB!$F$2:$L$1654,6,0),0)</f>
        <v>10.1021/jf063427j</v>
      </c>
      <c r="F1688" s="1" t="str">
        <f>IFERROR(VLOOKUP(A1688,[1]biopep_DB!$F$2:$L$1654,7,0),0)</f>
        <v>17411066</v>
      </c>
      <c r="G1688" s="5">
        <v>840.99</v>
      </c>
      <c r="H1688" s="5">
        <v>5.52</v>
      </c>
      <c r="I1688" s="5">
        <v>-0.24</v>
      </c>
      <c r="J1688" s="6">
        <v>0.9</v>
      </c>
      <c r="K1688" s="5">
        <v>26.2</v>
      </c>
      <c r="L1688" s="6">
        <v>0.7143</v>
      </c>
      <c r="M1688" s="6">
        <v>-1.7486</v>
      </c>
      <c r="N1688" s="6">
        <v>0.5714</v>
      </c>
      <c r="O1688" s="6">
        <v>0.1429</v>
      </c>
      <c r="P1688" s="6">
        <v>0.4286</v>
      </c>
      <c r="Q1688" s="7"/>
      <c r="R1688" s="7"/>
    </row>
    <row r="1689" spans="1:18">
      <c r="A1689" s="4" t="s">
        <v>2265</v>
      </c>
      <c r="B1689" s="4">
        <f t="shared" si="26"/>
        <v>2</v>
      </c>
      <c r="C1689" s="4" t="s">
        <v>1727</v>
      </c>
      <c r="D1689" s="1" t="str">
        <f>IFERROR(VLOOKUP(A1689,[1]biopep_DB!$F$2:$J$1654,5,0),)</f>
        <v>Three-dimensional holograph vector of atomic interaction field (3D-HoVAIF): a novel rotation-translation invariant 3D structure descriptor and its applications to peptides.; QSAR study on angiotensin-converting enzyme inhibitor oligopeptides based on a novel set of sequence information descriptors.; What are the ideal properties for functional food peptides with antihypertensive effect? A computational peptidology approach.</v>
      </c>
      <c r="E1689" s="1" t="str">
        <f>IFERROR(VLOOKUP(A1689,[1]biopep_DB!$F$2:$L$1654,6,0),0)</f>
        <v>10.1002/psc.892; 10.1007/s00894-010-0862-x; 10.1016/j.foodchem.2013.05.140</v>
      </c>
      <c r="F1689" s="1" t="str">
        <f>IFERROR(VLOOKUP(A1689,[1]biopep_DB!$F$2:$L$1654,7,0),0)</f>
        <v>17654623 20941517 23871047</v>
      </c>
      <c r="G1689" s="5">
        <v>252.27</v>
      </c>
      <c r="H1689" s="5">
        <v>5.52</v>
      </c>
      <c r="I1689" s="5">
        <v>-0.24</v>
      </c>
      <c r="J1689" s="6">
        <v>0.25</v>
      </c>
      <c r="K1689" s="5">
        <v>123.4</v>
      </c>
      <c r="L1689" s="6">
        <v>0.5</v>
      </c>
      <c r="M1689" s="6">
        <v>-0.835</v>
      </c>
      <c r="N1689" s="6">
        <v>0.5</v>
      </c>
      <c r="O1689" s="6">
        <v>0</v>
      </c>
      <c r="P1689" s="6">
        <v>0.5</v>
      </c>
      <c r="Q1689" s="7"/>
      <c r="R1689" s="7"/>
    </row>
    <row r="1690" spans="1:18">
      <c r="A1690" s="4" t="s">
        <v>2266</v>
      </c>
      <c r="B1690" s="4">
        <f t="shared" si="26"/>
        <v>9</v>
      </c>
      <c r="C1690" s="4" t="s">
        <v>2267</v>
      </c>
      <c r="D1690" s="1" t="str">
        <f>IFERROR(VLOOKUP(A1690,[1]biopep_DB!$F$2:$J$1654,5,0),)</f>
        <v>Antioxidant activity of peptides derived from egg white proteins by enzymatic hydrolysis.; Antihypertensive peptides: production, bioavailability and incorporation into foods.; Antihypertensive peptides from food proteins: a review.; A new QSAR model, for angiotensin I-converting enzyme inhibitory oligopeptides.</v>
      </c>
      <c r="E1690" s="1" t="str">
        <f>IFERROR(VLOOKUP(A1690,[1]biopep_DB!$F$2:$L$1654,6,0),0)</f>
        <v>10.4315/0362-028x-67.9.1939; 10.1016/j.cis.2010.11.001; 10.1039/c2fo10192k; 10.1016/j.foodchem.2012.09.092</v>
      </c>
      <c r="F1690" s="1" t="str">
        <f>IFERROR(VLOOKUP(A1690,[1]biopep_DB!$F$2:$L$1654,7,0),0)</f>
        <v>15453585 21185549 22249830 23194537</v>
      </c>
      <c r="G1690" s="5">
        <v>1153.28</v>
      </c>
      <c r="H1690" s="5">
        <v>4.53</v>
      </c>
      <c r="I1690" s="5">
        <v>-1.24</v>
      </c>
      <c r="J1690" s="6">
        <v>-0.6222</v>
      </c>
      <c r="K1690" s="5">
        <v>98.16</v>
      </c>
      <c r="L1690" s="6">
        <v>0.4444</v>
      </c>
      <c r="M1690" s="6">
        <v>-0.5967</v>
      </c>
      <c r="N1690" s="6">
        <v>0.4444</v>
      </c>
      <c r="O1690" s="6">
        <v>0.1111</v>
      </c>
      <c r="P1690" s="6">
        <v>0.4444</v>
      </c>
      <c r="Q1690" s="7"/>
      <c r="R1690" s="7"/>
    </row>
    <row r="1691" spans="1:18">
      <c r="A1691" s="4" t="s">
        <v>2268</v>
      </c>
      <c r="B1691" s="4">
        <f t="shared" si="26"/>
        <v>6</v>
      </c>
      <c r="C1691" s="4" t="s">
        <v>2269</v>
      </c>
      <c r="D1691" s="1" t="str">
        <f>IFERROR(VLOOKUP(A1691,[1]biopep_DB!$F$2:$J$1654,5,0),)</f>
        <v>Changes in arterial blood pressure after single oral administration of milk-casein-derived peptides in spontaneously hypertensive rats.; Antihypertensive peptides: production, bioavailability and incorporation into foods.; Antihypertensive peptides from food proteins: a review.</v>
      </c>
      <c r="E1691" s="1" t="str">
        <f>IFERROR(VLOOKUP(A1691,[1]biopep_DB!$F$2:$L$1654,6,0),0)</f>
        <v>10.1002/mnfr.200900448; 10.1016/j.cis.2010.11.001; 10.1039/c2fo10192k</v>
      </c>
      <c r="F1691" s="1" t="str">
        <f>IFERROR(VLOOKUP(A1691,[1]biopep_DB!$F$2:$L$1654,7,0),0)</f>
        <v>20397194 21185549 22249830</v>
      </c>
      <c r="G1691" s="5">
        <v>647.76</v>
      </c>
      <c r="H1691" s="5">
        <v>8.59</v>
      </c>
      <c r="I1691" s="5">
        <v>0.76</v>
      </c>
      <c r="J1691" s="6">
        <v>0.1667</v>
      </c>
      <c r="K1691" s="5">
        <v>67.33</v>
      </c>
      <c r="L1691" s="6">
        <v>0.6667</v>
      </c>
      <c r="M1691" s="6">
        <v>-0.99</v>
      </c>
      <c r="N1691" s="6">
        <v>0.5</v>
      </c>
      <c r="O1691" s="6">
        <v>0.1667</v>
      </c>
      <c r="P1691" s="6">
        <v>0.3333</v>
      </c>
      <c r="Q1691" s="7"/>
      <c r="R1691" s="7"/>
    </row>
    <row r="1692" spans="1:18">
      <c r="A1692" s="4" t="s">
        <v>2270</v>
      </c>
      <c r="B1692" s="4">
        <f t="shared" si="26"/>
        <v>6</v>
      </c>
      <c r="C1692" s="4" t="s">
        <v>2271</v>
      </c>
      <c r="D1692" s="1" t="str">
        <f>IFERROR(VLOOKUP(A1692,[1]biopep_DB!$F$2:$J$1654,5,0),)</f>
        <v>Angiotensin I-converting enzyme inhibitors in autolysates of squid liver and mantle muscle.; A new QSAR model, for angiotensin I-converting enzyme inhibitory oligopeptides.</v>
      </c>
      <c r="E1692" s="1" t="str">
        <f>IFERROR(VLOOKUP(A1692,[1]biopep_DB!$F$2:$L$1654,6,0),0)</f>
        <v>10.1271/bbb.60.1353; 10.1016/j.foodchem.2012.09.092</v>
      </c>
      <c r="F1692" s="1" t="str">
        <f>IFERROR(VLOOKUP(A1692,[1]biopep_DB!$F$2:$L$1654,7,0),0)</f>
        <v>8987556 23194537</v>
      </c>
      <c r="G1692" s="5">
        <v>670.76</v>
      </c>
      <c r="H1692" s="5">
        <v>6.74</v>
      </c>
      <c r="I1692" s="5">
        <v>-0.15</v>
      </c>
      <c r="J1692" s="6">
        <v>0.2167</v>
      </c>
      <c r="K1692" s="5">
        <v>79.9</v>
      </c>
      <c r="L1692" s="6">
        <v>0.6667</v>
      </c>
      <c r="M1692" s="6">
        <v>-1.235</v>
      </c>
      <c r="N1692" s="6">
        <v>0.5</v>
      </c>
      <c r="O1692" s="6">
        <v>0.1667</v>
      </c>
      <c r="P1692" s="6">
        <v>0.3333</v>
      </c>
      <c r="Q1692" s="7"/>
      <c r="R1692" s="7"/>
    </row>
    <row r="1693" spans="1:18">
      <c r="A1693" s="4" t="s">
        <v>2272</v>
      </c>
      <c r="B1693" s="4">
        <f t="shared" si="26"/>
        <v>9</v>
      </c>
      <c r="C1693" s="4" t="s">
        <v>2273</v>
      </c>
      <c r="D1693" s="1" t="str">
        <f>IFERROR(VLOOKUP(A1693,[1]biopep_DB!$F$2:$J$1654,5,0),)</f>
        <v>Inhibition of angiotensin-converting enzyme by synthetic peptide fragments of human kappa-casein.; QSAR study on angiotensin-converting enzyme inhibitor oligopeptides based on a novel set of sequence information descriptors.</v>
      </c>
      <c r="E1693" s="1" t="str">
        <f>IFERROR(VLOOKUP(A1693,[1]biopep_DB!$F$2:$L$1654,6,0),0)</f>
        <v>10.1007/s00894-010-0862-x</v>
      </c>
      <c r="F1693" s="1" t="str">
        <f>IFERROR(VLOOKUP(A1693,[1]biopep_DB!$F$2:$L$1654,7,0),0)</f>
        <v>1368540 20941517</v>
      </c>
      <c r="G1693" s="5">
        <v>986.12</v>
      </c>
      <c r="H1693" s="5">
        <v>8.75</v>
      </c>
      <c r="I1693" s="5">
        <v>0.76</v>
      </c>
      <c r="J1693" s="6">
        <v>-0.0556</v>
      </c>
      <c r="K1693" s="5">
        <v>74.8</v>
      </c>
      <c r="L1693" s="6">
        <v>0.6667</v>
      </c>
      <c r="M1693" s="6">
        <v>-0.8022</v>
      </c>
      <c r="N1693" s="6">
        <v>0.2222</v>
      </c>
      <c r="O1693" s="6">
        <v>0.3333</v>
      </c>
      <c r="P1693" s="6">
        <v>0.3333</v>
      </c>
      <c r="Q1693" s="7"/>
      <c r="R1693" s="7"/>
    </row>
    <row r="1694" spans="1:18">
      <c r="A1694" s="4" t="s">
        <v>2274</v>
      </c>
      <c r="B1694" s="4">
        <f t="shared" si="26"/>
        <v>3</v>
      </c>
      <c r="C1694" s="4" t="s">
        <v>2275</v>
      </c>
      <c r="G1694" s="5">
        <v>349.38</v>
      </c>
      <c r="H1694" s="5">
        <v>5.52</v>
      </c>
      <c r="I1694" s="5">
        <v>-0.24</v>
      </c>
      <c r="J1694" s="6">
        <v>-0.3667</v>
      </c>
      <c r="K1694" s="5">
        <v>149.8</v>
      </c>
      <c r="L1694" s="6">
        <v>0.6667</v>
      </c>
      <c r="M1694" s="6">
        <v>-0.5567</v>
      </c>
      <c r="N1694" s="6">
        <v>0.3333</v>
      </c>
      <c r="O1694" s="6">
        <v>0.3333</v>
      </c>
      <c r="P1694" s="6">
        <v>0.3333</v>
      </c>
      <c r="Q1694" s="7"/>
      <c r="R1694" s="7"/>
    </row>
    <row r="1695" spans="1:18">
      <c r="A1695" s="4" t="s">
        <v>2276</v>
      </c>
      <c r="B1695" s="4">
        <f t="shared" si="26"/>
        <v>9</v>
      </c>
      <c r="C1695" s="4"/>
      <c r="G1695" s="5">
        <v>1081.09</v>
      </c>
      <c r="H1695" s="5">
        <v>5.21</v>
      </c>
      <c r="I1695" s="5">
        <v>-1.15</v>
      </c>
      <c r="J1695" s="6">
        <v>-2.1667</v>
      </c>
      <c r="K1695" s="5">
        <v>26.82</v>
      </c>
      <c r="L1695" s="6">
        <v>0.1111</v>
      </c>
      <c r="M1695" s="6">
        <v>0.6789</v>
      </c>
      <c r="N1695" s="6">
        <v>0.1111</v>
      </c>
      <c r="O1695" s="6">
        <v>0.5556</v>
      </c>
      <c r="P1695" s="6">
        <v>0.2222</v>
      </c>
      <c r="Q1695" s="7"/>
      <c r="R1695" s="7"/>
    </row>
    <row r="1696" spans="1:18">
      <c r="A1696" s="4" t="s">
        <v>2277</v>
      </c>
      <c r="B1696" s="4">
        <f t="shared" si="26"/>
        <v>2</v>
      </c>
      <c r="C1696" s="4" t="s">
        <v>36</v>
      </c>
      <c r="D1696" s="1" t="str">
        <f>IFERROR(VLOOKUP(A1696,[1]biopep_DB!$F$2:$J$1654,5,0),)</f>
        <v>Structural requirements of Angiotensin I-converting enzyme inhibitory peptides: quantitative structure-activity relationship study of di- and tripeptides.</v>
      </c>
      <c r="E1696" s="1" t="str">
        <f>IFERROR(VLOOKUP(A1696,[1]biopep_DB!$F$2:$L$1654,6,0),0)</f>
        <v>10.1021/jf051263l</v>
      </c>
      <c r="F1696" s="1" t="str">
        <f>IFERROR(VLOOKUP(A1696,[1]biopep_DB!$F$2:$L$1654,7,0),0)</f>
        <v>16448176</v>
      </c>
      <c r="G1696" s="5">
        <v>310.3</v>
      </c>
      <c r="H1696" s="5">
        <v>4.6</v>
      </c>
      <c r="I1696" s="5">
        <v>-1.23</v>
      </c>
      <c r="J1696" s="6">
        <v>-2.4</v>
      </c>
      <c r="K1696" s="5">
        <v>-32.7</v>
      </c>
      <c r="L1696" s="6">
        <v>0</v>
      </c>
      <c r="M1696" s="6">
        <v>0.89</v>
      </c>
      <c r="N1696" s="6">
        <v>0.5</v>
      </c>
      <c r="O1696" s="6">
        <v>0</v>
      </c>
      <c r="P1696" s="6">
        <v>0.5</v>
      </c>
      <c r="Q1696" s="7"/>
      <c r="R1696" s="7"/>
    </row>
    <row r="1697" spans="1:18">
      <c r="A1697" s="4" t="s">
        <v>2278</v>
      </c>
      <c r="B1697" s="4">
        <f t="shared" si="26"/>
        <v>4</v>
      </c>
      <c r="C1697" s="4"/>
      <c r="D1697" s="1" t="str">
        <f>IFERROR(VLOOKUP(A1697,[1]biopep_DB!$F$2:$J$1654,5,0),)</f>
        <v>Vegetable foods: a cheap source of proteins and peptides with antihypertensive, antioxidant, and other less occurrence bioactivities.</v>
      </c>
      <c r="E1697" s="1" t="str">
        <f>IFERROR(VLOOKUP(A1697,[1]biopep_DB!$F$2:$L$1654,6,0),0)</f>
        <v>10.1016/j.talanta.2012.12.041</v>
      </c>
      <c r="F1697" s="1" t="str">
        <f>IFERROR(VLOOKUP(A1697,[1]biopep_DB!$F$2:$L$1654,7,0),0)</f>
        <v>23598136</v>
      </c>
      <c r="G1697" s="5">
        <v>478.5</v>
      </c>
      <c r="H1697" s="5">
        <v>4.05</v>
      </c>
      <c r="I1697" s="5">
        <v>-1.24</v>
      </c>
      <c r="J1697" s="6">
        <v>-1.15</v>
      </c>
      <c r="K1697" s="5">
        <v>36.8</v>
      </c>
      <c r="L1697" s="6">
        <v>0.5</v>
      </c>
      <c r="M1697" s="6">
        <v>-0.0075</v>
      </c>
      <c r="N1697" s="6">
        <v>0.5</v>
      </c>
      <c r="O1697" s="6">
        <v>0.25</v>
      </c>
      <c r="P1697" s="6">
        <v>0.25</v>
      </c>
      <c r="Q1697" s="7"/>
      <c r="R1697" s="7"/>
    </row>
    <row r="1698" spans="1:18">
      <c r="A1698" s="4" t="s">
        <v>2279</v>
      </c>
      <c r="B1698" s="4">
        <f t="shared" si="26"/>
        <v>8</v>
      </c>
      <c r="C1698" s="4"/>
      <c r="G1698" s="5">
        <v>880.94</v>
      </c>
      <c r="H1698" s="5">
        <v>6</v>
      </c>
      <c r="I1698" s="5">
        <v>-0.24</v>
      </c>
      <c r="J1698" s="6">
        <v>-1.15</v>
      </c>
      <c r="K1698" s="5">
        <v>-61.91</v>
      </c>
      <c r="L1698" s="6">
        <v>0.125</v>
      </c>
      <c r="M1698" s="6">
        <v>-0.195</v>
      </c>
      <c r="N1698" s="6">
        <v>0.25</v>
      </c>
      <c r="O1698" s="6">
        <v>0.375</v>
      </c>
      <c r="P1698" s="6">
        <v>0.375</v>
      </c>
      <c r="Q1698" s="7"/>
      <c r="R1698" s="7"/>
    </row>
    <row r="1699" spans="1:18">
      <c r="A1699" s="4" t="s">
        <v>2280</v>
      </c>
      <c r="B1699" s="4">
        <f t="shared" si="26"/>
        <v>3</v>
      </c>
      <c r="C1699" s="4" t="s">
        <v>36</v>
      </c>
      <c r="D1699" s="1" t="str">
        <f>IFERROR(VLOOKUP(A1699,[1]biopep_DB!$F$2:$J$1654,5,0),)</f>
        <v>Structural requirements of Angiotensin I-converting enzyme inhibitory peptides: quantitative structure-activity relationship study of di- and tripeptides.</v>
      </c>
      <c r="E1699" s="1" t="str">
        <f>IFERROR(VLOOKUP(A1699,[1]biopep_DB!$F$2:$L$1654,6,0),0)</f>
        <v>10.1021/jf051263l</v>
      </c>
      <c r="F1699" s="1" t="str">
        <f>IFERROR(VLOOKUP(A1699,[1]biopep_DB!$F$2:$L$1654,7,0),0)</f>
        <v>16448176</v>
      </c>
      <c r="G1699" s="5">
        <v>473.48</v>
      </c>
      <c r="H1699" s="5">
        <v>4.05</v>
      </c>
      <c r="I1699" s="5">
        <v>-1.24</v>
      </c>
      <c r="J1699" s="6">
        <v>-2.0333</v>
      </c>
      <c r="K1699" s="5">
        <v>-18.47</v>
      </c>
      <c r="L1699" s="6">
        <v>0</v>
      </c>
      <c r="M1699" s="6">
        <v>0.64</v>
      </c>
      <c r="N1699" s="6">
        <v>0.3333</v>
      </c>
      <c r="O1699" s="6">
        <v>0</v>
      </c>
      <c r="P1699" s="6">
        <v>0.6667</v>
      </c>
      <c r="Q1699" s="7"/>
      <c r="R1699" s="7"/>
    </row>
    <row r="1700" spans="1:18">
      <c r="A1700" s="4" t="s">
        <v>2281</v>
      </c>
      <c r="B1700" s="4">
        <f t="shared" si="26"/>
        <v>2</v>
      </c>
      <c r="C1700" s="4"/>
      <c r="D1700" s="1" t="str">
        <f>IFERROR(VLOOKUP(A1700,[1]biopep_DB!$F$2:$J$1654,5,0),)</f>
        <v>Quantitative structure-activity relationship study of bitter di- and tri-peptides including relationship with angiotensin I-converting enzyme inhibitory activity.</v>
      </c>
      <c r="E1700" s="1" t="str">
        <f>IFERROR(VLOOKUP(A1700,[1]biopep_DB!$F$2:$L$1654,6,0),0)</f>
        <v>10.1002/psc.800</v>
      </c>
      <c r="F1700" s="1" t="str">
        <f>IFERROR(VLOOKUP(A1700,[1]biopep_DB!$F$2:$L$1654,7,0),0)</f>
        <v>17117396</v>
      </c>
      <c r="G1700" s="5">
        <v>328.36</v>
      </c>
      <c r="H1700" s="5">
        <v>5.52</v>
      </c>
      <c r="I1700" s="5">
        <v>-0.24</v>
      </c>
      <c r="J1700" s="6">
        <v>0.75</v>
      </c>
      <c r="K1700" s="5">
        <v>5</v>
      </c>
      <c r="L1700" s="6">
        <v>0.5</v>
      </c>
      <c r="M1700" s="6">
        <v>-1.42</v>
      </c>
      <c r="N1700" s="6">
        <v>0</v>
      </c>
      <c r="O1700" s="6">
        <v>0</v>
      </c>
      <c r="P1700" s="6">
        <v>1</v>
      </c>
      <c r="Q1700" s="7"/>
      <c r="R1700" s="7"/>
    </row>
    <row r="1701" spans="1:18">
      <c r="A1701" s="4" t="s">
        <v>2282</v>
      </c>
      <c r="B1701" s="4">
        <f t="shared" si="26"/>
        <v>6</v>
      </c>
      <c r="C1701" s="4"/>
      <c r="D1701" s="1" t="str">
        <f>IFERROR(VLOOKUP(A1701,[1]biopep_DB!$F$2:$J$1654,5,0),)</f>
        <v/>
      </c>
      <c r="E1701" s="1" t="str">
        <f>IFERROR(VLOOKUP(A1701,[1]biopep_DB!$F$2:$L$1654,6,0),0)</f>
        <v/>
      </c>
      <c r="F1701" s="1" t="str">
        <f>IFERROR(VLOOKUP(A1701,[1]biopep_DB!$F$2:$L$1654,7,0),0)</f>
        <v/>
      </c>
      <c r="G1701" s="5">
        <v>830.92</v>
      </c>
      <c r="H1701" s="5">
        <v>4.05</v>
      </c>
      <c r="I1701" s="5">
        <v>-1.24</v>
      </c>
      <c r="J1701" s="6">
        <v>-0.1833</v>
      </c>
      <c r="K1701" s="5">
        <v>112.2</v>
      </c>
      <c r="L1701" s="6">
        <v>0.5</v>
      </c>
      <c r="M1701" s="6">
        <v>-0.9967</v>
      </c>
      <c r="N1701" s="6">
        <v>0.3333</v>
      </c>
      <c r="O1701" s="6">
        <v>0.1667</v>
      </c>
      <c r="P1701" s="6">
        <v>0.6667</v>
      </c>
      <c r="Q1701" s="7"/>
      <c r="R1701" s="7"/>
    </row>
    <row r="1702" spans="1:18">
      <c r="A1702" s="4" t="s">
        <v>2283</v>
      </c>
      <c r="B1702" s="4">
        <f t="shared" si="26"/>
        <v>2</v>
      </c>
      <c r="C1702" s="4" t="s">
        <v>36</v>
      </c>
      <c r="D1702" s="1" t="str">
        <f>IFERROR(VLOOKUP(A1702,[1]biopep_DB!$F$2:$J$1654,5,0),)</f>
        <v>Synthetic peptides corresponding to alpha-lactalbumin and beta-lactoglobulin sequences with angiotensin-I-converting enzyme inhibitory activity.; 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Three-dimensional holograph vector of atomic interaction field (3D-HoVAIF): a novel rotation-translation invariant 3D structure descriptor and its applications to peptides.; Bioactive peptides in amaranth (Amaranthus hypochondriacus) seed.; Use of beta-cyclodextrin to decrease the level of cholesterol in milk fat.;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1702" s="1" t="str">
        <f>IFERROR(VLOOKUP(A1702,[1]biopep_DB!$F$2:$L$1654,6,0),0)</f>
        <v>10.1515/bchm3.1996.377.4.259; 10.1021/jf051263l; 10.1002/psc.800; 10.1002/psc.892; 10.1021/jf072911z; 10.3168/jds.2008-1452; 10.1016/j.jprot.2013.06.023; 10.1016/j.foodchem.2013.05.140</v>
      </c>
      <c r="F1702" s="1" t="str">
        <f>IFERROR(VLOOKUP(A1702,[1]biopep_DB!$F$2:$L$1654,7,0),0)</f>
        <v>8737991 16448176 17117396 17654623 18211015 19233779 23806758 23871047</v>
      </c>
      <c r="G1702" s="5">
        <v>238.24</v>
      </c>
      <c r="H1702" s="5">
        <v>5.52</v>
      </c>
      <c r="I1702" s="5">
        <v>-0.24</v>
      </c>
      <c r="J1702" s="6">
        <v>-0.85</v>
      </c>
      <c r="K1702" s="5">
        <v>-37.45</v>
      </c>
      <c r="L1702" s="6">
        <v>0</v>
      </c>
      <c r="M1702" s="6">
        <v>-0.4</v>
      </c>
      <c r="N1702" s="6">
        <v>0</v>
      </c>
      <c r="O1702" s="6">
        <v>0.5</v>
      </c>
      <c r="P1702" s="6">
        <v>0.5</v>
      </c>
      <c r="Q1702" s="7"/>
      <c r="R1702" s="7"/>
    </row>
    <row r="1703" spans="1:18">
      <c r="A1703" s="4" t="s">
        <v>2284</v>
      </c>
      <c r="B1703" s="4">
        <f t="shared" si="26"/>
        <v>4</v>
      </c>
      <c r="C1703" s="4" t="s">
        <v>2285</v>
      </c>
      <c r="D1703" s="1" t="str">
        <f>IFERROR(VLOOKUP(A1703,[1]biopep_DB!$F$2:$J$1654,5,0),)</f>
        <v>Rational design of angiotensin-I-converting enzyme inhibitory peptides by integrating in silico modeling and an in vitro assay.</v>
      </c>
      <c r="E1703" s="1" t="str">
        <f>IFERROR(VLOOKUP(A1703,[1]biopep_DB!$F$2:$L$1654,6,0),0)</f>
        <v>10.1002/cmdc.201300132</v>
      </c>
      <c r="F1703" s="1" t="str">
        <f>IFERROR(VLOOKUP(A1703,[1]biopep_DB!$F$2:$L$1654,7,0),0)</f>
        <v>23740817</v>
      </c>
      <c r="G1703" s="5">
        <v>406.43</v>
      </c>
      <c r="H1703" s="5">
        <v>5.52</v>
      </c>
      <c r="I1703" s="5">
        <v>-0.24</v>
      </c>
      <c r="J1703" s="6">
        <v>-0.375</v>
      </c>
      <c r="K1703" s="5">
        <v>13.2</v>
      </c>
      <c r="L1703" s="6">
        <v>0.5</v>
      </c>
      <c r="M1703" s="6">
        <v>-0.6525</v>
      </c>
      <c r="N1703" s="6">
        <v>0.25</v>
      </c>
      <c r="O1703" s="6">
        <v>0.5</v>
      </c>
      <c r="P1703" s="6">
        <v>0.25</v>
      </c>
      <c r="Q1703" s="7"/>
      <c r="R1703" s="7"/>
    </row>
    <row r="1704" spans="1:18">
      <c r="A1704" s="4" t="s">
        <v>2286</v>
      </c>
      <c r="B1704" s="4">
        <f t="shared" si="26"/>
        <v>5</v>
      </c>
      <c r="C1704" s="4" t="s">
        <v>2287</v>
      </c>
      <c r="D1704" s="1" t="str">
        <f>IFERROR(VLOOKUP(A1704,[1]biopep_DB!$F$2:$J$1654,5,0),)</f>
        <v>A new QSAR model, for angiotensin I-converting enzyme inhibitory oligopeptides.</v>
      </c>
      <c r="E1704" s="1" t="str">
        <f>IFERROR(VLOOKUP(A1704,[1]biopep_DB!$F$2:$L$1654,6,0),0)</f>
        <v>10.1016/j.foodchem.2012.09.092</v>
      </c>
      <c r="F1704" s="1" t="str">
        <f>IFERROR(VLOOKUP(A1704,[1]biopep_DB!$F$2:$L$1654,7,0),0)</f>
        <v>23194537</v>
      </c>
      <c r="G1704" s="5">
        <v>595.69</v>
      </c>
      <c r="H1704" s="5">
        <v>5.52</v>
      </c>
      <c r="I1704" s="5">
        <v>-0.24</v>
      </c>
      <c r="J1704" s="6">
        <v>0.66</v>
      </c>
      <c r="K1704" s="5">
        <v>29.54</v>
      </c>
      <c r="L1704" s="6">
        <v>0.6</v>
      </c>
      <c r="M1704" s="6">
        <v>-1.74</v>
      </c>
      <c r="N1704" s="6">
        <v>0.2</v>
      </c>
      <c r="O1704" s="6">
        <v>0.4</v>
      </c>
      <c r="P1704" s="6">
        <v>0.6</v>
      </c>
      <c r="Q1704" s="7"/>
      <c r="R1704" s="7"/>
    </row>
    <row r="1705" spans="1:18">
      <c r="A1705" s="4" t="s">
        <v>2288</v>
      </c>
      <c r="B1705" s="4">
        <f t="shared" si="26"/>
        <v>8</v>
      </c>
      <c r="C1705" s="4" t="s">
        <v>1967</v>
      </c>
      <c r="D1705" s="1" t="str">
        <f>IFERROR(VLOOKUP(A1705,[1]biopep_DB!$F$2:$J$1654,5,0),)</f>
        <v>Inhibition of angiotensin-converting enzyme by synthetic peptide fragments of various beta-caseins.</v>
      </c>
      <c r="E1705" s="1" t="str">
        <f>IFERROR(VLOOKUP(A1705,[1]biopep_DB!$F$2:$L$1654,6,0),0)</f>
        <v/>
      </c>
      <c r="F1705" s="1" t="str">
        <f>IFERROR(VLOOKUP(A1705,[1]biopep_DB!$F$2:$L$1654,7,0),0)</f>
        <v>1368548</v>
      </c>
      <c r="G1705" s="5">
        <v>919.12</v>
      </c>
      <c r="H1705" s="5">
        <v>5.52</v>
      </c>
      <c r="I1705" s="5">
        <v>-0.24</v>
      </c>
      <c r="J1705" s="6">
        <v>1.25</v>
      </c>
      <c r="K1705" s="5">
        <v>70.36</v>
      </c>
      <c r="L1705" s="6">
        <v>0.75</v>
      </c>
      <c r="M1705" s="6">
        <v>-2.3175</v>
      </c>
      <c r="N1705" s="6">
        <v>0.25</v>
      </c>
      <c r="O1705" s="6">
        <v>0.375</v>
      </c>
      <c r="P1705" s="6">
        <v>0.625</v>
      </c>
      <c r="Q1705" s="7"/>
      <c r="R1705" s="7"/>
    </row>
    <row r="1706" spans="1:18">
      <c r="A1706" s="4" t="s">
        <v>2289</v>
      </c>
      <c r="B1706" s="4">
        <f t="shared" si="26"/>
        <v>3</v>
      </c>
      <c r="C1706" s="4" t="s">
        <v>36</v>
      </c>
      <c r="D1706" s="1" t="str">
        <f>IFERROR(VLOOKUP(A1706,[1]biopep_DB!$F$2:$J$1654,5,0),)</f>
        <v>Structural requirements of Angiotensin I-converting enzyme inhibitory peptides: quantitative structure-activity relationship study of di- and tripeptides.; 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706" s="1" t="str">
        <f>IFERROR(VLOOKUP(A1706,[1]biopep_DB!$F$2:$L$1654,6,0),0)</f>
        <v>10.1021/jf051263l; 10.1002/psc.800; 10.1007/s00894-010-0862-x; 10.1016/j.foodchem.2013.05.140</v>
      </c>
      <c r="F1706" s="1" t="str">
        <f>IFERROR(VLOOKUP(A1706,[1]biopep_DB!$F$2:$L$1654,7,0),0)</f>
        <v>16448176 17117396 20941517 23871047</v>
      </c>
      <c r="G1706" s="5">
        <v>295.29</v>
      </c>
      <c r="H1706" s="5">
        <v>5.52</v>
      </c>
      <c r="I1706" s="5">
        <v>-0.24</v>
      </c>
      <c r="J1706" s="6">
        <v>-0.7</v>
      </c>
      <c r="K1706" s="5">
        <v>19.5</v>
      </c>
      <c r="L1706" s="6">
        <v>0</v>
      </c>
      <c r="M1706" s="6">
        <v>-0.58</v>
      </c>
      <c r="N1706" s="6">
        <v>0</v>
      </c>
      <c r="O1706" s="6">
        <v>0.6667</v>
      </c>
      <c r="P1706" s="6">
        <v>0.3333</v>
      </c>
      <c r="Q1706" s="7"/>
      <c r="R1706" s="7"/>
    </row>
    <row r="1707" spans="1:18">
      <c r="A1707" s="4" t="s">
        <v>2290</v>
      </c>
      <c r="B1707" s="4">
        <f t="shared" si="26"/>
        <v>9</v>
      </c>
      <c r="C1707" s="4" t="s">
        <v>1973</v>
      </c>
      <c r="D1707" s="1" t="str">
        <f>IFERROR(VLOOKUP(A1707,[1]biopep_DB!$F$2:$J$1654,5,0),)</f>
        <v/>
      </c>
      <c r="E1707" s="1" t="str">
        <f>IFERROR(VLOOKUP(A1707,[1]biopep_DB!$F$2:$L$1654,6,0),0)</f>
        <v/>
      </c>
      <c r="F1707" s="1" t="str">
        <f>IFERROR(VLOOKUP(A1707,[1]biopep_DB!$F$2:$L$1654,7,0),0)</f>
        <v/>
      </c>
      <c r="G1707" s="5">
        <v>1007.1</v>
      </c>
      <c r="H1707" s="5">
        <v>4.05</v>
      </c>
      <c r="I1707" s="5">
        <v>-1.24</v>
      </c>
      <c r="J1707" s="6">
        <v>-0.1</v>
      </c>
      <c r="K1707" s="5">
        <v>37.18</v>
      </c>
      <c r="L1707" s="6">
        <v>0.4444</v>
      </c>
      <c r="M1707" s="6">
        <v>-1.1722</v>
      </c>
      <c r="N1707" s="6">
        <v>0.2222</v>
      </c>
      <c r="O1707" s="6">
        <v>0.4444</v>
      </c>
      <c r="P1707" s="6">
        <v>0.4444</v>
      </c>
      <c r="Q1707" s="7"/>
      <c r="R1707" s="7"/>
    </row>
    <row r="1708" spans="1:18">
      <c r="A1708" s="4" t="s">
        <v>2291</v>
      </c>
      <c r="B1708" s="4">
        <f t="shared" si="26"/>
        <v>4</v>
      </c>
      <c r="C1708" s="4" t="s">
        <v>799</v>
      </c>
      <c r="D1708" s="1" t="str">
        <f>IFERROR(VLOOKUP(A1708,[1]biopep_DB!$F$2:$J$1654,5,0),)</f>
        <v>Structure and activity of angiotensin I converting enzyme inhibitory peptides from sake and sake lees.; Bioactive peptides in amaranth (Amaranthus hypochondriacus) seed.; Vegetable foods: a cheap source of proteins and peptides with antihypertensive, antioxidant, and other less occurrence bioactivities.; What are the ideal properties for functional food peptides with antihypertensive effect? A computational peptidology approach.</v>
      </c>
      <c r="E1708" s="1" t="str">
        <f>IFERROR(VLOOKUP(A1708,[1]biopep_DB!$F$2:$L$1654,6,0),0)</f>
        <v>10.1271/bbb.58.1767; 10.1021/jf072911z; 10.1016/j.talanta.2012.12.041; 10.1016/j.foodchem.2013.05.140</v>
      </c>
      <c r="F1708" s="1" t="str">
        <f>IFERROR(VLOOKUP(A1708,[1]biopep_DB!$F$2:$L$1654,7,0),0)</f>
        <v>7765503 18211015 23598136 23871047</v>
      </c>
      <c r="G1708" s="5">
        <v>458.46</v>
      </c>
      <c r="H1708" s="5">
        <v>5.52</v>
      </c>
      <c r="I1708" s="5">
        <v>-0.24</v>
      </c>
      <c r="J1708" s="6">
        <v>-0.85</v>
      </c>
      <c r="K1708" s="5">
        <v>-4.1</v>
      </c>
      <c r="L1708" s="6">
        <v>0</v>
      </c>
      <c r="M1708" s="6">
        <v>-0.4</v>
      </c>
      <c r="N1708" s="6">
        <v>0</v>
      </c>
      <c r="O1708" s="6">
        <v>0.5</v>
      </c>
      <c r="P1708" s="6">
        <v>0.5</v>
      </c>
      <c r="Q1708" s="7"/>
      <c r="R1708" s="7"/>
    </row>
    <row r="1709" spans="1:18">
      <c r="A1709" s="4" t="s">
        <v>2292</v>
      </c>
      <c r="B1709" s="4">
        <f t="shared" si="26"/>
        <v>3</v>
      </c>
      <c r="C1709" s="4" t="s">
        <v>36</v>
      </c>
      <c r="D1709" s="1" t="str">
        <f>IFERROR(VLOOKUP(A1709,[1]biopep_DB!$F$2:$J$1654,5,0),)</f>
        <v>Angiotensin I-converting enzyme inhibitory properties of whey protein digests: concentration and characterization of active peptides.; Structural requirements of Angiotensin I-converting enzyme inhibitory peptides: quantitative structure-activity relationship study of di- and tripeptides.</v>
      </c>
      <c r="E1709" s="1" t="str">
        <f>IFERROR(VLOOKUP(A1709,[1]biopep_DB!$F$2:$L$1654,6,0),0)</f>
        <v>10.1017/s0022029999003982; 10.1021/jf051263l</v>
      </c>
      <c r="F1709" s="1" t="str">
        <f>IFERROR(VLOOKUP(A1709,[1]biopep_DB!$F$2:$L$1654,7,0),0)</f>
        <v>10717843 16448176</v>
      </c>
      <c r="G1709" s="5">
        <v>351.4</v>
      </c>
      <c r="H1709" s="5">
        <v>5.52</v>
      </c>
      <c r="I1709" s="5">
        <v>-0.24</v>
      </c>
      <c r="J1709" s="6">
        <v>0.7</v>
      </c>
      <c r="K1709" s="5">
        <v>-21.63</v>
      </c>
      <c r="L1709" s="6">
        <v>0.3333</v>
      </c>
      <c r="M1709" s="6">
        <v>-1.9067</v>
      </c>
      <c r="N1709" s="6">
        <v>0.3333</v>
      </c>
      <c r="O1709" s="6">
        <v>0.3333</v>
      </c>
      <c r="P1709" s="6">
        <v>0.6667</v>
      </c>
      <c r="Q1709" s="7"/>
      <c r="R1709" s="7"/>
    </row>
    <row r="1710" spans="1:18">
      <c r="A1710" s="4" t="s">
        <v>2293</v>
      </c>
      <c r="B1710" s="4">
        <f t="shared" si="26"/>
        <v>4</v>
      </c>
      <c r="C1710" s="4" t="s">
        <v>2294</v>
      </c>
      <c r="D1710" s="1" t="str">
        <f>IFERROR(VLOOKUP(A1710,[1]biopep_DB!$F$2:$J$1654,5,0),)</f>
        <v>Lactokinins: whey protein-derived ACE inhibitory peptides.; Milk peptides and blood pressure.; Use of beta-cyclodextrin to decrease the level of cholesterol in milk fat.; Antihypertensive peptides: production, bioavailability and incorporation into foods.; Bioactive peptides derived from milk proteins and their health beneficial potentials: an update.; Antihypertensive peptides from food proteins: a review.; What are the ideal properties for functional food peptides with antihypertensive effect? A computational peptidology approach.</v>
      </c>
      <c r="E1710" s="1" t="str">
        <f>IFERROR(VLOOKUP(A1710,[1]biopep_DB!$F$2:$L$1654,6,0),0)</f>
        <v>10.1002/(SICI)1521-3803(19990601)43:3&lt;165::AID-FOOD165&gt;3.0.CO;2-2; 10.1093/jn/137.3.825S; 10.3168/jds.2008-1452; 10.1016/j.cis.2010.11.001; 10.1039/c0fo00016g; 10.1039/c2fo10192k; 10.1016/j.foodchem.2013.05.140</v>
      </c>
      <c r="F1710" s="1" t="str">
        <f>IFERROR(VLOOKUP(A1710,[1]biopep_DB!$F$2:$L$1654,7,0),0)</f>
        <v>10399349 17311982 19233779 21185549 21773582 22249830 23871047</v>
      </c>
      <c r="G1710" s="5">
        <v>498.57</v>
      </c>
      <c r="H1710" s="5">
        <v>5.52</v>
      </c>
      <c r="I1710" s="5">
        <v>-0.24</v>
      </c>
      <c r="J1710" s="6">
        <v>1.225</v>
      </c>
      <c r="K1710" s="5">
        <v>-13.73</v>
      </c>
      <c r="L1710" s="6">
        <v>0.5</v>
      </c>
      <c r="M1710" s="6">
        <v>-2.175</v>
      </c>
      <c r="N1710" s="6">
        <v>0.25</v>
      </c>
      <c r="O1710" s="6">
        <v>0.25</v>
      </c>
      <c r="P1710" s="6">
        <v>0.75</v>
      </c>
      <c r="Q1710" s="7"/>
      <c r="R1710" s="7"/>
    </row>
    <row r="1711" spans="1:18">
      <c r="A1711" s="4" t="s">
        <v>2295</v>
      </c>
      <c r="B1711" s="4">
        <f t="shared" si="26"/>
        <v>8</v>
      </c>
      <c r="C1711" s="4" t="s">
        <v>25</v>
      </c>
      <c r="D1711" s="1" t="str">
        <f>IFERROR(VLOOKUP(A1711,[1]biopep_DB!$F$2:$J$1654,5,0),)</f>
        <v>Angiotensin I-converting enzyme inhibitory properties of whey protein digests: concentration and characterization of active peptides.</v>
      </c>
      <c r="E1711" s="1" t="str">
        <f>IFERROR(VLOOKUP(A1711,[1]biopep_DB!$F$2:$L$1654,6,0),0)</f>
        <v>10.1017/s0022029999003982</v>
      </c>
      <c r="F1711" s="1" t="str">
        <f>IFERROR(VLOOKUP(A1711,[1]biopep_DB!$F$2:$L$1654,7,0),0)</f>
        <v>10717843</v>
      </c>
      <c r="G1711" s="5">
        <v>865.97</v>
      </c>
      <c r="H1711" s="5">
        <v>5.52</v>
      </c>
      <c r="I1711" s="5">
        <v>-0.24</v>
      </c>
      <c r="J1711" s="6">
        <v>0.7625</v>
      </c>
      <c r="K1711" s="5">
        <v>-31.26</v>
      </c>
      <c r="L1711" s="6">
        <v>0.5</v>
      </c>
      <c r="M1711" s="6">
        <v>-1.8225</v>
      </c>
      <c r="N1711" s="6">
        <v>0.25</v>
      </c>
      <c r="O1711" s="6">
        <v>0.25</v>
      </c>
      <c r="P1711" s="6">
        <v>0.625</v>
      </c>
      <c r="Q1711" s="7"/>
      <c r="R1711" s="7"/>
    </row>
    <row r="1712" spans="1:18">
      <c r="A1712" s="4" t="s">
        <v>2296</v>
      </c>
      <c r="B1712" s="4">
        <f t="shared" si="26"/>
        <v>5</v>
      </c>
      <c r="C1712" s="4" t="s">
        <v>2297</v>
      </c>
      <c r="D1712" s="1" t="str">
        <f>IFERROR(VLOOKUP(A1712,[1]biopep_DB!$F$2:$J$1654,5,0),)</f>
        <v>A new QSAR model, for angiotensin I-converting enzyme inhibitory oligopeptides.</v>
      </c>
      <c r="E1712" s="1" t="str">
        <f>IFERROR(VLOOKUP(A1712,[1]biopep_DB!$F$2:$L$1654,6,0),0)</f>
        <v>10.1016/j.foodchem.2012.09.092</v>
      </c>
      <c r="F1712" s="1" t="str">
        <f>IFERROR(VLOOKUP(A1712,[1]biopep_DB!$F$2:$L$1654,7,0),0)</f>
        <v>23194537</v>
      </c>
      <c r="G1712" s="5">
        <v>611.69</v>
      </c>
      <c r="H1712" s="5">
        <v>5.52</v>
      </c>
      <c r="I1712" s="5">
        <v>-0.24</v>
      </c>
      <c r="J1712" s="6">
        <v>-0.16</v>
      </c>
      <c r="K1712" s="5">
        <v>15.7</v>
      </c>
      <c r="L1712" s="6">
        <v>0.4</v>
      </c>
      <c r="M1712" s="6">
        <v>-1.116</v>
      </c>
      <c r="N1712" s="6">
        <v>0.2</v>
      </c>
      <c r="O1712" s="6">
        <v>0.4</v>
      </c>
      <c r="P1712" s="6">
        <v>0.6</v>
      </c>
      <c r="Q1712" s="7"/>
      <c r="R1712" s="7"/>
    </row>
    <row r="1713" spans="1:18">
      <c r="A1713" s="4" t="s">
        <v>2298</v>
      </c>
      <c r="B1713" s="4">
        <f t="shared" si="26"/>
        <v>10</v>
      </c>
      <c r="C1713" s="4"/>
      <c r="G1713" s="5">
        <v>956.01</v>
      </c>
      <c r="H1713" s="5">
        <v>6.74</v>
      </c>
      <c r="I1713" s="5">
        <v>-0.15</v>
      </c>
      <c r="J1713" s="6">
        <v>-0.28</v>
      </c>
      <c r="K1713" s="5">
        <v>3.76</v>
      </c>
      <c r="L1713" s="6">
        <v>0.3</v>
      </c>
      <c r="M1713" s="6">
        <v>-0.909</v>
      </c>
      <c r="N1713" s="6">
        <v>0</v>
      </c>
      <c r="O1713" s="6">
        <v>0.6</v>
      </c>
      <c r="P1713" s="6">
        <v>0.3</v>
      </c>
      <c r="Q1713" s="7"/>
      <c r="R1713" s="7"/>
    </row>
    <row r="1714" spans="1:18">
      <c r="A1714" s="4" t="s">
        <v>2299</v>
      </c>
      <c r="B1714" s="4">
        <f t="shared" si="26"/>
        <v>3</v>
      </c>
      <c r="C1714" s="4"/>
      <c r="D1714" s="1" t="str">
        <f>IFERROR(VLOOKUP(A1714,[1]biopep_DB!$F$2:$J$1654,5,0),)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714" s="1" t="str">
        <f>IFERROR(VLOOKUP(A1714,[1]biopep_DB!$F$2:$L$1654,6,0),0)</f>
        <v>10.1002/psc.800; 10.1007/s00894-010-0862-x; 10.1016/j.foodchem.2013.05.140</v>
      </c>
      <c r="F1714" s="1" t="str">
        <f>IFERROR(VLOOKUP(A1714,[1]biopep_DB!$F$2:$L$1654,7,0),0)</f>
        <v>17117396 20941517 23871047</v>
      </c>
      <c r="G1714" s="5">
        <v>401.41</v>
      </c>
      <c r="H1714" s="5">
        <v>5.52</v>
      </c>
      <c r="I1714" s="5">
        <v>-0.24</v>
      </c>
      <c r="J1714" s="6">
        <v>-1</v>
      </c>
      <c r="K1714" s="5">
        <v>-49.93</v>
      </c>
      <c r="L1714" s="6">
        <v>0</v>
      </c>
      <c r="M1714" s="6">
        <v>-0.22</v>
      </c>
      <c r="N1714" s="6">
        <v>0</v>
      </c>
      <c r="O1714" s="6">
        <v>0.3333</v>
      </c>
      <c r="P1714" s="6">
        <v>0.6667</v>
      </c>
      <c r="Q1714" s="7"/>
      <c r="R1714" s="7"/>
    </row>
    <row r="1715" spans="1:18">
      <c r="A1715" s="4" t="s">
        <v>2300</v>
      </c>
      <c r="B1715" s="4">
        <f t="shared" si="26"/>
        <v>2</v>
      </c>
      <c r="C1715" s="4" t="s">
        <v>36</v>
      </c>
      <c r="D1715" s="1" t="str">
        <f>IFERROR(VLOOKUP(A1715,[1]biopep_DB!$F$2:$J$1654,5,0),)</f>
        <v>Antihypertensive effects of Undaria pinnatifida (wakame) peptide on blood pressure in spontaneously hypertensive rats.; Structural requirements of Angiotensin I-converting enzyme inhibitory peptides: quantitative structure-activity relationship study of di- and tripeptides.; Antihypertensive peptides from food proteins: a review.;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1715" s="1" t="str">
        <f>IFERROR(VLOOKUP(A1715,[1]biopep_DB!$F$2:$L$1654,6,0),0)</f>
        <v>10.1016/j.jnutbio.2003.11.004; 10.1021/jf051263l; 10.1039/c2fo10192k; 10.1016/j.talanta.2012.12.041; 10.1016/j.foodchem.2013.05.140; 10.1080/10408398.2012.664829</v>
      </c>
      <c r="F1715" s="1" t="str">
        <f>IFERROR(VLOOKUP(A1715,[1]biopep_DB!$F$2:$L$1654,7,0),0)</f>
        <v>15135150 16448176 22249830 23598136 23871047 24915368</v>
      </c>
      <c r="G1715" s="5">
        <v>318.33</v>
      </c>
      <c r="H1715" s="5">
        <v>6.74</v>
      </c>
      <c r="I1715" s="5">
        <v>-0.15</v>
      </c>
      <c r="J1715" s="6">
        <v>-2.25</v>
      </c>
      <c r="K1715" s="5">
        <v>66.7</v>
      </c>
      <c r="L1715" s="6">
        <v>0</v>
      </c>
      <c r="M1715" s="6">
        <v>0.565</v>
      </c>
      <c r="N1715" s="6">
        <v>0</v>
      </c>
      <c r="O1715" s="6">
        <v>0</v>
      </c>
      <c r="P1715" s="6">
        <v>0.5</v>
      </c>
      <c r="Q1715" s="7"/>
      <c r="R1715" s="7"/>
    </row>
    <row r="1716" spans="1:18">
      <c r="A1716" s="4" t="s">
        <v>2301</v>
      </c>
      <c r="B1716" s="4">
        <f t="shared" si="26"/>
        <v>15</v>
      </c>
      <c r="C1716" s="4"/>
      <c r="G1716" s="5">
        <v>1678.89</v>
      </c>
      <c r="H1716" s="5">
        <v>8.59</v>
      </c>
      <c r="I1716" s="5">
        <v>0.76</v>
      </c>
      <c r="J1716" s="6">
        <v>-0.2467</v>
      </c>
      <c r="K1716" s="5">
        <v>67.99</v>
      </c>
      <c r="L1716" s="6">
        <v>0.4667</v>
      </c>
      <c r="M1716" s="6">
        <v>-0.7093</v>
      </c>
      <c r="N1716" s="6">
        <v>0.2667</v>
      </c>
      <c r="O1716" s="6">
        <v>0.2667</v>
      </c>
      <c r="P1716" s="6">
        <v>0.3333</v>
      </c>
      <c r="Q1716" s="7"/>
      <c r="R1716" s="7"/>
    </row>
    <row r="1717" spans="1:18">
      <c r="A1717" s="4" t="s">
        <v>2302</v>
      </c>
      <c r="B1717" s="4">
        <f t="shared" si="26"/>
        <v>5</v>
      </c>
      <c r="C1717" s="4"/>
      <c r="D1717" s="1" t="str">
        <f>IFERROR(VLOOKUP(A1717,[1]biopep_DB!$F$2:$J$1654,5,0),)</f>
        <v>Angiotensin II and its heptapeptide (2-8), hexapeptide (3-8), and pentapeptide (4-8) metabolites in arterial and venous blood of man.</v>
      </c>
      <c r="E1717" s="1" t="str">
        <f>IFERROR(VLOOKUP(A1717,[1]biopep_DB!$F$2:$L$1654,6,0),0)</f>
        <v>10.1161/01.res.39.5.671</v>
      </c>
      <c r="F1717" s="1" t="str">
        <f>IFERROR(VLOOKUP(A1717,[1]biopep_DB!$F$2:$L$1654,7,0),0)</f>
        <v>975455</v>
      </c>
      <c r="G1717" s="5">
        <v>675.77</v>
      </c>
      <c r="H1717" s="5">
        <v>6.74</v>
      </c>
      <c r="I1717" s="5">
        <v>-0.15</v>
      </c>
      <c r="J1717" s="6">
        <v>0.24</v>
      </c>
      <c r="K1717" s="5">
        <v>65.44</v>
      </c>
      <c r="L1717" s="6">
        <v>0.6</v>
      </c>
      <c r="M1717" s="6">
        <v>-1.354</v>
      </c>
      <c r="N1717" s="6">
        <v>0</v>
      </c>
      <c r="O1717" s="6">
        <v>0.2</v>
      </c>
      <c r="P1717" s="6">
        <v>0.6</v>
      </c>
      <c r="Q1717" s="7"/>
      <c r="R1717" s="7"/>
    </row>
    <row r="1718" spans="1:18">
      <c r="A1718" s="4" t="s">
        <v>2303</v>
      </c>
      <c r="B1718" s="4">
        <f t="shared" si="26"/>
        <v>11</v>
      </c>
      <c r="C1718" s="4"/>
      <c r="G1718" s="5">
        <v>1393.57</v>
      </c>
      <c r="H1718" s="5">
        <v>8.59</v>
      </c>
      <c r="I1718" s="5">
        <v>0.77</v>
      </c>
      <c r="J1718" s="6">
        <v>-1.7909</v>
      </c>
      <c r="K1718" s="5">
        <v>77.2</v>
      </c>
      <c r="L1718" s="6">
        <v>0.2727</v>
      </c>
      <c r="M1718" s="6">
        <v>0.3627</v>
      </c>
      <c r="N1718" s="6">
        <v>0.2727</v>
      </c>
      <c r="O1718" s="6">
        <v>0.2727</v>
      </c>
      <c r="P1718" s="6">
        <v>0.1818</v>
      </c>
      <c r="Q1718" s="7"/>
      <c r="R1718" s="7"/>
    </row>
    <row r="1719" spans="1:18">
      <c r="A1719" s="4" t="s">
        <v>2304</v>
      </c>
      <c r="B1719" s="4">
        <f t="shared" si="26"/>
        <v>12</v>
      </c>
      <c r="C1719" s="4"/>
      <c r="G1719" s="5">
        <v>1464.65</v>
      </c>
      <c r="H1719" s="5">
        <v>8.59</v>
      </c>
      <c r="I1719" s="5">
        <v>0.76</v>
      </c>
      <c r="J1719" s="6">
        <v>-1.4917</v>
      </c>
      <c r="K1719" s="5">
        <v>71.6</v>
      </c>
      <c r="L1719" s="6">
        <v>0.3333</v>
      </c>
      <c r="M1719" s="6">
        <v>0.1817</v>
      </c>
      <c r="N1719" s="6">
        <v>0.3333</v>
      </c>
      <c r="O1719" s="6">
        <v>0.25</v>
      </c>
      <c r="P1719" s="6">
        <v>0.1667</v>
      </c>
      <c r="Q1719" s="7"/>
      <c r="R1719" s="7"/>
    </row>
    <row r="1720" spans="1:18">
      <c r="A1720" s="4" t="s">
        <v>2305</v>
      </c>
      <c r="B1720" s="4">
        <f t="shared" si="26"/>
        <v>6</v>
      </c>
      <c r="C1720" s="4" t="s">
        <v>105</v>
      </c>
      <c r="D1720" s="1" t="str">
        <f>IFERROR(VLOOKUP(A1720,[1]biopep_DB!$F$2:$J$1654,5,0),)</f>
        <v>Identification of novel angiotensin-converting enzyme-inhibitory peptides from ovine milk proteins by CE-MS and chromatographic techniques.; A new QSAR model, for angiotensin I-converting enzyme inhibitory oligopeptides.; Isolation and characterization of peptides with antihypertensive activity in foodstuffs.</v>
      </c>
      <c r="E1720" s="1" t="str">
        <f>IFERROR(VLOOKUP(A1720,[1]biopep_DB!$F$2:$L$1654,6,0),0)</f>
        <v>10.1002/elps.200700324; 10.1016/j.foodchem.2012.09.092; 10.1080/10408398.2012.664829</v>
      </c>
      <c r="F1720" s="1" t="str">
        <f>IFERROR(VLOOKUP(A1720,[1]biopep_DB!$F$2:$L$1654,7,0),0)</f>
        <v>17948260 23194537 24915368</v>
      </c>
      <c r="G1720" s="5">
        <v>795.92</v>
      </c>
      <c r="H1720" s="5">
        <v>5.52</v>
      </c>
      <c r="I1720" s="5">
        <v>-0.24</v>
      </c>
      <c r="J1720" s="6">
        <v>0.2167</v>
      </c>
      <c r="K1720" s="5">
        <v>-9.03</v>
      </c>
      <c r="L1720" s="6">
        <v>0.5</v>
      </c>
      <c r="M1720" s="6">
        <v>-1.3667</v>
      </c>
      <c r="N1720" s="6">
        <v>0</v>
      </c>
      <c r="O1720" s="6">
        <v>0.1667</v>
      </c>
      <c r="P1720" s="6">
        <v>0.6667</v>
      </c>
      <c r="Q1720" s="7"/>
      <c r="R1720" s="7"/>
    </row>
    <row r="1721" spans="1:18">
      <c r="A1721" s="4" t="s">
        <v>2306</v>
      </c>
      <c r="B1721" s="4">
        <f t="shared" si="26"/>
        <v>8</v>
      </c>
      <c r="C1721" s="4"/>
      <c r="D1721" s="1" t="str">
        <f>IFERROR(VLOOKUP(A1721,[1]biopep_DB!$F$2:$J$1654,5,0),)</f>
        <v/>
      </c>
      <c r="E1721" s="1" t="str">
        <f>IFERROR(VLOOKUP(A1721,[1]biopep_DB!$F$2:$L$1654,6,0),0)</f>
        <v/>
      </c>
      <c r="F1721" s="1" t="str">
        <f>IFERROR(VLOOKUP(A1721,[1]biopep_DB!$F$2:$L$1654,7,0),0)</f>
        <v/>
      </c>
      <c r="G1721" s="5">
        <v>1008.21</v>
      </c>
      <c r="H1721" s="5">
        <v>5.52</v>
      </c>
      <c r="I1721" s="5">
        <v>-0.24</v>
      </c>
      <c r="J1721" s="6">
        <v>1.1625</v>
      </c>
      <c r="K1721" s="5">
        <v>-4.28</v>
      </c>
      <c r="L1721" s="6">
        <v>0.625</v>
      </c>
      <c r="M1721" s="6">
        <v>-2.145</v>
      </c>
      <c r="N1721" s="6">
        <v>0.125</v>
      </c>
      <c r="O1721" s="6">
        <v>0.125</v>
      </c>
      <c r="P1721" s="6">
        <v>0.75</v>
      </c>
      <c r="Q1721" s="7"/>
      <c r="R1721" s="7"/>
    </row>
    <row r="1722" spans="1:18">
      <c r="A1722" s="4" t="s">
        <v>2307</v>
      </c>
      <c r="B1722" s="4">
        <f t="shared" si="26"/>
        <v>10</v>
      </c>
      <c r="C1722" s="4" t="s">
        <v>2308</v>
      </c>
      <c r="D1722" s="1" t="str">
        <f>IFERROR(VLOOKUP(A1722,[1]biopep_DB!$F$2:$J$1654,5,0),)</f>
        <v>Rheological, sensorial, and chemopreventive properties of milk fermented with exopolysaccharide-producing lactic cultures.; A new QSAR model, for angiotensin I-converting enzyme inhibitory oligopeptides.</v>
      </c>
      <c r="E1722" s="1" t="str">
        <f>IFERROR(VLOOKUP(A1722,[1]biopep_DB!$F$2:$L$1654,6,0),0)</f>
        <v>10.3168/jds.2008-1256; 10.1016/j.foodchem.2012.09.092</v>
      </c>
      <c r="F1722" s="1" t="str">
        <f>IFERROR(VLOOKUP(A1722,[1]biopep_DB!$F$2:$L$1654,7,0),0)</f>
        <v>19233777 23194537</v>
      </c>
      <c r="G1722" s="5">
        <v>1251.47</v>
      </c>
      <c r="H1722" s="5">
        <v>8.59</v>
      </c>
      <c r="I1722" s="5">
        <v>0.76</v>
      </c>
      <c r="J1722" s="6">
        <v>0.4</v>
      </c>
      <c r="K1722" s="5">
        <v>17.84</v>
      </c>
      <c r="L1722" s="6">
        <v>0.5</v>
      </c>
      <c r="M1722" s="6">
        <v>-1.36</v>
      </c>
      <c r="N1722" s="6">
        <v>0.1</v>
      </c>
      <c r="O1722" s="6">
        <v>0.2</v>
      </c>
      <c r="P1722" s="6">
        <v>0.6</v>
      </c>
      <c r="Q1722" s="7"/>
      <c r="R1722" s="7"/>
    </row>
    <row r="1723" spans="1:18">
      <c r="A1723" s="4" t="s">
        <v>2309</v>
      </c>
      <c r="B1723" s="4">
        <f t="shared" si="26"/>
        <v>2</v>
      </c>
      <c r="C1723" s="4" t="s">
        <v>43</v>
      </c>
      <c r="D1723" s="1" t="str">
        <f>IFERROR(VLOOKUP(A1723,[1]biopep_DB!$F$2:$J$1654,5,0),)</f>
        <v>Peptides with angiotensin I converting enzyme (ACE) inhibitory activity generated from porcine skeletal muscle proteins by the action of meat-borne Lactobacillus.</v>
      </c>
      <c r="E1723" s="1" t="str">
        <f>IFERROR(VLOOKUP(A1723,[1]biopep_DB!$F$2:$L$1654,6,0),0)</f>
        <v>10.1016/j.jprot.2013.06.023</v>
      </c>
      <c r="F1723" s="1" t="str">
        <f>IFERROR(VLOOKUP(A1723,[1]biopep_DB!$F$2:$L$1654,7,0),0)</f>
        <v>23806758</v>
      </c>
      <c r="G1723" s="5">
        <v>309.36</v>
      </c>
      <c r="H1723" s="5">
        <v>8.59</v>
      </c>
      <c r="I1723" s="5">
        <v>0.76</v>
      </c>
      <c r="J1723" s="6">
        <v>-2.6</v>
      </c>
      <c r="K1723" s="5">
        <v>5</v>
      </c>
      <c r="L1723" s="6">
        <v>0</v>
      </c>
      <c r="M1723" s="6">
        <v>0.86</v>
      </c>
      <c r="N1723" s="6">
        <v>0.5</v>
      </c>
      <c r="O1723" s="6">
        <v>0</v>
      </c>
      <c r="P1723" s="6">
        <v>0.5</v>
      </c>
      <c r="Q1723" s="7"/>
      <c r="R1723" s="7"/>
    </row>
    <row r="1724" spans="1:18">
      <c r="A1724" s="4" t="s">
        <v>2310</v>
      </c>
      <c r="B1724" s="4">
        <f t="shared" si="26"/>
        <v>6</v>
      </c>
      <c r="C1724" s="4" t="s">
        <v>2184</v>
      </c>
      <c r="D1724" s="1" t="str">
        <f>IFERROR(VLOOKUP(A1724,[1]biopep_DB!$F$2:$J$1654,5,0),)</f>
        <v>Identification of an antihypertensive peptide from casein hydrolysate produced by a proteinase from Lactobacillus helveticus CP790.; Bioactive peptides derived from milk proteins and their health beneficial potentials: an update.; Antihypertensive peptides from food proteins: a review.; A new QSAR model, for angiotensin I-converting enzyme inhibitory oligopeptides.</v>
      </c>
      <c r="E1724" s="1" t="str">
        <f>IFERROR(VLOOKUP(A1724,[1]biopep_DB!$F$2:$L$1654,6,0),0)</f>
        <v>10.3168/jds.S0022-0302(96)76487-1; 10.1039/c0fo00016g; 10.1039/c2fo10192k; 10.1016/j.foodchem.2012.09.092</v>
      </c>
      <c r="F1724" s="1" t="str">
        <f>IFERROR(VLOOKUP(A1724,[1]biopep_DB!$F$2:$L$1654,7,0),0)</f>
        <v>8880454 21773582 22249830 23194537</v>
      </c>
      <c r="G1724" s="5">
        <v>746.89</v>
      </c>
      <c r="H1724" s="5">
        <v>8.59</v>
      </c>
      <c r="I1724" s="5">
        <v>0.76</v>
      </c>
      <c r="J1724" s="6">
        <v>-0.3833</v>
      </c>
      <c r="K1724" s="5">
        <v>58.38</v>
      </c>
      <c r="L1724" s="6">
        <v>0.5</v>
      </c>
      <c r="M1724" s="6">
        <v>-0.98</v>
      </c>
      <c r="N1724" s="6">
        <v>0.3333</v>
      </c>
      <c r="O1724" s="6">
        <v>0.1667</v>
      </c>
      <c r="P1724" s="6">
        <v>0.5</v>
      </c>
      <c r="Q1724" s="7"/>
      <c r="R1724" s="7"/>
    </row>
    <row r="1725" spans="1:18">
      <c r="A1725" s="4" t="s">
        <v>2311</v>
      </c>
      <c r="B1725" s="4">
        <f t="shared" si="26"/>
        <v>3</v>
      </c>
      <c r="C1725" s="4" t="s">
        <v>2312</v>
      </c>
      <c r="D1725" s="1" t="str">
        <f>IFERROR(VLOOKUP(A1725,[1]biopep_DB!$F$2:$J$1654,5,0),)</f>
        <v>Inhibition strength of short peptides derived from an ACE inhibitory peptide.</v>
      </c>
      <c r="E1725" s="1" t="str">
        <f>IFERROR(VLOOKUP(A1725,[1]biopep_DB!$F$2:$L$1654,6,0),0)</f>
        <v>10.1021/jf202902r</v>
      </c>
      <c r="F1725" s="1" t="str">
        <f>IFERROR(VLOOKUP(A1725,[1]biopep_DB!$F$2:$L$1654,7,0),0)</f>
        <v>21923188</v>
      </c>
      <c r="G1725" s="5">
        <v>495.57</v>
      </c>
      <c r="H1725" s="5">
        <v>8.59</v>
      </c>
      <c r="I1725" s="5">
        <v>0.76</v>
      </c>
      <c r="J1725" s="6">
        <v>-2.0333</v>
      </c>
      <c r="K1725" s="5">
        <v>6.67</v>
      </c>
      <c r="L1725" s="6">
        <v>0.3333</v>
      </c>
      <c r="M1725" s="6">
        <v>-0.2033</v>
      </c>
      <c r="N1725" s="6">
        <v>0.3333</v>
      </c>
      <c r="O1725" s="6">
        <v>0</v>
      </c>
      <c r="P1725" s="6">
        <v>0.6667</v>
      </c>
      <c r="Q1725" s="7"/>
      <c r="R1725" s="7"/>
    </row>
    <row r="1726" spans="1:18">
      <c r="A1726" s="4" t="s">
        <v>2313</v>
      </c>
      <c r="B1726" s="4">
        <f t="shared" si="26"/>
        <v>4</v>
      </c>
      <c r="C1726" s="4" t="s">
        <v>2314</v>
      </c>
      <c r="D1726" s="1" t="str">
        <f>IFERROR(VLOOKUP(A1726,[1]biopep_DB!$F$2:$J$1654,5,0),)</f>
        <v>Inhibition strength of short peptides derived from an ACE inhibitory peptide.</v>
      </c>
      <c r="E1726" s="1" t="str">
        <f>IFERROR(VLOOKUP(A1726,[1]biopep_DB!$F$2:$L$1654,6,0),0)</f>
        <v>10.1021/jf202902r</v>
      </c>
      <c r="F1726" s="1" t="str">
        <f>IFERROR(VLOOKUP(A1726,[1]biopep_DB!$F$2:$L$1654,7,0),0)</f>
        <v>21923188</v>
      </c>
      <c r="G1726" s="5">
        <v>608.73</v>
      </c>
      <c r="H1726" s="5">
        <v>8.59</v>
      </c>
      <c r="I1726" s="5">
        <v>0.76</v>
      </c>
      <c r="J1726" s="6">
        <v>-0.575</v>
      </c>
      <c r="K1726" s="5">
        <v>38.35</v>
      </c>
      <c r="L1726" s="6">
        <v>0.5</v>
      </c>
      <c r="M1726" s="6">
        <v>-1.3825</v>
      </c>
      <c r="N1726" s="6">
        <v>0.5</v>
      </c>
      <c r="O1726" s="6">
        <v>0</v>
      </c>
      <c r="P1726" s="6">
        <v>0.75</v>
      </c>
      <c r="Q1726" s="7"/>
      <c r="R1726" s="7"/>
    </row>
    <row r="1727" spans="1:18">
      <c r="A1727" s="4" t="s">
        <v>2315</v>
      </c>
      <c r="B1727" s="4">
        <f t="shared" si="26"/>
        <v>5</v>
      </c>
      <c r="C1727" s="4" t="s">
        <v>1669</v>
      </c>
      <c r="G1727" s="5">
        <v>705.84</v>
      </c>
      <c r="H1727" s="5">
        <v>8.59</v>
      </c>
      <c r="I1727" s="5">
        <v>0.76</v>
      </c>
      <c r="J1727" s="6">
        <v>-0.78</v>
      </c>
      <c r="K1727" s="5">
        <v>71.2</v>
      </c>
      <c r="L1727" s="6">
        <v>0.6</v>
      </c>
      <c r="M1727" s="6">
        <v>-1.106</v>
      </c>
      <c r="N1727" s="6">
        <v>0.4</v>
      </c>
      <c r="O1727" s="6">
        <v>0.2</v>
      </c>
      <c r="P1727" s="6">
        <v>0.6</v>
      </c>
      <c r="Q1727" s="7"/>
      <c r="R1727" s="7"/>
    </row>
    <row r="1728" spans="1:18">
      <c r="A1728" s="4" t="s">
        <v>2316</v>
      </c>
      <c r="B1728" s="4">
        <f t="shared" si="26"/>
        <v>3</v>
      </c>
      <c r="C1728" s="4" t="s">
        <v>2317</v>
      </c>
      <c r="D1728" s="1" t="str">
        <f>IFERROR(VLOOKUP(A1728,[1]biopep_DB!$F$2:$J$1654,5,0),)</f>
        <v/>
      </c>
      <c r="E1728" s="1" t="str">
        <f>IFERROR(VLOOKUP(A1728,[1]biopep_DB!$F$2:$L$1654,6,0),0)</f>
        <v/>
      </c>
      <c r="F1728" s="1" t="str">
        <f>IFERROR(VLOOKUP(A1728,[1]biopep_DB!$F$2:$L$1654,7,0),0)</f>
        <v/>
      </c>
      <c r="G1728" s="5">
        <v>472.53</v>
      </c>
      <c r="H1728" s="5">
        <v>8.5</v>
      </c>
      <c r="I1728" s="5">
        <v>0.76</v>
      </c>
      <c r="J1728" s="6">
        <v>-2.1667</v>
      </c>
      <c r="K1728" s="5">
        <v>6.67</v>
      </c>
      <c r="L1728" s="6">
        <v>0</v>
      </c>
      <c r="M1728" s="6">
        <v>0.62</v>
      </c>
      <c r="N1728" s="6">
        <v>0.3333</v>
      </c>
      <c r="O1728" s="6">
        <v>0</v>
      </c>
      <c r="P1728" s="6">
        <v>0.6667</v>
      </c>
      <c r="Q1728" s="7"/>
      <c r="R1728" s="7"/>
    </row>
    <row r="1729" spans="1:18">
      <c r="A1729" s="4" t="s">
        <v>2318</v>
      </c>
      <c r="B1729" s="4">
        <f t="shared" si="26"/>
        <v>4</v>
      </c>
      <c r="C1729" s="4" t="s">
        <v>2319</v>
      </c>
      <c r="D1729" s="1" t="str">
        <f>IFERROR(VLOOKUP(A1729,[1]biopep_DB!$F$2:$J$1654,5,0),)</f>
        <v>Identification of an antihypertensive peptide from peptic digest of wakame (Undaria pinnatifida).;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1729" s="1" t="str">
        <f>IFERROR(VLOOKUP(A1729,[1]biopep_DB!$F$2:$L$1654,6,0),0)</f>
        <v>10.1016/s0955-2863(00)00110-8; 10.1007/s12010-012-0024-y; 10.1016/j.talanta.2012.12.041; 10.1016/j.foodchem.2013.05.140; 10.1080/10408398.2012.664829</v>
      </c>
      <c r="F1729" s="1" t="str">
        <f>IFERROR(VLOOKUP(A1729,[1]biopep_DB!$F$2:$L$1654,7,0),0)</f>
        <v>11091100 23271625 23598136 23871047 24915368</v>
      </c>
      <c r="G1729" s="5">
        <v>635.71</v>
      </c>
      <c r="H1729" s="5">
        <v>8.43</v>
      </c>
      <c r="I1729" s="5">
        <v>0.76</v>
      </c>
      <c r="J1729" s="6">
        <v>-1.95</v>
      </c>
      <c r="K1729" s="5">
        <v>38.35</v>
      </c>
      <c r="L1729" s="6">
        <v>0</v>
      </c>
      <c r="M1729" s="6">
        <v>0.5</v>
      </c>
      <c r="N1729" s="6">
        <v>0.25</v>
      </c>
      <c r="O1729" s="6">
        <v>0</v>
      </c>
      <c r="P1729" s="6">
        <v>0.75</v>
      </c>
      <c r="Q1729" s="7"/>
      <c r="R1729" s="7"/>
    </row>
    <row r="1730" spans="1:18">
      <c r="A1730" s="4" t="s">
        <v>2320</v>
      </c>
      <c r="B1730" s="4">
        <f t="shared" si="26"/>
        <v>2</v>
      </c>
      <c r="C1730" s="4" t="s">
        <v>36</v>
      </c>
      <c r="D1730" s="1" t="str">
        <f>IFERROR(VLOOKUP(A1730,[1]biopep_DB!$F$2:$J$1654,5,0),)</f>
        <v>Synthetic peptides corresponding to alpha-lactalbumin and beta-lactoglobulin sequences with angiotensin-I-converting enzyme inhibitory activity.; Structural requirements of Angiotensin I-converting enzyme inhibitory peptides: quantitative structure-activity relationship study of di- and tripeptides.; Three-dimensional holograph vector of atomic interaction field (3D-HoVAIF): a novel rotation-translation invariant 3D structure descriptor and its applications to peptides.; Bioactive peptides in amaranth (Amaranthus hypochondriacus) seed.; Quality and acceptability of a set-type yogurt made from camel milk.; Review on the angiotensin-I-converting enzyme (ACE) inhibitor peptides from marine proteins.; Peptides with angiotensin I converting enzyme (ACE) inhibitory activity generated from porcine skeletal muscle proteins by the action of meat-borne Lactobacillus.; What are the ideal properties for functional food peptides with antihypertensive effect? A computational peptidology approach.</v>
      </c>
      <c r="E1730" s="1" t="str">
        <f>IFERROR(VLOOKUP(A1730,[1]biopep_DB!$F$2:$L$1654,6,0),0)</f>
        <v>10.1515/bchm3.1996.377.4.259; 10.1021/jf051263l; 10.1002/psc.892; 10.1021/jf072911z; 10.3168/jds.2008-1408; 10.1007/s12010-012-0024-y; 10.1016/j.jprot.2013.06.023; 10.1016/j.foodchem.2013.05.140</v>
      </c>
      <c r="F1730" s="1" t="str">
        <f>IFERROR(VLOOKUP(A1730,[1]biopep_DB!$F$2:$L$1654,7,0),0)</f>
        <v>8737991 16448176 17654623 18211015 19233778 23271625 23806758 23871047</v>
      </c>
      <c r="G1730" s="5">
        <v>294.35</v>
      </c>
      <c r="H1730" s="5">
        <v>5.52</v>
      </c>
      <c r="I1730" s="5">
        <v>-0.24</v>
      </c>
      <c r="J1730" s="6">
        <v>1.25</v>
      </c>
      <c r="K1730" s="5">
        <v>5</v>
      </c>
      <c r="L1730" s="6">
        <v>0.5</v>
      </c>
      <c r="M1730" s="6">
        <v>-2.39</v>
      </c>
      <c r="N1730" s="6">
        <v>0.5</v>
      </c>
      <c r="O1730" s="6">
        <v>0</v>
      </c>
      <c r="P1730" s="6">
        <v>1</v>
      </c>
      <c r="Q1730" s="7"/>
      <c r="R1730" s="7"/>
    </row>
    <row r="1731" spans="1:18">
      <c r="A1731" s="4" t="s">
        <v>2321</v>
      </c>
      <c r="B1731" s="4">
        <f t="shared" si="26"/>
        <v>6</v>
      </c>
      <c r="C1731" s="4" t="s">
        <v>449</v>
      </c>
      <c r="D1731" s="1" t="str">
        <f>IFERROR(VLOOKUP(A1731,[1]biopep_DB!$F$2:$J$1654,5,0),)</f>
        <v>A new QSAR model, for angiotensin I-converting enzyme inhibitory oligopeptides.; Vegetable foods: a cheap source of proteins and peptides with antihypertensive, antioxidant, and other less occurrence bioactivities.; Rational design of angiotensin-I-converting enzyme inhibitory peptides by integrating in silico modeling and an in vitro assay.; Isolation and characterization of peptides with antihypertensive activity in foodstuffs.</v>
      </c>
      <c r="E1731" s="1" t="str">
        <f>IFERROR(VLOOKUP(A1731,[1]biopep_DB!$F$2:$L$1654,6,0),0)</f>
        <v>10.1016/j.foodchem.2012.09.092; 10.1016/j.talanta.2012.12.041; 10.1002/cmdc.201300132; 10.1080/10408398.2012.664829</v>
      </c>
      <c r="F1731" s="1" t="str">
        <f>IFERROR(VLOOKUP(A1731,[1]biopep_DB!$F$2:$L$1654,7,0),0)</f>
        <v>23194537 23598136 23740817 24915368</v>
      </c>
      <c r="G1731" s="5">
        <v>664.71</v>
      </c>
      <c r="H1731" s="5">
        <v>5.52</v>
      </c>
      <c r="I1731" s="5">
        <v>-0.24</v>
      </c>
      <c r="J1731" s="6">
        <v>-0.5167</v>
      </c>
      <c r="K1731" s="5">
        <v>-18.38</v>
      </c>
      <c r="L1731" s="6">
        <v>0.3333</v>
      </c>
      <c r="M1731" s="6">
        <v>-0.7583</v>
      </c>
      <c r="N1731" s="6">
        <v>0.3333</v>
      </c>
      <c r="O1731" s="6">
        <v>0.3333</v>
      </c>
      <c r="P1731" s="6">
        <v>0.3333</v>
      </c>
      <c r="Q1731" s="7"/>
      <c r="R1731" s="7"/>
    </row>
    <row r="1732" spans="1:18">
      <c r="A1732" s="4" t="s">
        <v>2322</v>
      </c>
      <c r="B1732" s="4">
        <f t="shared" si="26"/>
        <v>5</v>
      </c>
      <c r="C1732" s="4"/>
      <c r="D1732" s="1" t="str">
        <f>IFERROR(VLOOKUP(A1732,[1]biopep_DB!$F$2:$J$1654,5,0),)</f>
        <v/>
      </c>
      <c r="E1732" s="1" t="str">
        <f>IFERROR(VLOOKUP(A1732,[1]biopep_DB!$F$2:$L$1654,6,0),0)</f>
        <v/>
      </c>
      <c r="F1732" s="1" t="str">
        <f>IFERROR(VLOOKUP(A1732,[1]biopep_DB!$F$2:$L$1654,7,0),0)</f>
        <v/>
      </c>
      <c r="G1732" s="5">
        <v>630.74</v>
      </c>
      <c r="H1732" s="5">
        <v>8.6</v>
      </c>
      <c r="I1732" s="5">
        <v>0.85</v>
      </c>
      <c r="J1732" s="6">
        <v>-0.56</v>
      </c>
      <c r="K1732" s="5">
        <v>38.38</v>
      </c>
      <c r="L1732" s="6">
        <v>0.4</v>
      </c>
      <c r="M1732" s="6">
        <v>-0.804</v>
      </c>
      <c r="N1732" s="6">
        <v>0.6</v>
      </c>
      <c r="O1732" s="6">
        <v>0</v>
      </c>
      <c r="P1732" s="6">
        <v>0.4</v>
      </c>
      <c r="Q1732" s="7"/>
      <c r="R1732" s="7"/>
    </row>
    <row r="1733" spans="1:18">
      <c r="A1733" s="4" t="s">
        <v>2323</v>
      </c>
      <c r="B1733" s="4">
        <f t="shared" si="26"/>
        <v>5</v>
      </c>
      <c r="C1733" s="4"/>
      <c r="D1733" s="1" t="str">
        <f>IFERROR(VLOOKUP(A1733,[1]biopep_DB!$F$2:$J$1654,5,0),)</f>
        <v>Isolation from alpha-zein of thermolysin peptides with angiotensin I-converting enzyme inhibitory activity.</v>
      </c>
      <c r="E1733" s="1" t="str">
        <f>IFERROR(VLOOKUP(A1733,[1]biopep_DB!$F$2:$L$1654,6,0),0)</f>
        <v>10.1271/bbb.60.661</v>
      </c>
      <c r="F1733" s="1" t="str">
        <f>IFERROR(VLOOKUP(A1733,[1]biopep_DB!$F$2:$L$1654,7,0),0)</f>
        <v>8829536</v>
      </c>
      <c r="G1733" s="5">
        <v>591.65</v>
      </c>
      <c r="H1733" s="5">
        <v>4.05</v>
      </c>
      <c r="I1733" s="5">
        <v>-1.24</v>
      </c>
      <c r="J1733" s="6">
        <v>-0.16</v>
      </c>
      <c r="K1733" s="5">
        <v>85.04</v>
      </c>
      <c r="L1733" s="6">
        <v>0.6</v>
      </c>
      <c r="M1733" s="6">
        <v>-0.99</v>
      </c>
      <c r="N1733" s="6">
        <v>0.6</v>
      </c>
      <c r="O1733" s="6">
        <v>0.2</v>
      </c>
      <c r="P1733" s="6">
        <v>0.4</v>
      </c>
      <c r="Q1733" s="7"/>
      <c r="R1733" s="7"/>
    </row>
    <row r="1734" spans="1:18">
      <c r="A1734" s="4" t="s">
        <v>2324</v>
      </c>
      <c r="B1734" s="4">
        <f t="shared" ref="B1734:B1797" si="27">LEN(A1734)</f>
        <v>4</v>
      </c>
      <c r="C1734" s="4" t="s">
        <v>2325</v>
      </c>
      <c r="D1734" s="1" t="str">
        <f>IFERROR(VLOOKUP(A1734,[1]biopep_DB!$F$2:$J$1654,5,0),)</f>
        <v>Synthetic peptides corresponding to alpha-lactalbumin and beta-lactoglobulin sequences with angiotensin-I-converting enzyme inhibitory activity.; Analysis of novel angiotensin-I-converting enzyme inhibitory peptides from protease-hydrolyzed marine shrimp Acetes chinensis.; Quality and acceptability of a set-type yogurt made from camel milk.; Bioactive peptides derived from milk proteins and their health beneficial potentials: an update.</v>
      </c>
      <c r="E1734" s="1" t="str">
        <f>IFERROR(VLOOKUP(A1734,[1]biopep_DB!$F$2:$L$1654,6,0),0)</f>
        <v>10.1515/bchm3.1996.377.4.259; 10.1002/psc.789; 10.3168/jds.2008-1408; 10.1039/c0fo00016g</v>
      </c>
      <c r="F1734" s="1" t="str">
        <f>IFERROR(VLOOKUP(A1734,[1]biopep_DB!$F$2:$L$1654,7,0),0)</f>
        <v>8737991 16981241 19233778 21773582</v>
      </c>
      <c r="G1734" s="5">
        <v>554.68</v>
      </c>
      <c r="H1734" s="5">
        <v>5.52</v>
      </c>
      <c r="I1734" s="5">
        <v>-0.24</v>
      </c>
      <c r="J1734" s="6">
        <v>2.275</v>
      </c>
      <c r="K1734" s="5">
        <v>7.5</v>
      </c>
      <c r="L1734" s="6">
        <v>0.75</v>
      </c>
      <c r="M1734" s="6">
        <v>-3.17</v>
      </c>
      <c r="N1734" s="6">
        <v>0.5</v>
      </c>
      <c r="O1734" s="6">
        <v>0</v>
      </c>
      <c r="P1734" s="6">
        <v>1</v>
      </c>
      <c r="Q1734" s="7"/>
      <c r="R1734" s="7"/>
    </row>
    <row r="1735" spans="1:18">
      <c r="A1735" s="4" t="s">
        <v>2326</v>
      </c>
      <c r="B1735" s="4">
        <f t="shared" si="27"/>
        <v>6</v>
      </c>
      <c r="C1735" s="4" t="s">
        <v>190</v>
      </c>
      <c r="D1735" s="1" t="str">
        <f>IFERROR(VLOOKUP(A1735,[1]biopep_DB!$F$2:$J$1654,5,0),)</f>
        <v>A new QSAR model, for angiotensin I-converting enzyme inhibitory oligopeptides.</v>
      </c>
      <c r="E1735" s="1" t="str">
        <f>IFERROR(VLOOKUP(A1735,[1]biopep_DB!$F$2:$L$1654,6,0),0)</f>
        <v>10.1016/j.foodchem.2012.09.092</v>
      </c>
      <c r="F1735" s="1" t="str">
        <f>IFERROR(VLOOKUP(A1735,[1]biopep_DB!$F$2:$L$1654,7,0),0)</f>
        <v>23194537</v>
      </c>
      <c r="G1735" s="5">
        <v>770.87</v>
      </c>
      <c r="H1735" s="5">
        <v>4.05</v>
      </c>
      <c r="I1735" s="5">
        <v>-1.24</v>
      </c>
      <c r="J1735" s="6">
        <v>0.6667</v>
      </c>
      <c r="K1735" s="5">
        <v>27.87</v>
      </c>
      <c r="L1735" s="6">
        <v>0.5</v>
      </c>
      <c r="M1735" s="6">
        <v>-1.6217</v>
      </c>
      <c r="N1735" s="6">
        <v>0.5</v>
      </c>
      <c r="O1735" s="6">
        <v>0</v>
      </c>
      <c r="P1735" s="6">
        <v>0.6667</v>
      </c>
      <c r="Q1735" s="7"/>
      <c r="R1735" s="7"/>
    </row>
    <row r="1736" spans="1:18">
      <c r="A1736" s="4" t="s">
        <v>2327</v>
      </c>
      <c r="B1736" s="4">
        <f t="shared" si="27"/>
        <v>7</v>
      </c>
      <c r="C1736" s="4" t="s">
        <v>1973</v>
      </c>
      <c r="D1736" s="1" t="str">
        <f>IFERROR(VLOOKUP(A1736,[1]biopep_DB!$F$2:$J$1654,5,0),)</f>
        <v>A new QSAR model, for angiotensin I-converting enzyme inhibitory oligopeptides.</v>
      </c>
      <c r="E1736" s="1" t="str">
        <f>IFERROR(VLOOKUP(A1736,[1]biopep_DB!$F$2:$L$1654,6,0),0)</f>
        <v>10.1016/j.foodchem.2012.09.092</v>
      </c>
      <c r="F1736" s="1" t="str">
        <f>IFERROR(VLOOKUP(A1736,[1]biopep_DB!$F$2:$L$1654,7,0),0)</f>
        <v>23194537</v>
      </c>
      <c r="G1736" s="5">
        <v>927.05</v>
      </c>
      <c r="H1736" s="5">
        <v>6</v>
      </c>
      <c r="I1736" s="5">
        <v>-0.24</v>
      </c>
      <c r="J1736" s="6">
        <v>-0.0714</v>
      </c>
      <c r="K1736" s="5">
        <v>25.31</v>
      </c>
      <c r="L1736" s="6">
        <v>0.4286</v>
      </c>
      <c r="M1736" s="6">
        <v>-1.0014</v>
      </c>
      <c r="N1736" s="6">
        <v>0.4286</v>
      </c>
      <c r="O1736" s="6">
        <v>0</v>
      </c>
      <c r="P1736" s="6">
        <v>0.5714</v>
      </c>
      <c r="Q1736" s="7"/>
      <c r="R1736" s="7"/>
    </row>
    <row r="1737" spans="1:18">
      <c r="A1737" s="4" t="s">
        <v>2328</v>
      </c>
      <c r="B1737" s="4">
        <f t="shared" si="27"/>
        <v>8</v>
      </c>
      <c r="C1737" s="4" t="s">
        <v>1142</v>
      </c>
      <c r="D1737" s="1" t="str">
        <f>IFERROR(VLOOKUP(A1737,[1]biopep_DB!$F$2:$J$1654,5,0),)</f>
        <v>A new QSAR model, for angiotensin I-converting enzyme inhibitory oligopeptides.</v>
      </c>
      <c r="E1737" s="1" t="str">
        <f>IFERROR(VLOOKUP(A1737,[1]biopep_DB!$F$2:$L$1654,6,0),0)</f>
        <v>10.1016/j.foodchem.2012.09.092</v>
      </c>
      <c r="F1737" s="1" t="str">
        <f>IFERROR(VLOOKUP(A1737,[1]biopep_DB!$F$2:$L$1654,7,0),0)</f>
        <v>23194537</v>
      </c>
      <c r="G1737" s="5">
        <v>1083.24</v>
      </c>
      <c r="H1737" s="5">
        <v>8.59</v>
      </c>
      <c r="I1737" s="5">
        <v>0.76</v>
      </c>
      <c r="J1737" s="6">
        <v>-0.625</v>
      </c>
      <c r="K1737" s="5">
        <v>95</v>
      </c>
      <c r="L1737" s="6">
        <v>0.375</v>
      </c>
      <c r="M1737" s="6">
        <v>-0.5362</v>
      </c>
      <c r="N1737" s="6">
        <v>0.375</v>
      </c>
      <c r="O1737" s="6">
        <v>0</v>
      </c>
      <c r="P1737" s="6">
        <v>0.5</v>
      </c>
      <c r="Q1737" s="7"/>
      <c r="R1737" s="7"/>
    </row>
    <row r="1738" spans="1:18">
      <c r="A1738" s="4" t="s">
        <v>2329</v>
      </c>
      <c r="B1738" s="4">
        <f t="shared" si="27"/>
        <v>2</v>
      </c>
      <c r="C1738" s="4" t="s">
        <v>1498</v>
      </c>
      <c r="D1738" s="1" t="str">
        <f>IFERROR(VLOOKUP(A1738,[1]biopep_DB!$F$2:$J$1654,5,0),)</f>
        <v>Review on the angiotensin-I-converting enzyme (ACE) inhibitor peptides from marine proteins.; What are the ideal properties for functional food peptides with antihypertensive effect? A computational peptidology approach.</v>
      </c>
      <c r="E1738" s="1" t="str">
        <f>IFERROR(VLOOKUP(A1738,[1]biopep_DB!$F$2:$L$1654,6,0),0)</f>
        <v>10.1007/s12010-012-0024-y; 10.1016/j.foodchem.2013.05.140</v>
      </c>
      <c r="F1738" s="1" t="str">
        <f>IFERROR(VLOOKUP(A1738,[1]biopep_DB!$F$2:$L$1654,7,0),0)</f>
        <v>23271625 23871047</v>
      </c>
      <c r="G1738" s="5">
        <v>295.29</v>
      </c>
      <c r="H1738" s="5">
        <v>5.52</v>
      </c>
      <c r="I1738" s="5">
        <v>-0.24</v>
      </c>
      <c r="J1738" s="6">
        <v>-2.4</v>
      </c>
      <c r="K1738" s="5">
        <v>5</v>
      </c>
      <c r="L1738" s="6">
        <v>0</v>
      </c>
      <c r="M1738" s="6">
        <v>0.88</v>
      </c>
      <c r="N1738" s="6">
        <v>0</v>
      </c>
      <c r="O1738" s="6">
        <v>0.5</v>
      </c>
      <c r="P1738" s="6">
        <v>0.5</v>
      </c>
      <c r="Q1738" s="7"/>
      <c r="R1738" s="7"/>
    </row>
    <row r="1739" spans="1:18">
      <c r="A1739" s="4" t="s">
        <v>2330</v>
      </c>
      <c r="B1739" s="4">
        <f t="shared" si="27"/>
        <v>3</v>
      </c>
      <c r="C1739" s="4" t="s">
        <v>2331</v>
      </c>
      <c r="D1739" s="1" t="str">
        <f>IFERROR(VLOOKUP(A1739,[1]biopep_DB!$F$2:$J$1654,5,0),)</f>
        <v/>
      </c>
      <c r="E1739" s="1" t="str">
        <f>IFERROR(VLOOKUP(A1739,[1]biopep_DB!$F$2:$L$1654,6,0),0)</f>
        <v/>
      </c>
      <c r="F1739" s="1" t="str">
        <f>IFERROR(VLOOKUP(A1739,[1]biopep_DB!$F$2:$L$1654,7,0),0)</f>
        <v/>
      </c>
      <c r="G1739" s="5">
        <v>423.46</v>
      </c>
      <c r="H1739" s="5">
        <v>8.59</v>
      </c>
      <c r="I1739" s="5">
        <v>0.76</v>
      </c>
      <c r="J1739" s="6">
        <v>-2.9</v>
      </c>
      <c r="K1739" s="5">
        <v>85.6</v>
      </c>
      <c r="L1739" s="6">
        <v>0</v>
      </c>
      <c r="M1739" s="6">
        <v>1.1133</v>
      </c>
      <c r="N1739" s="6">
        <v>0.3333</v>
      </c>
      <c r="O1739" s="6">
        <v>0.3333</v>
      </c>
      <c r="P1739" s="6">
        <v>0.3333</v>
      </c>
      <c r="Q1739" s="7"/>
      <c r="R1739" s="7"/>
    </row>
    <row r="1740" spans="1:18">
      <c r="A1740" s="4" t="s">
        <v>2332</v>
      </c>
      <c r="B1740" s="4">
        <f t="shared" si="27"/>
        <v>4</v>
      </c>
      <c r="C1740" s="4" t="s">
        <v>1514</v>
      </c>
      <c r="D1740" s="1" t="str">
        <f>IFERROR(VLOOKUP(A1740,[1]biopep_DB!$F$2:$J$1654,5,0),)</f>
        <v>Identification of an antihypertensive peptide from peptic digest of wakame (Undaria pinnatifida).; Review on the angiotensin-I-converting enzyme (ACE) inhibitor peptides from marine proteins.; Vegetable foods: a cheap source of proteins and peptides with antihypertensive, antioxidant, and other less occurrence bioactivities.; What are the ideal properties for functional food peptides with antihypertensive effect? A computational peptidology approach.; Isolation and characterization of peptides with antihypertensive activity in foodstuffs.</v>
      </c>
      <c r="E1740" s="1" t="str">
        <f>IFERROR(VLOOKUP(A1740,[1]biopep_DB!$F$2:$L$1654,6,0),0)</f>
        <v>10.1016/s0955-2863(00)00110-8; 10.1007/s12010-012-0024-y; 10.1016/j.talanta.2012.12.041; 10.1016/j.foodchem.2013.05.140; 10.1080/10408398.2012.664829</v>
      </c>
      <c r="F1740" s="1" t="str">
        <f>IFERROR(VLOOKUP(A1740,[1]biopep_DB!$F$2:$L$1654,7,0),0)</f>
        <v>11091100 23271625 23598136 23871047 24915368</v>
      </c>
      <c r="G1740" s="5">
        <v>536.62</v>
      </c>
      <c r="H1740" s="5">
        <v>8.59</v>
      </c>
      <c r="I1740" s="5">
        <v>0.76</v>
      </c>
      <c r="J1740" s="6">
        <v>-1.225</v>
      </c>
      <c r="K1740" s="5">
        <v>45.47</v>
      </c>
      <c r="L1740" s="6">
        <v>0.25</v>
      </c>
      <c r="M1740" s="6">
        <v>-0.395</v>
      </c>
      <c r="N1740" s="6">
        <v>0.5</v>
      </c>
      <c r="O1740" s="6">
        <v>0.25</v>
      </c>
      <c r="P1740" s="6">
        <v>0.5</v>
      </c>
      <c r="Q1740" s="7"/>
      <c r="R1740" s="7"/>
    </row>
    <row r="1741" spans="1:18">
      <c r="A1741" s="4" t="s">
        <v>2333</v>
      </c>
      <c r="B1741" s="4">
        <f t="shared" si="27"/>
        <v>2</v>
      </c>
      <c r="C1741" s="4" t="s">
        <v>36</v>
      </c>
      <c r="D1741" s="1" t="str">
        <f>IFERROR(VLOOKUP(A1741,[1]biopep_DB!$F$2:$J$1654,5,0),)</f>
        <v>Structural requirements of Angiotensin I-converting enzyme inhibitory peptides: quantitative structure-activity relationship study of di- and tripeptides.; Bioactive peptides in amaranth (Amaranthus hypochondriacus) seed.; Rheological, sensorial, and chemopreventive properties of milk fermented with exopolysaccharide-producing lactic cultures.; Antihypertensive peptides: production, bioavailability and incorporation into foods.; Antihypertensive peptides from food proteins: a review.; Peptides with angiotensin I converting enzyme (ACE) inhibitory activity generated from porcine skeletal muscle proteins by the action of meat-borne Lactobacillus.; Isolation and characterization of peptides with antihypertensive activity in foodstuffs.</v>
      </c>
      <c r="E1741" s="1" t="str">
        <f>IFERROR(VLOOKUP(A1741,[1]biopep_DB!$F$2:$L$1654,6,0),0)</f>
        <v>10.1021/jf051263l; 10.1021/jf072911z; 10.3168/jds.2008-1256; 10.1016/j.cis.2010.11.001; 10.1039/c2fo10192k; 10.1016/j.jprot.2013.06.023; 10.1080/10408398.2012.664829</v>
      </c>
      <c r="F1741" s="1" t="str">
        <f>IFERROR(VLOOKUP(A1741,[1]biopep_DB!$F$2:$L$1654,7,0),0)</f>
        <v>16448176 18211015 19233777 21185549 22249830 23806758 24915368</v>
      </c>
      <c r="G1741" s="5">
        <v>278.3</v>
      </c>
      <c r="H1741" s="5">
        <v>5.52</v>
      </c>
      <c r="I1741" s="5">
        <v>-0.24</v>
      </c>
      <c r="J1741" s="6">
        <v>-1.45</v>
      </c>
      <c r="K1741" s="5">
        <v>66.7</v>
      </c>
      <c r="L1741" s="6">
        <v>0.5</v>
      </c>
      <c r="M1741" s="6">
        <v>0.07</v>
      </c>
      <c r="N1741" s="6">
        <v>0</v>
      </c>
      <c r="O1741" s="6">
        <v>0.5</v>
      </c>
      <c r="P1741" s="6">
        <v>0.5</v>
      </c>
      <c r="Q1741" s="7"/>
      <c r="R1741" s="7"/>
    </row>
    <row r="1742" spans="1:18">
      <c r="A1742" s="4" t="s">
        <v>2334</v>
      </c>
      <c r="B1742" s="4">
        <f t="shared" si="27"/>
        <v>4</v>
      </c>
      <c r="C1742" s="4"/>
      <c r="D1742" s="1" t="str">
        <f>IFERROR(VLOOKUP(A1742,[1]biopep_DB!$F$2:$J$1654,5,0),)</f>
        <v>What are the ideal properties for functional food peptides with antihypertensive effect? A computational peptidology approach.</v>
      </c>
      <c r="E1742" s="1" t="str">
        <f>IFERROR(VLOOKUP(A1742,[1]biopep_DB!$F$2:$L$1654,6,0),0)</f>
        <v>10.1016/j.foodchem.2013.05.140</v>
      </c>
      <c r="F1742" s="1" t="str">
        <f>IFERROR(VLOOKUP(A1742,[1]biopep_DB!$F$2:$L$1654,7,0),0)</f>
        <v>23871047</v>
      </c>
      <c r="G1742" s="5">
        <v>563.6</v>
      </c>
      <c r="H1742" s="5">
        <v>6</v>
      </c>
      <c r="I1742" s="5">
        <v>-0.24</v>
      </c>
      <c r="J1742" s="6">
        <v>-2.725</v>
      </c>
      <c r="K1742" s="5">
        <v>81.8</v>
      </c>
      <c r="L1742" s="6">
        <v>0.25</v>
      </c>
      <c r="M1742" s="6">
        <v>1.125</v>
      </c>
      <c r="N1742" s="6">
        <v>0.25</v>
      </c>
      <c r="O1742" s="6">
        <v>0.25</v>
      </c>
      <c r="P1742" s="6">
        <v>0.25</v>
      </c>
      <c r="Q1742" s="7"/>
      <c r="R1742" s="7"/>
    </row>
    <row r="1743" spans="1:18">
      <c r="A1743" s="4" t="s">
        <v>2335</v>
      </c>
      <c r="B1743" s="4">
        <f t="shared" si="27"/>
        <v>3</v>
      </c>
      <c r="C1743" s="4" t="s">
        <v>311</v>
      </c>
      <c r="D1743" s="1" t="str">
        <f>IFERROR(VLOOKUP(A1743,[1]biopep_DB!$F$2:$J$1654,5,0),)</f>
        <v>Angiotensin-converting enzyme inhibitory activity of peptides derived from caprine kefir.; 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743" s="1" t="str">
        <f>IFERROR(VLOOKUP(A1743,[1]biopep_DB!$F$2:$L$1654,6,0),0)</f>
        <v>10.3168/jds.S0022-0302(05)73032-0; 10.1002/psc.800; 10.1007/s00894-010-0862-x; 10.1016/j.foodchem.2013.05.140</v>
      </c>
      <c r="F1743" s="1" t="str">
        <f>IFERROR(VLOOKUP(A1743,[1]biopep_DB!$F$2:$L$1654,7,0),0)</f>
        <v>16162521 17117396 20941517 23871047</v>
      </c>
      <c r="G1743" s="5">
        <v>425.48</v>
      </c>
      <c r="H1743" s="5">
        <v>5.52</v>
      </c>
      <c r="I1743" s="5">
        <v>-0.24</v>
      </c>
      <c r="J1743" s="6">
        <v>-0.0333</v>
      </c>
      <c r="K1743" s="5">
        <v>112</v>
      </c>
      <c r="L1743" s="6">
        <v>0.6667</v>
      </c>
      <c r="M1743" s="6">
        <v>-0.9467</v>
      </c>
      <c r="N1743" s="6">
        <v>0</v>
      </c>
      <c r="O1743" s="6">
        <v>0.3333</v>
      </c>
      <c r="P1743" s="6">
        <v>0.6667</v>
      </c>
      <c r="Q1743" s="7"/>
      <c r="R1743" s="7"/>
    </row>
    <row r="1744" spans="1:18">
      <c r="A1744" s="4" t="s">
        <v>2336</v>
      </c>
      <c r="B1744" s="4">
        <f t="shared" si="27"/>
        <v>8</v>
      </c>
      <c r="C1744" s="4"/>
      <c r="D1744" s="1" t="str">
        <f>IFERROR(VLOOKUP(A1744,[1]biopep_DB!$F$2:$J$1654,5,0),)</f>
        <v/>
      </c>
      <c r="E1744" s="1" t="str">
        <f>IFERROR(VLOOKUP(A1744,[1]biopep_DB!$F$2:$L$1654,6,0),0)</f>
        <v/>
      </c>
      <c r="F1744" s="1" t="str">
        <f>IFERROR(VLOOKUP(A1744,[1]biopep_DB!$F$2:$L$1654,7,0),0)</f>
        <v/>
      </c>
      <c r="G1744" s="5">
        <v>904.02</v>
      </c>
      <c r="H1744" s="5">
        <v>5.52</v>
      </c>
      <c r="I1744" s="5">
        <v>-0.24</v>
      </c>
      <c r="J1744" s="6">
        <v>-0.3375</v>
      </c>
      <c r="K1744" s="5">
        <v>44.65</v>
      </c>
      <c r="L1744" s="6">
        <v>0.625</v>
      </c>
      <c r="M1744" s="6">
        <v>-0.885</v>
      </c>
      <c r="N1744" s="6">
        <v>0</v>
      </c>
      <c r="O1744" s="6">
        <v>0.625</v>
      </c>
      <c r="P1744" s="6">
        <v>0.375</v>
      </c>
      <c r="Q1744" s="7"/>
      <c r="R1744" s="7"/>
    </row>
    <row r="1745" spans="1:18">
      <c r="A1745" s="4" t="s">
        <v>2337</v>
      </c>
      <c r="B1745" s="4">
        <f t="shared" si="27"/>
        <v>7</v>
      </c>
      <c r="C1745" s="4" t="s">
        <v>2338</v>
      </c>
      <c r="D1745" s="1" t="str">
        <f>IFERROR(VLOOKUP(A1745,[1]biopep_DB!$F$2:$J$1654,5,0),)</f>
        <v>Evaluation of the allergenicity of goat milk, cow milk, and their lactosera in a guinea pig model.; Bioactive peptides derived from milk proteins and their health beneficial potentials: an update.; A new QSAR model, for angiotensin I-converting enzyme inhibitory oligopeptides.</v>
      </c>
      <c r="E1745" s="1" t="str">
        <f>IFERROR(VLOOKUP(A1745,[1]biopep_DB!$F$2:$L$1654,6,0),0)</f>
        <v>10.3168/jds.2008-1125; 10.1039/c0fo00016g; 10.1016/j.foodchem.2012.09.092</v>
      </c>
      <c r="F1745" s="1" t="str">
        <f>IFERROR(VLOOKUP(A1745,[1]biopep_DB!$F$2:$L$1654,7,0),0)</f>
        <v>19233776 21773582 23194537</v>
      </c>
      <c r="G1745" s="5">
        <v>789.92</v>
      </c>
      <c r="H1745" s="5">
        <v>5.52</v>
      </c>
      <c r="I1745" s="5">
        <v>-0.24</v>
      </c>
      <c r="J1745" s="6">
        <v>0.1143</v>
      </c>
      <c r="K1745" s="5">
        <v>81.23</v>
      </c>
      <c r="L1745" s="6">
        <v>0.7143</v>
      </c>
      <c r="M1745" s="6">
        <v>-1.2429</v>
      </c>
      <c r="N1745" s="6">
        <v>0</v>
      </c>
      <c r="O1745" s="6">
        <v>0.5714</v>
      </c>
      <c r="P1745" s="6">
        <v>0.4286</v>
      </c>
      <c r="Q1745" s="7"/>
      <c r="R1745" s="7"/>
    </row>
    <row r="1746" spans="1:18">
      <c r="A1746" s="4" t="s">
        <v>2339</v>
      </c>
      <c r="B1746" s="4">
        <f t="shared" si="27"/>
        <v>8</v>
      </c>
      <c r="C1746" s="4"/>
      <c r="D1746" s="1" t="str">
        <f>IFERROR(VLOOKUP(A1746,[1]biopep_DB!$F$2:$J$1654,5,0),)</f>
        <v/>
      </c>
      <c r="E1746" s="1" t="str">
        <f>IFERROR(VLOOKUP(A1746,[1]biopep_DB!$F$2:$L$1654,6,0),0)</f>
        <v/>
      </c>
      <c r="F1746" s="1" t="str">
        <f>IFERROR(VLOOKUP(A1746,[1]biopep_DB!$F$2:$L$1654,7,0),0)</f>
        <v/>
      </c>
      <c r="G1746" s="5">
        <v>904.02</v>
      </c>
      <c r="H1746" s="5">
        <v>5.52</v>
      </c>
      <c r="I1746" s="5">
        <v>-0.24</v>
      </c>
      <c r="J1746" s="6">
        <v>-0.3375</v>
      </c>
      <c r="K1746" s="5">
        <v>72.33</v>
      </c>
      <c r="L1746" s="6">
        <v>0.625</v>
      </c>
      <c r="M1746" s="6">
        <v>-0.885</v>
      </c>
      <c r="N1746" s="6">
        <v>0</v>
      </c>
      <c r="O1746" s="6">
        <v>0.625</v>
      </c>
      <c r="P1746" s="6">
        <v>0.375</v>
      </c>
      <c r="Q1746" s="7"/>
      <c r="R1746" s="7"/>
    </row>
    <row r="1747" spans="1:18">
      <c r="A1747" s="4" t="s">
        <v>2340</v>
      </c>
      <c r="B1747" s="4">
        <f t="shared" si="27"/>
        <v>8</v>
      </c>
      <c r="C1747" s="4" t="s">
        <v>190</v>
      </c>
      <c r="D1747" s="1" t="str">
        <f>IFERROR(VLOOKUP(A1747,[1]biopep_DB!$F$2:$J$1654,5,0),)</f>
        <v>A new QSAR model, for angiotensin I-converting enzyme inhibitory oligopeptides.</v>
      </c>
      <c r="E1747" s="1" t="str">
        <f>IFERROR(VLOOKUP(A1747,[1]biopep_DB!$F$2:$L$1654,6,0),0)</f>
        <v>10.1016/j.foodchem.2012.09.092</v>
      </c>
      <c r="F1747" s="1" t="str">
        <f>IFERROR(VLOOKUP(A1747,[1]biopep_DB!$F$2:$L$1654,7,0),0)</f>
        <v>23194537</v>
      </c>
      <c r="G1747" s="5">
        <v>887.03</v>
      </c>
      <c r="H1747" s="5">
        <v>5.52</v>
      </c>
      <c r="I1747" s="5">
        <v>-0.24</v>
      </c>
      <c r="J1747" s="6">
        <v>-0.1</v>
      </c>
      <c r="K1747" s="5">
        <v>68.72</v>
      </c>
      <c r="L1747" s="6">
        <v>0.75</v>
      </c>
      <c r="M1747" s="6">
        <v>-1.0875</v>
      </c>
      <c r="N1747" s="6">
        <v>0</v>
      </c>
      <c r="O1747" s="6">
        <v>0.625</v>
      </c>
      <c r="P1747" s="6">
        <v>0.375</v>
      </c>
      <c r="Q1747" s="7"/>
      <c r="R1747" s="7"/>
    </row>
    <row r="1748" spans="1:18">
      <c r="A1748" s="4" t="s">
        <v>2341</v>
      </c>
      <c r="B1748" s="4">
        <f t="shared" si="27"/>
        <v>9</v>
      </c>
      <c r="C1748" s="4" t="s">
        <v>2342</v>
      </c>
      <c r="D1748" s="1" t="str">
        <f>IFERROR(VLOOKUP(A1748,[1]biopep_DB!$F$2:$J$1654,5,0),)</f>
        <v>Isolation and structural analysis of antihypertensive peptides that exist naturally in Gouda cheese.; Identification of angiotensin-I-converting enzyme inhibitory peptides derived from sodium caseinate hydrolysates produced by Lactobacillus helveticus NCC 2765.; QSAR study on angiotensin-converting enzyme inhibitor oligopeptides based on a novel set of sequence information descriptors.; Antihypertensive peptides: production, bioavailability and incorporation into foods.; Antihypertensive peptides from food proteins: a review.; A new QSAR model, for angiotensin I-converting enzyme inhibitory oligopeptides.; Isolation and characterization of peptides with antihypertensive activity in foodstuffs.</v>
      </c>
      <c r="E1748" s="1" t="str">
        <f>IFERROR(VLOOKUP(A1748,[1]biopep_DB!$F$2:$L$1654,6,0),0)</f>
        <v>10.3168/jds.S0022-0302(00)75013-2; 10.1021/jf049510t; 10.1007/s00894-010-0862-x; 10.1016/j.cis.2010.11.001; 10.1039/c2fo10192k; 10.1016/j.foodchem.2012.09.092; 10.1080/10408398.2012.664829</v>
      </c>
      <c r="F1748" s="1" t="str">
        <f>IFERROR(VLOOKUP(A1748,[1]biopep_DB!$F$2:$L$1654,7,0),0)</f>
        <v>10908049 15537298 20941517 21185549 22249830 23194537 24915368</v>
      </c>
      <c r="G1748" s="5">
        <v>1001.13</v>
      </c>
      <c r="H1748" s="5">
        <v>5.52</v>
      </c>
      <c r="I1748" s="5">
        <v>-0.24</v>
      </c>
      <c r="J1748" s="6">
        <v>-0.4778</v>
      </c>
      <c r="K1748" s="5">
        <v>62.2</v>
      </c>
      <c r="L1748" s="6">
        <v>0.6667</v>
      </c>
      <c r="M1748" s="6">
        <v>-0.7867</v>
      </c>
      <c r="N1748" s="6">
        <v>0</v>
      </c>
      <c r="O1748" s="6">
        <v>0.6667</v>
      </c>
      <c r="P1748" s="6">
        <v>0.3333</v>
      </c>
      <c r="Q1748" s="7"/>
      <c r="R1748" s="7"/>
    </row>
    <row r="1749" spans="1:18">
      <c r="A1749" s="4" t="s">
        <v>2343</v>
      </c>
      <c r="B1749" s="4">
        <f t="shared" si="27"/>
        <v>11</v>
      </c>
      <c r="C1749" s="4"/>
      <c r="D1749" s="1" t="str">
        <f>IFERROR(VLOOKUP(A1749,[1]biopep_DB!$F$2:$J$1654,5,0),)</f>
        <v/>
      </c>
      <c r="E1749" s="1" t="str">
        <f>IFERROR(VLOOKUP(A1749,[1]biopep_DB!$F$2:$L$1654,6,0),0)</f>
        <v/>
      </c>
      <c r="F1749" s="1" t="str">
        <f>IFERROR(VLOOKUP(A1749,[1]biopep_DB!$F$2:$L$1654,7,0),0)</f>
        <v/>
      </c>
      <c r="G1749" s="5">
        <v>1201.37</v>
      </c>
      <c r="H1749" s="5">
        <v>5.52</v>
      </c>
      <c r="I1749" s="5">
        <v>-0.24</v>
      </c>
      <c r="J1749" s="6">
        <v>-0.1182</v>
      </c>
      <c r="K1749" s="5">
        <v>52.71</v>
      </c>
      <c r="L1749" s="6">
        <v>0.6364</v>
      </c>
      <c r="M1749" s="6">
        <v>-1.0145</v>
      </c>
      <c r="N1749" s="6">
        <v>0.0909</v>
      </c>
      <c r="O1749" s="6">
        <v>0.6364</v>
      </c>
      <c r="P1749" s="6">
        <v>0.3636</v>
      </c>
      <c r="Q1749" s="7"/>
      <c r="R1749" s="7"/>
    </row>
    <row r="1750" spans="1:18">
      <c r="A1750" s="4" t="s">
        <v>2344</v>
      </c>
      <c r="B1750" s="4">
        <f t="shared" si="27"/>
        <v>5</v>
      </c>
      <c r="C1750" s="4" t="s">
        <v>803</v>
      </c>
      <c r="D1750" s="1" t="str">
        <f>IFERROR(VLOOKUP(A1750,[1]biopep_DB!$F$2:$J$1654,5,0),)</f>
        <v>Isolation and characterization of peptides with antihypertensive activity in foodstuffs.</v>
      </c>
      <c r="E1750" s="1" t="str">
        <f>IFERROR(VLOOKUP(A1750,[1]biopep_DB!$F$2:$L$1654,6,0),0)</f>
        <v>10.1080/10408398.2012.664829</v>
      </c>
      <c r="F1750" s="1" t="str">
        <f>IFERROR(VLOOKUP(A1750,[1]biopep_DB!$F$2:$L$1654,7,0),0)</f>
        <v>24915368</v>
      </c>
      <c r="G1750" s="5">
        <v>519.59</v>
      </c>
      <c r="H1750" s="5">
        <v>5.52</v>
      </c>
      <c r="I1750" s="5">
        <v>-0.24</v>
      </c>
      <c r="J1750" s="6">
        <v>0.6</v>
      </c>
      <c r="K1750" s="5">
        <v>15.7</v>
      </c>
      <c r="L1750" s="6">
        <v>0.6</v>
      </c>
      <c r="M1750" s="6">
        <v>-1.506</v>
      </c>
      <c r="N1750" s="6">
        <v>0.2</v>
      </c>
      <c r="O1750" s="6">
        <v>0.4</v>
      </c>
      <c r="P1750" s="6">
        <v>0.4</v>
      </c>
      <c r="Q1750" s="7"/>
      <c r="R1750" s="7"/>
    </row>
    <row r="1751" spans="1:18">
      <c r="A1751" s="4" t="s">
        <v>2345</v>
      </c>
      <c r="B1751" s="4">
        <f t="shared" si="27"/>
        <v>3</v>
      </c>
      <c r="C1751" s="4" t="s">
        <v>1729</v>
      </c>
      <c r="D1751" s="1" t="str">
        <f>IFERROR(VLOOKUP(A1751,[1]biopep_DB!$F$2:$J$1654,5,0),)</f>
        <v/>
      </c>
      <c r="E1751" s="1" t="str">
        <f>IFERROR(VLOOKUP(A1751,[1]biopep_DB!$F$2:$L$1654,6,0),0)</f>
        <v/>
      </c>
      <c r="F1751" s="1" t="str">
        <f>IFERROR(VLOOKUP(A1751,[1]biopep_DB!$F$2:$L$1654,7,0),0)</f>
        <v/>
      </c>
      <c r="G1751" s="5">
        <v>391.46</v>
      </c>
      <c r="H1751" s="5">
        <v>5.52</v>
      </c>
      <c r="I1751" s="5">
        <v>-0.24</v>
      </c>
      <c r="J1751" s="6">
        <v>0.5333</v>
      </c>
      <c r="K1751" s="5">
        <v>47.8</v>
      </c>
      <c r="L1751" s="6">
        <v>0.6667</v>
      </c>
      <c r="M1751" s="6">
        <v>-1.5933</v>
      </c>
      <c r="N1751" s="6">
        <v>0</v>
      </c>
      <c r="O1751" s="6">
        <v>0.3333</v>
      </c>
      <c r="P1751" s="6">
        <v>0.6667</v>
      </c>
      <c r="Q1751" s="7"/>
      <c r="R1751" s="7"/>
    </row>
    <row r="1752" spans="1:18">
      <c r="A1752" s="4" t="s">
        <v>2346</v>
      </c>
      <c r="B1752" s="4">
        <f t="shared" si="27"/>
        <v>3</v>
      </c>
      <c r="C1752" s="4" t="s">
        <v>2347</v>
      </c>
      <c r="D1752" s="1" t="str">
        <f>IFERROR(VLOOKUP(A1752,[1]biopep_DB!$F$2:$J$1654,5,0),)</f>
        <v>Plant food-derived Angiotensin I converting enzyme inhibitory peptides.; Vegetable foods: a cheap source of proteins and peptides with antihypertensive, antioxidant, and other less occurrence bioactivities.</v>
      </c>
      <c r="E1752" s="1" t="str">
        <f>IFERROR(VLOOKUP(A1752,[1]biopep_DB!$F$2:$L$1654,6,0),0)</f>
        <v>10.1021/jf900494d; 10.1016/j.talanta.2012.12.041</v>
      </c>
      <c r="F1752" s="1" t="str">
        <f>IFERROR(VLOOKUP(A1752,[1]biopep_DB!$F$2:$L$1654,7,0),0)</f>
        <v>19449887 23598136</v>
      </c>
      <c r="G1752" s="5">
        <v>406.48</v>
      </c>
      <c r="H1752" s="5">
        <v>8.59</v>
      </c>
      <c r="I1752" s="5">
        <v>0.76</v>
      </c>
      <c r="J1752" s="6">
        <v>-2.2667</v>
      </c>
      <c r="K1752" s="5">
        <v>47.8</v>
      </c>
      <c r="L1752" s="6">
        <v>0.3333</v>
      </c>
      <c r="M1752" s="6">
        <v>0.5733</v>
      </c>
      <c r="N1752" s="6">
        <v>0.3333</v>
      </c>
      <c r="O1752" s="6">
        <v>0.3333</v>
      </c>
      <c r="P1752" s="6">
        <v>0.3333</v>
      </c>
      <c r="Q1752" s="7"/>
      <c r="R1752" s="7"/>
    </row>
    <row r="1753" spans="1:18">
      <c r="A1753" s="4" t="s">
        <v>2348</v>
      </c>
      <c r="B1753" s="4">
        <f t="shared" si="27"/>
        <v>5</v>
      </c>
      <c r="C1753" s="4" t="s">
        <v>1498</v>
      </c>
      <c r="D1753" s="1" t="str">
        <f>IFERROR(VLOOKUP(A1753,[1]biopep_DB!$F$2:$J$1654,5,0),)</f>
        <v>A new QSAR model, for angiotensin I-converting enzyme inhibitory oligopeptides.</v>
      </c>
      <c r="E1753" s="1" t="str">
        <f>IFERROR(VLOOKUP(A1753,[1]biopep_DB!$F$2:$L$1654,6,0),0)</f>
        <v>10.1016/j.foodchem.2012.09.092</v>
      </c>
      <c r="F1753" s="1" t="str">
        <f>IFERROR(VLOOKUP(A1753,[1]biopep_DB!$F$2:$L$1654,7,0),0)</f>
        <v>23194537</v>
      </c>
      <c r="G1753" s="5">
        <v>619.71</v>
      </c>
      <c r="H1753" s="5">
        <v>4.05</v>
      </c>
      <c r="I1753" s="5">
        <v>-1.24</v>
      </c>
      <c r="J1753" s="6">
        <v>0.24</v>
      </c>
      <c r="K1753" s="5">
        <v>32.68</v>
      </c>
      <c r="L1753" s="6">
        <v>0.6</v>
      </c>
      <c r="M1753" s="6">
        <v>-1.604</v>
      </c>
      <c r="N1753" s="6">
        <v>0.4</v>
      </c>
      <c r="O1753" s="6">
        <v>0.4</v>
      </c>
      <c r="P1753" s="6">
        <v>0.6</v>
      </c>
      <c r="Q1753" s="7"/>
      <c r="R1753" s="7"/>
    </row>
    <row r="1754" spans="1:18">
      <c r="A1754" s="4" t="s">
        <v>2349</v>
      </c>
      <c r="B1754" s="4">
        <f t="shared" si="27"/>
        <v>6</v>
      </c>
      <c r="C1754" s="4" t="s">
        <v>2350</v>
      </c>
      <c r="D1754" s="1" t="str">
        <f>IFERROR(VLOOKUP(A1754,[1]biopep_DB!$F$2:$J$1654,5,0),)</f>
        <v>A new QSAR model, for angiotensin I-converting enzyme inhibitory oligopeptides.</v>
      </c>
      <c r="E1754" s="1" t="str">
        <f>IFERROR(VLOOKUP(A1754,[1]biopep_DB!$F$2:$L$1654,6,0),0)</f>
        <v>10.1016/j.foodchem.2012.09.092</v>
      </c>
      <c r="F1754" s="1" t="str">
        <f>IFERROR(VLOOKUP(A1754,[1]biopep_DB!$F$2:$L$1654,7,0),0)</f>
        <v>23194537</v>
      </c>
      <c r="G1754" s="5">
        <v>766.88</v>
      </c>
      <c r="H1754" s="5">
        <v>4.05</v>
      </c>
      <c r="I1754" s="5">
        <v>-1.24</v>
      </c>
      <c r="J1754" s="6">
        <v>0.6667</v>
      </c>
      <c r="K1754" s="5">
        <v>28.9</v>
      </c>
      <c r="L1754" s="6">
        <v>0.6667</v>
      </c>
      <c r="M1754" s="6">
        <v>-1.8333</v>
      </c>
      <c r="N1754" s="6">
        <v>0.3333</v>
      </c>
      <c r="O1754" s="6">
        <v>0.3333</v>
      </c>
      <c r="P1754" s="6">
        <v>0.6667</v>
      </c>
      <c r="Q1754" s="7"/>
      <c r="R1754" s="7"/>
    </row>
    <row r="1755" spans="1:18">
      <c r="A1755" s="4" t="s">
        <v>2351</v>
      </c>
      <c r="B1755" s="4">
        <f t="shared" si="27"/>
        <v>9</v>
      </c>
      <c r="C1755" s="4" t="s">
        <v>62</v>
      </c>
      <c r="D1755" s="1" t="str">
        <f>IFERROR(VLOOKUP(A1755,[1]biopep_DB!$F$2:$J$1654,5,0),)</f>
        <v>Putting microbes to work: dairy fermentation, cell factories and bioactive peptides. Part I: overview.</v>
      </c>
      <c r="E1755" s="1" t="str">
        <f>IFERROR(VLOOKUP(A1755,[1]biopep_DB!$F$2:$L$1654,6,0),0)</f>
        <v>10.1002/biot.200600246</v>
      </c>
      <c r="F1755" s="1" t="str">
        <f>IFERROR(VLOOKUP(A1755,[1]biopep_DB!$F$2:$L$1654,7,0),0)</f>
        <v>17407210</v>
      </c>
      <c r="G1755" s="5">
        <v>1147.3</v>
      </c>
      <c r="H1755" s="5">
        <v>5.84</v>
      </c>
      <c r="I1755" s="5">
        <v>-0.24</v>
      </c>
      <c r="J1755" s="6">
        <v>-1.4556</v>
      </c>
      <c r="K1755" s="5">
        <v>92.82</v>
      </c>
      <c r="L1755" s="6">
        <v>0.4444</v>
      </c>
      <c r="M1755" s="6">
        <v>-0.0011</v>
      </c>
      <c r="N1755" s="6">
        <v>0.1111</v>
      </c>
      <c r="O1755" s="6">
        <v>0.3333</v>
      </c>
      <c r="P1755" s="6">
        <v>0.2222</v>
      </c>
      <c r="Q1755" s="7"/>
      <c r="R1755" s="7"/>
    </row>
    <row r="1756" spans="1:18">
      <c r="A1756" s="4" t="s">
        <v>2352</v>
      </c>
      <c r="B1756" s="4">
        <f t="shared" si="27"/>
        <v>3</v>
      </c>
      <c r="C1756" s="4" t="s">
        <v>36</v>
      </c>
      <c r="D1756" s="1" t="str">
        <f>IFERROR(VLOOKUP(A1756,[1]biopep_DB!$F$2:$J$1654,5,0),)</f>
        <v>Structure and activity of angiotensin I converting enzyme inhibitory peptides from sake and sake lees.; Structural requirements of Angiotensin I-converting enzyme inhibitory peptides: quantitative structure-activity relationship study of di- and tripeptides.</v>
      </c>
      <c r="E1756" s="1" t="str">
        <f>IFERROR(VLOOKUP(A1756,[1]biopep_DB!$F$2:$L$1654,6,0),0)</f>
        <v>10.1271/bbb.58.1767; 10.1021/jf051263l</v>
      </c>
      <c r="F1756" s="1" t="str">
        <f>IFERROR(VLOOKUP(A1756,[1]biopep_DB!$F$2:$L$1654,7,0),0)</f>
        <v>7765503 16448176</v>
      </c>
      <c r="G1756" s="5">
        <v>434.49</v>
      </c>
      <c r="H1756" s="5">
        <v>8.75</v>
      </c>
      <c r="I1756" s="5">
        <v>0.76</v>
      </c>
      <c r="J1756" s="6">
        <v>-2.4667</v>
      </c>
      <c r="K1756" s="5">
        <v>22.67</v>
      </c>
      <c r="L1756" s="6">
        <v>0.3333</v>
      </c>
      <c r="M1756" s="6">
        <v>0.9533</v>
      </c>
      <c r="N1756" s="6">
        <v>0</v>
      </c>
      <c r="O1756" s="6">
        <v>0.3333</v>
      </c>
      <c r="P1756" s="6">
        <v>0.3333</v>
      </c>
      <c r="Q1756" s="7"/>
      <c r="R1756" s="7"/>
    </row>
    <row r="1757" spans="1:18">
      <c r="A1757" s="4" t="s">
        <v>2353</v>
      </c>
      <c r="B1757" s="4">
        <f t="shared" si="27"/>
        <v>4</v>
      </c>
      <c r="C1757" s="4" t="s">
        <v>2285</v>
      </c>
      <c r="G1757" s="5">
        <v>597.66</v>
      </c>
      <c r="H1757" s="5">
        <v>8.59</v>
      </c>
      <c r="I1757" s="5">
        <v>0.76</v>
      </c>
      <c r="J1757" s="6">
        <v>-2.175</v>
      </c>
      <c r="K1757" s="5">
        <v>0.65</v>
      </c>
      <c r="L1757" s="6">
        <v>0.25</v>
      </c>
      <c r="M1757" s="6">
        <v>0.75</v>
      </c>
      <c r="N1757" s="6">
        <v>0</v>
      </c>
      <c r="O1757" s="6">
        <v>0.25</v>
      </c>
      <c r="P1757" s="6">
        <v>0.5</v>
      </c>
      <c r="Q1757" s="7"/>
      <c r="R1757" s="7"/>
    </row>
    <row r="1758" spans="1:18">
      <c r="A1758" s="4" t="s">
        <v>2354</v>
      </c>
      <c r="B1758" s="4">
        <f t="shared" si="27"/>
        <v>12</v>
      </c>
      <c r="C1758" s="4" t="s">
        <v>2355</v>
      </c>
      <c r="D1758" s="1" t="str">
        <f>IFERROR(VLOOKUP(A1758,[1]biopep_DB!$F$2:$J$1654,5,0),)</f>
        <v>Inhibition of angiotensin-converting enzyme by synthetic peptide fragments of various beta-caseins.</v>
      </c>
      <c r="E1758" s="1" t="str">
        <f>IFERROR(VLOOKUP(A1758,[1]biopep_DB!$F$2:$L$1654,6,0),0)</f>
        <v/>
      </c>
      <c r="F1758" s="1" t="str">
        <f>IFERROR(VLOOKUP(A1758,[1]biopep_DB!$F$2:$L$1654,7,0),0)</f>
        <v>1368548</v>
      </c>
      <c r="G1758" s="5">
        <v>1449.65</v>
      </c>
      <c r="H1758" s="5">
        <v>5.52</v>
      </c>
      <c r="I1758" s="5">
        <v>-0.24</v>
      </c>
      <c r="J1758" s="6">
        <v>-0.475</v>
      </c>
      <c r="K1758" s="5">
        <v>93.93</v>
      </c>
      <c r="L1758" s="6">
        <v>0.5833</v>
      </c>
      <c r="M1758" s="6">
        <v>-0.7483</v>
      </c>
      <c r="N1758" s="6">
        <v>0.0833</v>
      </c>
      <c r="O1758" s="6">
        <v>0.4167</v>
      </c>
      <c r="P1758" s="6">
        <v>0.4167</v>
      </c>
      <c r="Q1758" s="7"/>
      <c r="R1758" s="7"/>
    </row>
    <row r="1759" spans="1:18">
      <c r="A1759" s="4" t="s">
        <v>2356</v>
      </c>
      <c r="B1759" s="4">
        <f t="shared" si="27"/>
        <v>8</v>
      </c>
      <c r="C1759" s="4"/>
      <c r="D1759" s="1" t="str">
        <f>IFERROR(VLOOKUP(A1759,[1]biopep_DB!$F$2:$J$1654,5,0),)</f>
        <v>Rheological, sensorial, and chemopreventive properties of milk fermented with exopolysaccharide-producing lactic cultures.</v>
      </c>
      <c r="E1759" s="1" t="str">
        <f>IFERROR(VLOOKUP(A1759,[1]biopep_DB!$F$2:$L$1654,6,0),0)</f>
        <v>10.3168/jds.2008-1256</v>
      </c>
      <c r="F1759" s="1" t="str">
        <f>IFERROR(VLOOKUP(A1759,[1]biopep_DB!$F$2:$L$1654,7,0),0)</f>
        <v>19233777</v>
      </c>
      <c r="G1759" s="5">
        <v>976.04</v>
      </c>
      <c r="H1759" s="5">
        <v>5.52</v>
      </c>
      <c r="I1759" s="5">
        <v>-0.24</v>
      </c>
      <c r="J1759" s="6">
        <v>-0.8</v>
      </c>
      <c r="K1759" s="5">
        <v>37.64</v>
      </c>
      <c r="L1759" s="6">
        <v>0.25</v>
      </c>
      <c r="M1759" s="6">
        <v>-0.3725</v>
      </c>
      <c r="N1759" s="6">
        <v>0.125</v>
      </c>
      <c r="O1759" s="6">
        <v>0.5</v>
      </c>
      <c r="P1759" s="6">
        <v>0.5</v>
      </c>
      <c r="Q1759" s="7"/>
      <c r="R1759" s="7"/>
    </row>
    <row r="1760" spans="1:18">
      <c r="A1760" s="4" t="s">
        <v>2357</v>
      </c>
      <c r="B1760" s="4">
        <f t="shared" si="27"/>
        <v>9</v>
      </c>
      <c r="C1760" s="4"/>
      <c r="D1760" s="1" t="str">
        <f>IFERROR(VLOOKUP(A1760,[1]biopep_DB!$F$2:$J$1654,5,0),)</f>
        <v/>
      </c>
      <c r="E1760" s="1" t="str">
        <f>IFERROR(VLOOKUP(A1760,[1]biopep_DB!$F$2:$L$1654,6,0),0)</f>
        <v/>
      </c>
      <c r="F1760" s="1" t="str">
        <f>IFERROR(VLOOKUP(A1760,[1]biopep_DB!$F$2:$L$1654,7,0),0)</f>
        <v/>
      </c>
      <c r="G1760" s="5">
        <v>1139.21</v>
      </c>
      <c r="H1760" s="5">
        <v>5.52</v>
      </c>
      <c r="I1760" s="5">
        <v>-0.24</v>
      </c>
      <c r="J1760" s="6">
        <v>-0.8556</v>
      </c>
      <c r="K1760" s="5">
        <v>48.28</v>
      </c>
      <c r="L1760" s="6">
        <v>0.2222</v>
      </c>
      <c r="M1760" s="6">
        <v>-0.3156</v>
      </c>
      <c r="N1760" s="6">
        <v>0.1111</v>
      </c>
      <c r="O1760" s="6">
        <v>0.4444</v>
      </c>
      <c r="P1760" s="6">
        <v>0.5556</v>
      </c>
      <c r="Q1760" s="7"/>
      <c r="R1760" s="7"/>
    </row>
    <row r="1761" spans="1:18">
      <c r="A1761" s="4" t="s">
        <v>2358</v>
      </c>
      <c r="B1761" s="4">
        <f t="shared" si="27"/>
        <v>6</v>
      </c>
      <c r="C1761" s="4"/>
      <c r="D1761" s="1" t="str">
        <f>IFERROR(VLOOKUP(A1761,[1]biopep_DB!$F$2:$J$1654,5,0),)</f>
        <v/>
      </c>
      <c r="E1761" s="1" t="str">
        <f>IFERROR(VLOOKUP(A1761,[1]biopep_DB!$F$2:$L$1654,6,0),0)</f>
        <v/>
      </c>
      <c r="F1761" s="1" t="str">
        <f>IFERROR(VLOOKUP(A1761,[1]biopep_DB!$F$2:$L$1654,7,0),0)</f>
        <v/>
      </c>
      <c r="G1761" s="5">
        <v>750.84</v>
      </c>
      <c r="H1761" s="5">
        <v>4.05</v>
      </c>
      <c r="I1761" s="5">
        <v>-1.24</v>
      </c>
      <c r="J1761" s="6">
        <v>-0.1667</v>
      </c>
      <c r="K1761" s="5">
        <v>125.2</v>
      </c>
      <c r="L1761" s="6">
        <v>0.6667</v>
      </c>
      <c r="M1761" s="6">
        <v>-0.8733</v>
      </c>
      <c r="N1761" s="6">
        <v>0.1667</v>
      </c>
      <c r="O1761" s="6">
        <v>0.3333</v>
      </c>
      <c r="P1761" s="6">
        <v>0.5</v>
      </c>
      <c r="Q1761" s="7"/>
      <c r="R1761" s="7"/>
    </row>
    <row r="1762" spans="1:18">
      <c r="A1762" s="4" t="s">
        <v>2359</v>
      </c>
      <c r="B1762" s="4">
        <f t="shared" si="27"/>
        <v>8</v>
      </c>
      <c r="C1762" s="4"/>
      <c r="D1762" s="1" t="str">
        <f>IFERROR(VLOOKUP(A1762,[1]biopep_DB!$F$2:$J$1654,5,0),)</f>
        <v/>
      </c>
      <c r="E1762" s="1" t="str">
        <f>IFERROR(VLOOKUP(A1762,[1]biopep_DB!$F$2:$L$1654,6,0),0)</f>
        <v/>
      </c>
      <c r="F1762" s="1" t="str">
        <f>IFERROR(VLOOKUP(A1762,[1]biopep_DB!$F$2:$L$1654,7,0),0)</f>
        <v/>
      </c>
      <c r="G1762" s="5">
        <v>981.06</v>
      </c>
      <c r="H1762" s="5">
        <v>4.24</v>
      </c>
      <c r="I1762" s="5">
        <v>-2.23</v>
      </c>
      <c r="J1762" s="6">
        <v>-0.65</v>
      </c>
      <c r="K1762" s="5">
        <v>120.48</v>
      </c>
      <c r="L1762" s="6">
        <v>0.5</v>
      </c>
      <c r="M1762" s="6">
        <v>-0.4175</v>
      </c>
      <c r="N1762" s="6">
        <v>0.25</v>
      </c>
      <c r="O1762" s="6">
        <v>0.25</v>
      </c>
      <c r="P1762" s="6">
        <v>0.5</v>
      </c>
      <c r="Q1762" s="7"/>
      <c r="R1762" s="7"/>
    </row>
    <row r="1763" spans="1:18">
      <c r="A1763" s="4" t="s">
        <v>2360</v>
      </c>
      <c r="B1763" s="4">
        <f t="shared" si="27"/>
        <v>8</v>
      </c>
      <c r="C1763" s="4"/>
      <c r="D1763" s="1" t="str">
        <f>IFERROR(VLOOKUP(A1763,[1]biopep_DB!$F$2:$J$1654,5,0),)</f>
        <v/>
      </c>
      <c r="E1763" s="1" t="str">
        <f>IFERROR(VLOOKUP(A1763,[1]biopep_DB!$F$2:$L$1654,6,0),0)</f>
        <v/>
      </c>
      <c r="F1763" s="1" t="str">
        <f>IFERROR(VLOOKUP(A1763,[1]biopep_DB!$F$2:$L$1654,7,0),0)</f>
        <v/>
      </c>
      <c r="G1763" s="5">
        <v>980.07</v>
      </c>
      <c r="H1763" s="5">
        <v>4.6</v>
      </c>
      <c r="I1763" s="5">
        <v>-1.23</v>
      </c>
      <c r="J1763" s="6">
        <v>-0.65</v>
      </c>
      <c r="K1763" s="5">
        <v>120.48</v>
      </c>
      <c r="L1763" s="6">
        <v>0.5</v>
      </c>
      <c r="M1763" s="6">
        <v>-0.4525</v>
      </c>
      <c r="N1763" s="6">
        <v>0.125</v>
      </c>
      <c r="O1763" s="6">
        <v>0.25</v>
      </c>
      <c r="P1763" s="6">
        <v>0.5</v>
      </c>
      <c r="Q1763" s="7"/>
      <c r="R1763" s="7"/>
    </row>
    <row r="1764" spans="1:18">
      <c r="A1764" s="4" t="s">
        <v>2361</v>
      </c>
      <c r="B1764" s="4">
        <f t="shared" si="27"/>
        <v>6</v>
      </c>
      <c r="C1764" s="4" t="s">
        <v>25</v>
      </c>
      <c r="D1764" s="1" t="str">
        <f>IFERROR(VLOOKUP(A1764,[1]biopep_DB!$F$2:$J$1654,5,0),)</f>
        <v/>
      </c>
      <c r="E1764" s="1" t="str">
        <f>IFERROR(VLOOKUP(A1764,[1]biopep_DB!$F$2:$L$1654,6,0),0)</f>
        <v/>
      </c>
      <c r="F1764" s="1" t="str">
        <f>IFERROR(VLOOKUP(A1764,[1]biopep_DB!$F$2:$L$1654,7,0),0)</f>
        <v/>
      </c>
      <c r="G1764" s="5">
        <v>849.93</v>
      </c>
      <c r="H1764" s="5">
        <v>8.75</v>
      </c>
      <c r="I1764" s="5">
        <v>0.76</v>
      </c>
      <c r="J1764" s="6">
        <v>-2.0833</v>
      </c>
      <c r="K1764" s="5">
        <v>-13.52</v>
      </c>
      <c r="L1764" s="6">
        <v>0.3333</v>
      </c>
      <c r="M1764" s="6">
        <v>0.3583</v>
      </c>
      <c r="N1764" s="6">
        <v>0</v>
      </c>
      <c r="O1764" s="6">
        <v>0.1667</v>
      </c>
      <c r="P1764" s="6">
        <v>0.5</v>
      </c>
      <c r="Q1764" s="7"/>
      <c r="R1764" s="7"/>
    </row>
    <row r="1765" spans="1:18">
      <c r="A1765" s="4" t="s">
        <v>2362</v>
      </c>
      <c r="B1765" s="4">
        <f t="shared" si="27"/>
        <v>4</v>
      </c>
      <c r="C1765" s="4" t="s">
        <v>2363</v>
      </c>
      <c r="D1765" s="1" t="str">
        <f>IFERROR(VLOOKUP(A1765,[1]biopep_DB!$F$2:$J$1654,5,0),)</f>
        <v>Antihypertensive peptides from food proteins: a review.; What are the ideal properties for functional food peptides with antihypertensive effect? A computational peptidology approach.; Effect of Jatropha curcas peptide fractions on the angiotensin I-converting enzyme inhibitory activity.</v>
      </c>
      <c r="E1765" s="1" t="str">
        <f>IFERROR(VLOOKUP(A1765,[1]biopep_DB!$F$2:$L$1654,6,0),0)</f>
        <v>10.1039/c2fo10192k; 10.1016/j.foodchem.2013.05.140; 10.1155/2013/541947</v>
      </c>
      <c r="F1765" s="1" t="str">
        <f>IFERROR(VLOOKUP(A1765,[1]biopep_DB!$F$2:$L$1654,7,0),0)</f>
        <v>22249830 23871047 24224169</v>
      </c>
      <c r="G1765" s="5">
        <v>604.65</v>
      </c>
      <c r="H1765" s="5">
        <v>5.52</v>
      </c>
      <c r="I1765" s="5">
        <v>-0.24</v>
      </c>
      <c r="J1765" s="6">
        <v>-1.375</v>
      </c>
      <c r="K1765" s="5">
        <v>69.2</v>
      </c>
      <c r="L1765" s="6">
        <v>0.25</v>
      </c>
      <c r="M1765" s="6">
        <v>0.105</v>
      </c>
      <c r="N1765" s="6">
        <v>0</v>
      </c>
      <c r="O1765" s="6">
        <v>0.25</v>
      </c>
      <c r="P1765" s="6">
        <v>0.75</v>
      </c>
      <c r="Q1765" s="7"/>
      <c r="R1765" s="7"/>
    </row>
    <row r="1766" spans="1:18">
      <c r="A1766" s="4" t="s">
        <v>2364</v>
      </c>
      <c r="B1766" s="4">
        <f t="shared" si="27"/>
        <v>2</v>
      </c>
      <c r="C1766" s="4" t="s">
        <v>854</v>
      </c>
      <c r="D1766" s="1" t="str">
        <f>IFERROR(VLOOKUP(A1766,[1]biopep_DB!$F$2:$J$1654,5,0),)</f>
        <v>Isolation and characterization of peptides with antihypertensive activity in foodstuffs.</v>
      </c>
      <c r="E1766" s="1" t="str">
        <f>IFERROR(VLOOKUP(A1766,[1]biopep_DB!$F$2:$L$1654,6,0),0)</f>
        <v>10.1080/10408398.2012.664829</v>
      </c>
      <c r="F1766" s="1" t="str">
        <f>IFERROR(VLOOKUP(A1766,[1]biopep_DB!$F$2:$L$1654,7,0),0)</f>
        <v>24915368</v>
      </c>
      <c r="G1766" s="5">
        <v>309.32</v>
      </c>
      <c r="H1766" s="5">
        <v>5.52</v>
      </c>
      <c r="I1766" s="5">
        <v>-0.24</v>
      </c>
      <c r="J1766" s="6">
        <v>-2.4</v>
      </c>
      <c r="K1766" s="5">
        <v>5</v>
      </c>
      <c r="L1766" s="6">
        <v>0</v>
      </c>
      <c r="M1766" s="6">
        <v>0.75</v>
      </c>
      <c r="N1766" s="6">
        <v>0</v>
      </c>
      <c r="O1766" s="6">
        <v>0</v>
      </c>
      <c r="P1766" s="6">
        <v>0.5</v>
      </c>
      <c r="Q1766" s="7"/>
      <c r="R1766" s="7"/>
    </row>
    <row r="1767" spans="1:18">
      <c r="A1767" s="4" t="s">
        <v>2365</v>
      </c>
      <c r="B1767" s="4">
        <f t="shared" si="27"/>
        <v>4</v>
      </c>
      <c r="C1767" s="4"/>
      <c r="D1767" s="1" t="str">
        <f>IFERROR(VLOOKUP(A1767,[1]biopep_DB!$F$2:$J$1654,5,0),)</f>
        <v>Vegetable foods: a cheap source of proteins and peptides with antihypertensive, antioxidant, and other less occurrence bioactivities.</v>
      </c>
      <c r="E1767" s="1" t="str">
        <f>IFERROR(VLOOKUP(A1767,[1]biopep_DB!$F$2:$L$1654,6,0),0)</f>
        <v>10.1016/j.talanta.2012.12.041</v>
      </c>
      <c r="F1767" s="1" t="str">
        <f>IFERROR(VLOOKUP(A1767,[1]biopep_DB!$F$2:$L$1654,7,0),0)</f>
        <v>23598136</v>
      </c>
      <c r="G1767" s="5">
        <v>477.51</v>
      </c>
      <c r="H1767" s="5">
        <v>5.52</v>
      </c>
      <c r="I1767" s="5">
        <v>-0.24</v>
      </c>
      <c r="J1767" s="6">
        <v>-1.15</v>
      </c>
      <c r="K1767" s="5">
        <v>55.65</v>
      </c>
      <c r="L1767" s="6">
        <v>0.5</v>
      </c>
      <c r="M1767" s="6">
        <v>-0.0775</v>
      </c>
      <c r="N1767" s="6">
        <v>0.25</v>
      </c>
      <c r="O1767" s="6">
        <v>0.25</v>
      </c>
      <c r="P1767" s="6">
        <v>0.25</v>
      </c>
      <c r="Q1767" s="7"/>
      <c r="R1767" s="7"/>
    </row>
    <row r="1768" spans="1:18">
      <c r="A1768" s="4" t="s">
        <v>2366</v>
      </c>
      <c r="B1768" s="4">
        <f t="shared" si="27"/>
        <v>6</v>
      </c>
      <c r="C1768" s="4" t="s">
        <v>1256</v>
      </c>
      <c r="D1768" s="1" t="str">
        <f>IFERROR(VLOOKUP(A1768,[1]biopep_DB!$F$2:$J$1654,5,0),)</f>
        <v>Evaluation of the allergenicity of goat milk, cow milk, and their lactosera in a guinea pig model.; A new QSAR model, for angiotensin I-converting enzyme inhibitory oligopeptides.</v>
      </c>
      <c r="E1768" s="1" t="str">
        <f>IFERROR(VLOOKUP(A1768,[1]biopep_DB!$F$2:$L$1654,6,0),0)</f>
        <v>10.3168/jds.2008-1125; 10.1016/j.foodchem.2012.09.092</v>
      </c>
      <c r="F1768" s="1" t="str">
        <f>IFERROR(VLOOKUP(A1768,[1]biopep_DB!$F$2:$L$1654,7,0),0)</f>
        <v>19233776 23194537</v>
      </c>
      <c r="G1768" s="5">
        <v>747.84</v>
      </c>
      <c r="H1768" s="5">
        <v>4.05</v>
      </c>
      <c r="I1768" s="5">
        <v>-1.24</v>
      </c>
      <c r="J1768" s="6">
        <v>-0.3167</v>
      </c>
      <c r="K1768" s="5">
        <v>104.63</v>
      </c>
      <c r="L1768" s="6">
        <v>0.5</v>
      </c>
      <c r="M1768" s="6">
        <v>-0.97</v>
      </c>
      <c r="N1768" s="6">
        <v>0.3333</v>
      </c>
      <c r="O1768" s="6">
        <v>0.1667</v>
      </c>
      <c r="P1768" s="6">
        <v>0.5</v>
      </c>
      <c r="Q1768" s="7"/>
      <c r="R1768" s="7"/>
    </row>
    <row r="1769" spans="1:18">
      <c r="A1769" s="4" t="s">
        <v>2367</v>
      </c>
      <c r="B1769" s="4">
        <f t="shared" si="27"/>
        <v>10</v>
      </c>
      <c r="C1769" s="4"/>
      <c r="D1769" s="1" t="str">
        <f>IFERROR(VLOOKUP(A1769,[1]biopep_DB!$F$2:$J$1654,5,0),)</f>
        <v>Evaluation of the allergenicity of goat milk, cow milk, and their lactosera in a guinea pig model.</v>
      </c>
      <c r="E1769" s="1" t="str">
        <f>IFERROR(VLOOKUP(A1769,[1]biopep_DB!$F$2:$L$1654,6,0),0)</f>
        <v>10.3168/jds.2008-1125</v>
      </c>
      <c r="F1769" s="1" t="str">
        <f>IFERROR(VLOOKUP(A1769,[1]biopep_DB!$F$2:$L$1654,7,0),0)</f>
        <v>19233776</v>
      </c>
      <c r="G1769" s="5">
        <v>1157.32</v>
      </c>
      <c r="H1769" s="5">
        <v>6</v>
      </c>
      <c r="I1769" s="5">
        <v>-0.24</v>
      </c>
      <c r="J1769" s="6">
        <v>-0.42</v>
      </c>
      <c r="K1769" s="5">
        <v>86.04</v>
      </c>
      <c r="L1769" s="6">
        <v>0.5</v>
      </c>
      <c r="M1769" s="6">
        <v>-0.808</v>
      </c>
      <c r="N1769" s="6">
        <v>0.2</v>
      </c>
      <c r="O1769" s="6">
        <v>0.3</v>
      </c>
      <c r="P1769" s="6">
        <v>0.4</v>
      </c>
      <c r="Q1769" s="7"/>
      <c r="R1769" s="7"/>
    </row>
    <row r="1770" spans="1:18">
      <c r="A1770" s="4" t="s">
        <v>2368</v>
      </c>
      <c r="B1770" s="4">
        <f t="shared" si="27"/>
        <v>11</v>
      </c>
      <c r="C1770" s="4" t="s">
        <v>2369</v>
      </c>
      <c r="D1770" s="1" t="str">
        <f>IFERROR(VLOOKUP(A1770,[1]biopep_DB!$F$2:$J$1654,5,0),)</f>
        <v/>
      </c>
      <c r="E1770" s="1" t="str">
        <f>IFERROR(VLOOKUP(A1770,[1]biopep_DB!$F$2:$L$1654,6,0),0)</f>
        <v/>
      </c>
      <c r="F1770" s="1" t="str">
        <f>IFERROR(VLOOKUP(A1770,[1]biopep_DB!$F$2:$L$1654,7,0),0)</f>
        <v/>
      </c>
      <c r="G1770" s="5">
        <v>1214.37</v>
      </c>
      <c r="H1770" s="5">
        <v>6</v>
      </c>
      <c r="I1770" s="5">
        <v>-0.24</v>
      </c>
      <c r="J1770" s="6">
        <v>-0.4182</v>
      </c>
      <c r="K1770" s="5">
        <v>71.41</v>
      </c>
      <c r="L1770" s="6">
        <v>0.4545</v>
      </c>
      <c r="M1770" s="6">
        <v>-0.82</v>
      </c>
      <c r="N1770" s="6">
        <v>0.1818</v>
      </c>
      <c r="O1770" s="6">
        <v>0.3636</v>
      </c>
      <c r="P1770" s="6">
        <v>0.3636</v>
      </c>
      <c r="Q1770" s="7"/>
      <c r="R1770" s="7"/>
    </row>
    <row r="1771" spans="1:18">
      <c r="A1771" s="4" t="s">
        <v>2370</v>
      </c>
      <c r="B1771" s="4">
        <f t="shared" si="27"/>
        <v>13</v>
      </c>
      <c r="C1771" s="4"/>
      <c r="D1771" s="1" t="str">
        <f>IFERROR(VLOOKUP(A1771,[1]biopep_DB!$F$2:$J$1654,5,0),)</f>
        <v/>
      </c>
      <c r="E1771" s="1" t="str">
        <f>IFERROR(VLOOKUP(A1771,[1]biopep_DB!$F$2:$L$1654,6,0),0)</f>
        <v/>
      </c>
      <c r="F1771" s="1" t="str">
        <f>IFERROR(VLOOKUP(A1771,[1]biopep_DB!$F$2:$L$1654,7,0),0)</f>
        <v/>
      </c>
      <c r="G1771" s="5">
        <v>1458.66</v>
      </c>
      <c r="H1771" s="5">
        <v>6</v>
      </c>
      <c r="I1771" s="5">
        <v>-0.24</v>
      </c>
      <c r="J1771" s="6">
        <v>-0.2615</v>
      </c>
      <c r="K1771" s="5">
        <v>76.78</v>
      </c>
      <c r="L1771" s="6">
        <v>0.5385</v>
      </c>
      <c r="M1771" s="6">
        <v>-0.9231</v>
      </c>
      <c r="N1771" s="6">
        <v>0.1538</v>
      </c>
      <c r="O1771" s="6">
        <v>0.3846</v>
      </c>
      <c r="P1771" s="6">
        <v>0.3846</v>
      </c>
      <c r="Q1771" s="7"/>
      <c r="R1771" s="7"/>
    </row>
    <row r="1772" spans="1:18">
      <c r="A1772" s="4" t="s">
        <v>2371</v>
      </c>
      <c r="B1772" s="4">
        <f t="shared" si="27"/>
        <v>15</v>
      </c>
      <c r="C1772" s="4"/>
      <c r="D1772" s="1" t="str">
        <f>IFERROR(VLOOKUP(A1772,[1]biopep_DB!$F$2:$J$1654,5,0),)</f>
        <v/>
      </c>
      <c r="E1772" s="1" t="str">
        <f>IFERROR(VLOOKUP(A1772,[1]biopep_DB!$F$2:$L$1654,6,0),0)</f>
        <v/>
      </c>
      <c r="F1772" s="1" t="str">
        <f>IFERROR(VLOOKUP(A1772,[1]biopep_DB!$F$2:$L$1654,7,0),0)</f>
        <v/>
      </c>
      <c r="G1772" s="5">
        <v>1668.93</v>
      </c>
      <c r="H1772" s="5">
        <v>6</v>
      </c>
      <c r="I1772" s="5">
        <v>-0.24</v>
      </c>
      <c r="J1772" s="6">
        <v>-0.0333</v>
      </c>
      <c r="K1772" s="5">
        <v>80.71</v>
      </c>
      <c r="L1772" s="6">
        <v>0.6</v>
      </c>
      <c r="M1772" s="6">
        <v>-1.128</v>
      </c>
      <c r="N1772" s="6">
        <v>0.1333</v>
      </c>
      <c r="O1772" s="6">
        <v>0.4</v>
      </c>
      <c r="P1772" s="6">
        <v>0.4</v>
      </c>
      <c r="Q1772" s="7"/>
      <c r="R1772" s="7"/>
    </row>
    <row r="1773" spans="1:18">
      <c r="A1773" s="4" t="s">
        <v>2372</v>
      </c>
      <c r="B1773" s="4">
        <f t="shared" si="27"/>
        <v>17</v>
      </c>
      <c r="C1773" s="4"/>
      <c r="D1773" s="1" t="str">
        <f>IFERROR(VLOOKUP(A1773,[1]biopep_DB!$F$2:$J$1654,5,0),)</f>
        <v>Identification of angiotensin-I-converting enzyme inhibitory peptides derived from sodium caseinate hydrolysates produced by Lactobacillus helveticus NCC 2765.</v>
      </c>
      <c r="E1773" s="1" t="str">
        <f>IFERROR(VLOOKUP(A1773,[1]biopep_DB!$F$2:$L$1654,6,0),0)</f>
        <v>10.1021/jf049510t</v>
      </c>
      <c r="F1773" s="1" t="str">
        <f>IFERROR(VLOOKUP(A1773,[1]biopep_DB!$F$2:$L$1654,7,0),0)</f>
        <v>15537298</v>
      </c>
      <c r="G1773" s="5">
        <v>1881.22</v>
      </c>
      <c r="H1773" s="5">
        <v>6</v>
      </c>
      <c r="I1773" s="5">
        <v>-0.24</v>
      </c>
      <c r="J1773" s="6">
        <v>0.4824</v>
      </c>
      <c r="K1773" s="5">
        <v>67.4</v>
      </c>
      <c r="L1773" s="6">
        <v>0.6471</v>
      </c>
      <c r="M1773" s="6">
        <v>-1.5224</v>
      </c>
      <c r="N1773" s="6">
        <v>0.1176</v>
      </c>
      <c r="O1773" s="6">
        <v>0.3529</v>
      </c>
      <c r="P1773" s="6">
        <v>0.4706</v>
      </c>
      <c r="Q1773" s="7"/>
      <c r="R1773" s="7"/>
    </row>
    <row r="1774" spans="1:18">
      <c r="A1774" s="4" t="s">
        <v>2373</v>
      </c>
      <c r="B1774" s="4">
        <f t="shared" si="27"/>
        <v>10</v>
      </c>
      <c r="C1774" s="4" t="s">
        <v>936</v>
      </c>
      <c r="D1774" s="1" t="str">
        <f>IFERROR(VLOOKUP(A1774,[1]biopep_DB!$F$2:$J$1654,5,0),)</f>
        <v>A new QSAR model, for angiotensin I-converting enzyme inhibitory oligopeptides.</v>
      </c>
      <c r="E1774" s="1" t="str">
        <f>IFERROR(VLOOKUP(A1774,[1]biopep_DB!$F$2:$L$1654,6,0),0)</f>
        <v>10.1016/j.foodchem.2012.09.092</v>
      </c>
      <c r="F1774" s="1" t="str">
        <f>IFERROR(VLOOKUP(A1774,[1]biopep_DB!$F$2:$L$1654,7,0),0)</f>
        <v>23194537</v>
      </c>
      <c r="G1774" s="5">
        <v>1228.4</v>
      </c>
      <c r="H1774" s="5">
        <v>6</v>
      </c>
      <c r="I1774" s="5">
        <v>-0.24</v>
      </c>
      <c r="J1774" s="6">
        <v>-0.73</v>
      </c>
      <c r="K1774" s="5">
        <v>137.9</v>
      </c>
      <c r="L1774" s="6">
        <v>0.5</v>
      </c>
      <c r="M1774" s="6">
        <v>-0.578</v>
      </c>
      <c r="N1774" s="6">
        <v>0.2</v>
      </c>
      <c r="O1774" s="6">
        <v>0.2</v>
      </c>
      <c r="P1774" s="6">
        <v>0.4</v>
      </c>
      <c r="Q1774" s="7"/>
      <c r="R1774" s="7"/>
    </row>
    <row r="1775" spans="1:18">
      <c r="A1775" s="4" t="s">
        <v>2374</v>
      </c>
      <c r="B1775" s="4">
        <f t="shared" si="27"/>
        <v>16</v>
      </c>
      <c r="C1775" s="4"/>
      <c r="D1775" s="1" t="str">
        <f>IFERROR(VLOOKUP(A1775,[1]biopep_DB!$F$2:$J$1654,5,0),)</f>
        <v/>
      </c>
      <c r="E1775" s="1" t="str">
        <f>IFERROR(VLOOKUP(A1775,[1]biopep_DB!$F$2:$L$1654,6,0),0)</f>
        <v/>
      </c>
      <c r="F1775" s="1" t="str">
        <f>IFERROR(VLOOKUP(A1775,[1]biopep_DB!$F$2:$L$1654,7,0),0)</f>
        <v/>
      </c>
      <c r="G1775" s="5">
        <v>1784.11</v>
      </c>
      <c r="H1775" s="5">
        <v>6</v>
      </c>
      <c r="I1775" s="5">
        <v>-0.24</v>
      </c>
      <c r="J1775" s="6">
        <v>0.6125</v>
      </c>
      <c r="K1775" s="5">
        <v>46.91</v>
      </c>
      <c r="L1775" s="6">
        <v>0.625</v>
      </c>
      <c r="M1775" s="6">
        <v>-1.6175</v>
      </c>
      <c r="N1775" s="6">
        <v>0.125</v>
      </c>
      <c r="O1775" s="6">
        <v>0.3125</v>
      </c>
      <c r="P1775" s="6">
        <v>0.5</v>
      </c>
      <c r="Q1775" s="7"/>
      <c r="R1775" s="7"/>
    </row>
    <row r="1776" spans="1:18">
      <c r="A1776" s="4" t="s">
        <v>2375</v>
      </c>
      <c r="B1776" s="4">
        <f t="shared" si="27"/>
        <v>7</v>
      </c>
      <c r="C1776" s="4" t="s">
        <v>2376</v>
      </c>
      <c r="D1776" s="1" t="str">
        <f>IFERROR(VLOOKUP(A1776,[1]biopep_DB!$F$2:$J$1654,5,0),)</f>
        <v>Bioactive peptides in ovine and caprine cheeselike systems prepared with proteases from Cynara cardunculus.; Antihypertensive peptides: production, bioavailability and incorporation into foods.; Antihypertensive peptides from food proteins: a review.; A new QSAR model, for angiotensin I-converting enzyme inhibitory oligopeptides.; Isolation and characterization of peptides with antihypertensive activity in foodstuffs.</v>
      </c>
      <c r="E1776" s="1" t="str">
        <f>IFERROR(VLOOKUP(A1776,[1]biopep_DB!$F$2:$L$1654,6,0),0)</f>
        <v>10.3168/jds.S0022-0302(06)72370-0; 10.1016/j.cis.2010.11.001; 10.1039/c2fo10192k; 10.1016/j.foodchem.2012.09.092; 10.1080/10408398.2012.664829</v>
      </c>
      <c r="F1776" s="1" t="str">
        <f>IFERROR(VLOOKUP(A1776,[1]biopep_DB!$F$2:$L$1654,7,0),0)</f>
        <v>16899666 21185549 22249830 23194537 24915368</v>
      </c>
      <c r="G1776" s="5">
        <v>973.08</v>
      </c>
      <c r="H1776" s="5">
        <v>8.5</v>
      </c>
      <c r="I1776" s="5">
        <v>0.76</v>
      </c>
      <c r="J1776" s="6">
        <v>-1.7571</v>
      </c>
      <c r="K1776" s="5">
        <v>52.83</v>
      </c>
      <c r="L1776" s="6">
        <v>0.2857</v>
      </c>
      <c r="M1776" s="6">
        <v>0.2286</v>
      </c>
      <c r="N1776" s="6">
        <v>0.1429</v>
      </c>
      <c r="O1776" s="6">
        <v>0.1429</v>
      </c>
      <c r="P1776" s="6">
        <v>0.4286</v>
      </c>
      <c r="Q1776" s="7"/>
      <c r="R1776" s="7"/>
    </row>
    <row r="1777" spans="1:18">
      <c r="A1777" s="4" t="s">
        <v>2377</v>
      </c>
      <c r="B1777" s="4">
        <f t="shared" si="27"/>
        <v>8</v>
      </c>
      <c r="C1777" s="4"/>
      <c r="G1777" s="5">
        <v>1086.24</v>
      </c>
      <c r="H1777" s="5">
        <v>8.5</v>
      </c>
      <c r="I1777" s="5">
        <v>0.76</v>
      </c>
      <c r="J1777" s="6">
        <v>-1.0625</v>
      </c>
      <c r="K1777" s="5">
        <v>47.48</v>
      </c>
      <c r="L1777" s="6">
        <v>0.375</v>
      </c>
      <c r="M1777" s="6">
        <v>-0.415</v>
      </c>
      <c r="N1777" s="6">
        <v>0.25</v>
      </c>
      <c r="O1777" s="6">
        <v>0.125</v>
      </c>
      <c r="P1777" s="6">
        <v>0.5</v>
      </c>
      <c r="Q1777" s="7"/>
      <c r="R1777" s="7"/>
    </row>
    <row r="1778" spans="1:18">
      <c r="A1778" s="4" t="s">
        <v>2378</v>
      </c>
      <c r="B1778" s="4">
        <f t="shared" si="27"/>
        <v>28</v>
      </c>
      <c r="C1778" s="4" t="s">
        <v>2379</v>
      </c>
      <c r="D1778" s="1" t="str">
        <f>IFERROR(VLOOKUP(A1778,[1]biopep_DB!$F$2:$J$1654,5,0),)</f>
        <v>Identification of angiotensin I-converting enzyme inhibitory peptides from koumiss, a traditional fermented mare's milk.</v>
      </c>
      <c r="E1778" s="1" t="str">
        <f>IFERROR(VLOOKUP(A1778,[1]biopep_DB!$F$2:$L$1654,6,0),0)</f>
        <v>10.3168/jds.2009-2672</v>
      </c>
      <c r="F1778" s="1" t="str">
        <f>IFERROR(VLOOKUP(A1778,[1]biopep_DB!$F$2:$L$1654,7,0),0)</f>
        <v>20172208</v>
      </c>
      <c r="G1778" s="5">
        <v>2996.38</v>
      </c>
      <c r="H1778" s="5">
        <v>5.32</v>
      </c>
      <c r="I1778" s="5">
        <v>-1.15</v>
      </c>
      <c r="J1778" s="6">
        <v>-0.1143</v>
      </c>
      <c r="K1778" s="5">
        <v>19.5</v>
      </c>
      <c r="L1778" s="6">
        <v>0.5357</v>
      </c>
      <c r="M1778" s="6">
        <v>-0.9889</v>
      </c>
      <c r="N1778" s="6">
        <v>0.1786</v>
      </c>
      <c r="O1778" s="6">
        <v>0.3571</v>
      </c>
      <c r="P1778" s="6">
        <v>0.3929</v>
      </c>
      <c r="Q1778" s="7"/>
      <c r="R1778" s="7"/>
    </row>
    <row r="1779" spans="1:18">
      <c r="A1779" s="4" t="s">
        <v>2380</v>
      </c>
      <c r="B1779" s="4">
        <f t="shared" si="27"/>
        <v>8</v>
      </c>
      <c r="C1779" s="4"/>
      <c r="G1779" s="5">
        <v>946.1</v>
      </c>
      <c r="H1779" s="5">
        <v>8.59</v>
      </c>
      <c r="I1779" s="5">
        <v>0.76</v>
      </c>
      <c r="J1779" s="6">
        <v>-0.5</v>
      </c>
      <c r="K1779" s="5">
        <v>47.48</v>
      </c>
      <c r="L1779" s="6">
        <v>0.5</v>
      </c>
      <c r="M1779" s="6">
        <v>-0.7913</v>
      </c>
      <c r="N1779" s="6">
        <v>0.375</v>
      </c>
      <c r="O1779" s="6">
        <v>0.125</v>
      </c>
      <c r="P1779" s="6">
        <v>0.375</v>
      </c>
      <c r="Q1779" s="7"/>
      <c r="R1779" s="7"/>
    </row>
    <row r="1780" spans="1:18">
      <c r="A1780" s="4" t="s">
        <v>2381</v>
      </c>
      <c r="B1780" s="4">
        <f t="shared" si="27"/>
        <v>4</v>
      </c>
      <c r="C1780" s="4"/>
      <c r="D1780" s="1" t="str">
        <f>IFERROR(VLOOKUP(A1780,[1]biopep_DB!$F$2:$J$1654,5,0),)</f>
        <v>Isolation from alpha-zein of thermolysin peptides with angiotensin I-converting enzyme inhibitory activity.</v>
      </c>
      <c r="E1780" s="1" t="str">
        <f>IFERROR(VLOOKUP(A1780,[1]biopep_DB!$F$2:$L$1654,6,0),0)</f>
        <v>10.1271/bbb.60.661</v>
      </c>
      <c r="F1780" s="1" t="str">
        <f>IFERROR(VLOOKUP(A1780,[1]biopep_DB!$F$2:$L$1654,7,0),0)</f>
        <v>8829536</v>
      </c>
      <c r="G1780" s="5">
        <v>534.56</v>
      </c>
      <c r="H1780" s="5">
        <v>5.52</v>
      </c>
      <c r="I1780" s="5">
        <v>-0.24</v>
      </c>
      <c r="J1780" s="6">
        <v>-2.475</v>
      </c>
      <c r="K1780" s="5">
        <v>103.8</v>
      </c>
      <c r="L1780" s="6">
        <v>0.25</v>
      </c>
      <c r="M1780" s="6">
        <v>0.715</v>
      </c>
      <c r="N1780" s="6">
        <v>0</v>
      </c>
      <c r="O1780" s="6">
        <v>0.25</v>
      </c>
      <c r="P1780" s="6">
        <v>0.25</v>
      </c>
      <c r="Q1780" s="7"/>
      <c r="R1780" s="7"/>
    </row>
    <row r="1781" spans="1:18">
      <c r="A1781" s="4" t="s">
        <v>2382</v>
      </c>
      <c r="B1781" s="4">
        <f t="shared" si="27"/>
        <v>6</v>
      </c>
      <c r="C1781" s="4" t="s">
        <v>1256</v>
      </c>
      <c r="D1781" s="1" t="str">
        <f>IFERROR(VLOOKUP(A1781,[1]biopep_DB!$F$2:$J$1654,5,0),)</f>
        <v/>
      </c>
      <c r="E1781" s="1" t="str">
        <f>IFERROR(VLOOKUP(A1781,[1]biopep_DB!$F$2:$L$1654,6,0),0)</f>
        <v/>
      </c>
      <c r="F1781" s="1" t="str">
        <f>IFERROR(VLOOKUP(A1781,[1]biopep_DB!$F$2:$L$1654,7,0),0)</f>
        <v/>
      </c>
      <c r="G1781" s="5">
        <v>746.85</v>
      </c>
      <c r="H1781" s="5">
        <v>5.52</v>
      </c>
      <c r="I1781" s="5">
        <v>-0.24</v>
      </c>
      <c r="J1781" s="6">
        <v>-0.3167</v>
      </c>
      <c r="K1781" s="5">
        <v>104.63</v>
      </c>
      <c r="L1781" s="6">
        <v>0.5</v>
      </c>
      <c r="M1781" s="6">
        <v>-1.0167</v>
      </c>
      <c r="N1781" s="6">
        <v>0.1667</v>
      </c>
      <c r="O1781" s="6">
        <v>0.1667</v>
      </c>
      <c r="P1781" s="6">
        <v>0.5</v>
      </c>
      <c r="Q1781" s="7"/>
      <c r="R1781" s="7"/>
    </row>
    <row r="1782" spans="1:18">
      <c r="A1782" s="4" t="s">
        <v>2383</v>
      </c>
      <c r="B1782" s="4">
        <f t="shared" si="27"/>
        <v>10</v>
      </c>
      <c r="C1782" s="4" t="s">
        <v>936</v>
      </c>
      <c r="D1782" s="1" t="str">
        <f>IFERROR(VLOOKUP(A1782,[1]biopep_DB!$F$2:$J$1654,5,0),)</f>
        <v>A new QSAR model, for angiotensin I-converting enzyme inhibitory oligopeptides.</v>
      </c>
      <c r="E1782" s="1" t="str">
        <f>IFERROR(VLOOKUP(A1782,[1]biopep_DB!$F$2:$L$1654,6,0),0)</f>
        <v>10.1016/j.foodchem.2012.09.092</v>
      </c>
      <c r="F1782" s="1" t="str">
        <f>IFERROR(VLOOKUP(A1782,[1]biopep_DB!$F$2:$L$1654,7,0),0)</f>
        <v>23194537</v>
      </c>
      <c r="G1782" s="5">
        <v>1156.33</v>
      </c>
      <c r="H1782" s="5">
        <v>8.75</v>
      </c>
      <c r="I1782" s="5">
        <v>0.76</v>
      </c>
      <c r="J1782" s="6">
        <v>-0.42</v>
      </c>
      <c r="K1782" s="5">
        <v>86.04</v>
      </c>
      <c r="L1782" s="6">
        <v>0.5</v>
      </c>
      <c r="M1782" s="6">
        <v>-0.836</v>
      </c>
      <c r="N1782" s="6">
        <v>0.1</v>
      </c>
      <c r="O1782" s="6">
        <v>0.3</v>
      </c>
      <c r="P1782" s="6">
        <v>0.4</v>
      </c>
      <c r="Q1782" s="7"/>
      <c r="R1782" s="7"/>
    </row>
    <row r="1783" spans="1:18">
      <c r="A1783" s="4" t="s">
        <v>2384</v>
      </c>
      <c r="B1783" s="4">
        <f t="shared" si="27"/>
        <v>3</v>
      </c>
      <c r="C1783" s="4" t="s">
        <v>1582</v>
      </c>
      <c r="D1783" s="1" t="str">
        <f>IFERROR(VLOOKUP(A1783,[1]biopep_DB!$F$2:$J$1654,5,0),)</f>
        <v>Vegetable foods: a cheap source of proteins and peptides with antihypertensive, antioxidant, and other less occurrence bioactivities.; Isolation and characterization of peptides with antihypertensive activity in foodstuffs.</v>
      </c>
      <c r="E1783" s="1" t="str">
        <f>IFERROR(VLOOKUP(A1783,[1]biopep_DB!$F$2:$L$1654,6,0),0)</f>
        <v>10.1016/j.talanta.2012.12.041; 10.1080/10408398.2012.664829</v>
      </c>
      <c r="F1783" s="1" t="str">
        <f>IFERROR(VLOOKUP(A1783,[1]biopep_DB!$F$2:$L$1654,7,0),0)</f>
        <v>23598136 24915368</v>
      </c>
      <c r="G1783" s="5">
        <v>472.49</v>
      </c>
      <c r="H1783" s="5">
        <v>5.52</v>
      </c>
      <c r="I1783" s="5">
        <v>-0.24</v>
      </c>
      <c r="J1783" s="6">
        <v>-2.0333</v>
      </c>
      <c r="K1783" s="5">
        <v>-18.47</v>
      </c>
      <c r="L1783" s="6">
        <v>0</v>
      </c>
      <c r="M1783" s="6">
        <v>0.5467</v>
      </c>
      <c r="N1783" s="6">
        <v>0</v>
      </c>
      <c r="O1783" s="6">
        <v>0</v>
      </c>
      <c r="P1783" s="6">
        <v>0.6667</v>
      </c>
      <c r="Q1783" s="7"/>
      <c r="R1783" s="7"/>
    </row>
    <row r="1784" spans="1:18">
      <c r="A1784" s="4" t="s">
        <v>2385</v>
      </c>
      <c r="B1784" s="4">
        <f t="shared" si="27"/>
        <v>10</v>
      </c>
      <c r="C1784" s="4"/>
      <c r="D1784" s="1" t="str">
        <f>IFERROR(VLOOKUP(A1784,[1]biopep_DB!$F$2:$J$1654,5,0),)</f>
        <v>Antihypertensive peptides from food proteins: a review.</v>
      </c>
      <c r="E1784" s="1" t="str">
        <f>IFERROR(VLOOKUP(A1784,[1]biopep_DB!$F$2:$L$1654,6,0),0)</f>
        <v>10.1039/c2fo10192k</v>
      </c>
      <c r="F1784" s="1" t="str">
        <f>IFERROR(VLOOKUP(A1784,[1]biopep_DB!$F$2:$L$1654,7,0),0)</f>
        <v>22249830</v>
      </c>
      <c r="G1784" s="5">
        <v>1165.3</v>
      </c>
      <c r="H1784" s="5">
        <v>6</v>
      </c>
      <c r="I1784" s="5">
        <v>-0.24</v>
      </c>
      <c r="J1784" s="6">
        <v>-0.41</v>
      </c>
      <c r="K1784" s="5">
        <v>0.17</v>
      </c>
      <c r="L1784" s="6">
        <v>0.4</v>
      </c>
      <c r="M1784" s="6">
        <v>-0.858</v>
      </c>
      <c r="N1784" s="6">
        <v>0.2</v>
      </c>
      <c r="O1784" s="6">
        <v>0.4</v>
      </c>
      <c r="P1784" s="6">
        <v>0.4</v>
      </c>
      <c r="Q1784" s="7"/>
      <c r="R1784" s="7"/>
    </row>
    <row r="1785" spans="1:18">
      <c r="A1785" s="4" t="s">
        <v>2386</v>
      </c>
      <c r="B1785" s="4">
        <f t="shared" si="27"/>
        <v>5</v>
      </c>
      <c r="C1785" s="4" t="s">
        <v>31</v>
      </c>
      <c r="D1785" s="1" t="str">
        <f>IFERROR(VLOOKUP(A1785,[1]biopep_DB!$F$2:$J$1654,5,0),)</f>
        <v/>
      </c>
      <c r="E1785" s="1" t="str">
        <f>IFERROR(VLOOKUP(A1785,[1]biopep_DB!$F$2:$L$1654,6,0),0)</f>
        <v/>
      </c>
      <c r="F1785" s="1" t="str">
        <f>IFERROR(VLOOKUP(A1785,[1]biopep_DB!$F$2:$L$1654,7,0),0)</f>
        <v/>
      </c>
      <c r="G1785" s="5">
        <v>680.71</v>
      </c>
      <c r="H1785" s="5">
        <v>8.75</v>
      </c>
      <c r="I1785" s="5">
        <v>0.76</v>
      </c>
      <c r="J1785" s="6">
        <v>-2.7</v>
      </c>
      <c r="K1785" s="5">
        <v>-33.2</v>
      </c>
      <c r="L1785" s="6">
        <v>0</v>
      </c>
      <c r="M1785" s="6">
        <v>1.22</v>
      </c>
      <c r="N1785" s="6">
        <v>0</v>
      </c>
      <c r="O1785" s="6">
        <v>0.2</v>
      </c>
      <c r="P1785" s="6">
        <v>0.4</v>
      </c>
      <c r="Q1785" s="7"/>
      <c r="R1785" s="7"/>
    </row>
    <row r="1786" spans="1:18">
      <c r="A1786" s="4" t="s">
        <v>2387</v>
      </c>
      <c r="B1786" s="4">
        <f t="shared" si="27"/>
        <v>4</v>
      </c>
      <c r="C1786" s="4" t="s">
        <v>2388</v>
      </c>
      <c r="D1786" s="1" t="str">
        <f>IFERROR(VLOOKUP(A1786,[1]biopep_DB!$F$2:$J$1654,5,0),)</f>
        <v>Angiotensin I-converting enzyme inhibitory peptides derived from bonito bowels autolysate.; What are the ideal properties for functional food peptides with antihypertensive effect? A computational peptidology approach.; Isolation and characterization of peptides with antihypertensive activity in foodstuffs.</v>
      </c>
      <c r="E1786" s="1" t="str">
        <f>IFERROR(VLOOKUP(A1786,[1]biopep_DB!$F$2:$L$1654,6,0),0)</f>
        <v>10.1271/bbb.57.695; 10.1016/j.foodchem.2013.05.140; 10.1080/10408398.2012.664829</v>
      </c>
      <c r="F1786" s="1" t="str">
        <f>IFERROR(VLOOKUP(A1786,[1]biopep_DB!$F$2:$L$1654,7,0),0)</f>
        <v>7763772 23871047 24915368</v>
      </c>
      <c r="G1786" s="5">
        <v>597.66</v>
      </c>
      <c r="H1786" s="5">
        <v>8.59</v>
      </c>
      <c r="I1786" s="5">
        <v>0.76</v>
      </c>
      <c r="J1786" s="6">
        <v>-2.175</v>
      </c>
      <c r="K1786" s="5">
        <v>13.38</v>
      </c>
      <c r="L1786" s="6">
        <v>0.25</v>
      </c>
      <c r="M1786" s="6">
        <v>0.75</v>
      </c>
      <c r="N1786" s="6">
        <v>0</v>
      </c>
      <c r="O1786" s="6">
        <v>0.25</v>
      </c>
      <c r="P1786" s="6">
        <v>0.5</v>
      </c>
      <c r="Q1786" s="7"/>
      <c r="R1786" s="7"/>
    </row>
    <row r="1787" spans="1:18">
      <c r="A1787" s="4" t="s">
        <v>2389</v>
      </c>
      <c r="B1787" s="4">
        <f t="shared" si="27"/>
        <v>5</v>
      </c>
      <c r="C1787" s="4" t="s">
        <v>31</v>
      </c>
      <c r="D1787" s="1" t="str">
        <f>IFERROR(VLOOKUP(A1787,[1]biopep_DB!$F$2:$J$1654,5,0),)</f>
        <v/>
      </c>
      <c r="E1787" s="1" t="str">
        <f>IFERROR(VLOOKUP(A1787,[1]biopep_DB!$F$2:$L$1654,6,0),0)</f>
        <v/>
      </c>
      <c r="F1787" s="1" t="str">
        <f>IFERROR(VLOOKUP(A1787,[1]biopep_DB!$F$2:$L$1654,7,0),0)</f>
        <v/>
      </c>
      <c r="G1787" s="5">
        <v>653.68</v>
      </c>
      <c r="H1787" s="5">
        <v>8.75</v>
      </c>
      <c r="I1787" s="5">
        <v>0.76</v>
      </c>
      <c r="J1787" s="6">
        <v>-2.16</v>
      </c>
      <c r="K1787" s="5">
        <v>46.98</v>
      </c>
      <c r="L1787" s="6">
        <v>0</v>
      </c>
      <c r="M1787" s="6">
        <v>1.064</v>
      </c>
      <c r="N1787" s="6">
        <v>0</v>
      </c>
      <c r="O1787" s="6">
        <v>0.2</v>
      </c>
      <c r="P1787" s="6">
        <v>0.4</v>
      </c>
      <c r="Q1787" s="7"/>
      <c r="R1787" s="7"/>
    </row>
    <row r="1788" spans="1:18">
      <c r="A1788" s="4" t="s">
        <v>2390</v>
      </c>
      <c r="B1788" s="4">
        <f t="shared" si="27"/>
        <v>2</v>
      </c>
      <c r="C1788" s="4" t="s">
        <v>2369</v>
      </c>
      <c r="D1788" s="1" t="str">
        <f>IFERROR(VLOOKUP(A1788,[1]biopep_DB!$F$2:$J$1654,5,0),)</f>
        <v/>
      </c>
      <c r="E1788" s="1" t="str">
        <f>IFERROR(VLOOKUP(A1788,[1]biopep_DB!$F$2:$L$1654,6,0),0)</f>
        <v/>
      </c>
      <c r="F1788" s="1" t="str">
        <f>IFERROR(VLOOKUP(A1788,[1]biopep_DB!$F$2:$L$1654,7,0),0)</f>
        <v/>
      </c>
      <c r="G1788" s="5">
        <v>268.27</v>
      </c>
      <c r="H1788" s="5">
        <v>5.52</v>
      </c>
      <c r="I1788" s="5">
        <v>-0.24</v>
      </c>
      <c r="J1788" s="6">
        <v>-1.05</v>
      </c>
      <c r="K1788" s="5">
        <v>5</v>
      </c>
      <c r="L1788" s="6">
        <v>0</v>
      </c>
      <c r="M1788" s="6">
        <v>0.49</v>
      </c>
      <c r="N1788" s="6">
        <v>0</v>
      </c>
      <c r="O1788" s="6">
        <v>0.5</v>
      </c>
      <c r="P1788" s="6">
        <v>0.5</v>
      </c>
      <c r="Q1788" s="7"/>
      <c r="R1788" s="7"/>
    </row>
    <row r="1789" spans="1:18">
      <c r="A1789" s="4" t="s">
        <v>2391</v>
      </c>
      <c r="B1789" s="4">
        <f t="shared" si="27"/>
        <v>6</v>
      </c>
      <c r="C1789" s="4" t="s">
        <v>1705</v>
      </c>
      <c r="D1789" s="1" t="str">
        <f>IFERROR(VLOOKUP(A1789,[1]biopep_DB!$F$2:$J$1654,5,0),)</f>
        <v>Isolation from alpha-zein of thermolysin peptides with angiotensin I-converting enzyme inhibitory activity.; A new QSAR model, for angiotensin I-converting enzyme inhibitory oligopeptides.</v>
      </c>
      <c r="E1789" s="1" t="str">
        <f>IFERROR(VLOOKUP(A1789,[1]biopep_DB!$F$2:$L$1654,6,0),0)</f>
        <v>10.1271/bbb.60.661; 10.1016/j.foodchem.2012.09.092</v>
      </c>
      <c r="F1789" s="1" t="str">
        <f>IFERROR(VLOOKUP(A1789,[1]biopep_DB!$F$2:$L$1654,7,0),0)</f>
        <v>8829536 23194537</v>
      </c>
      <c r="G1789" s="5">
        <v>780.78</v>
      </c>
      <c r="H1789" s="5">
        <v>5.52</v>
      </c>
      <c r="I1789" s="5">
        <v>-0.24</v>
      </c>
      <c r="J1789" s="6">
        <v>-2.6833</v>
      </c>
      <c r="K1789" s="5">
        <v>136.73</v>
      </c>
      <c r="L1789" s="6">
        <v>0</v>
      </c>
      <c r="M1789" s="6">
        <v>1.07</v>
      </c>
      <c r="N1789" s="6">
        <v>0</v>
      </c>
      <c r="O1789" s="6">
        <v>0.1667</v>
      </c>
      <c r="P1789" s="6">
        <v>0.1667</v>
      </c>
      <c r="Q1789" s="7"/>
      <c r="R1789" s="7"/>
    </row>
    <row r="1790" spans="1:18">
      <c r="A1790" s="4" t="s">
        <v>2392</v>
      </c>
      <c r="B1790" s="4">
        <f t="shared" si="27"/>
        <v>5</v>
      </c>
      <c r="C1790" s="4" t="s">
        <v>337</v>
      </c>
      <c r="D1790" s="1" t="str">
        <f>IFERROR(VLOOKUP(A1790,[1]biopep_DB!$F$2:$J$1654,5,0),)</f>
        <v>Isolation and characterization of peptides with antihypertensive activity in foodstuffs.</v>
      </c>
      <c r="E1790" s="1" t="str">
        <f>IFERROR(VLOOKUP(A1790,[1]biopep_DB!$F$2:$L$1654,6,0),0)</f>
        <v>10.1080/10408398.2012.664829</v>
      </c>
      <c r="F1790" s="1" t="str">
        <f>IFERROR(VLOOKUP(A1790,[1]biopep_DB!$F$2:$L$1654,7,0),0)</f>
        <v>24915368</v>
      </c>
      <c r="G1790" s="5">
        <v>509.55</v>
      </c>
      <c r="H1790" s="5">
        <v>5.52</v>
      </c>
      <c r="I1790" s="5">
        <v>-0.24</v>
      </c>
      <c r="J1790" s="6">
        <v>0.72</v>
      </c>
      <c r="K1790" s="5">
        <v>-8.98</v>
      </c>
      <c r="L1790" s="6">
        <v>0.4</v>
      </c>
      <c r="M1790" s="6">
        <v>-1.278</v>
      </c>
      <c r="N1790" s="6">
        <v>0.2</v>
      </c>
      <c r="O1790" s="6">
        <v>0.2</v>
      </c>
      <c r="P1790" s="6">
        <v>0.6</v>
      </c>
      <c r="Q1790" s="7"/>
      <c r="R1790" s="7"/>
    </row>
    <row r="1791" spans="1:18">
      <c r="A1791" s="4" t="s">
        <v>2393</v>
      </c>
      <c r="B1791" s="4">
        <f t="shared" si="27"/>
        <v>7</v>
      </c>
      <c r="C1791" s="4"/>
      <c r="D1791" s="1" t="str">
        <f>IFERROR(VLOOKUP(A1791,[1]biopep_DB!$F$2:$J$1654,5,0),)</f>
        <v/>
      </c>
      <c r="E1791" s="1" t="str">
        <f>IFERROR(VLOOKUP(A1791,[1]biopep_DB!$F$2:$L$1654,6,0),0)</f>
        <v/>
      </c>
      <c r="F1791" s="1" t="str">
        <f>IFERROR(VLOOKUP(A1791,[1]biopep_DB!$F$2:$L$1654,7,0),0)</f>
        <v/>
      </c>
      <c r="G1791" s="5">
        <v>799.82</v>
      </c>
      <c r="H1791" s="5">
        <v>4.05</v>
      </c>
      <c r="I1791" s="5">
        <v>-1.24</v>
      </c>
      <c r="J1791" s="6">
        <v>-0.4714</v>
      </c>
      <c r="K1791" s="5">
        <v>51.47</v>
      </c>
      <c r="L1791" s="6">
        <v>0.4286</v>
      </c>
      <c r="M1791" s="6">
        <v>-0.2671</v>
      </c>
      <c r="N1791" s="6">
        <v>0.1429</v>
      </c>
      <c r="O1791" s="6">
        <v>0.4286</v>
      </c>
      <c r="P1791" s="6">
        <v>0.4286</v>
      </c>
      <c r="Q1791" s="7"/>
      <c r="R1791" s="7"/>
    </row>
    <row r="1792" spans="1:18">
      <c r="A1792" s="4" t="s">
        <v>2394</v>
      </c>
      <c r="B1792" s="4">
        <f t="shared" si="27"/>
        <v>4</v>
      </c>
      <c r="C1792" s="4"/>
      <c r="D1792" s="1" t="str">
        <f>IFERROR(VLOOKUP(A1792,[1]biopep_DB!$F$2:$J$1654,5,0),)</f>
        <v/>
      </c>
      <c r="E1792" s="1" t="str">
        <f>IFERROR(VLOOKUP(A1792,[1]biopep_DB!$F$2:$L$1654,6,0),0)</f>
        <v/>
      </c>
      <c r="F1792" s="1" t="str">
        <f>IFERROR(VLOOKUP(A1792,[1]biopep_DB!$F$2:$L$1654,7,0),0)</f>
        <v/>
      </c>
      <c r="G1792" s="5">
        <v>528.6</v>
      </c>
      <c r="H1792" s="5">
        <v>5.52</v>
      </c>
      <c r="I1792" s="5">
        <v>-0.24</v>
      </c>
      <c r="J1792" s="6">
        <v>1.25</v>
      </c>
      <c r="K1792" s="5">
        <v>-13.73</v>
      </c>
      <c r="L1792" s="6">
        <v>0.5</v>
      </c>
      <c r="M1792" s="6">
        <v>-1.655</v>
      </c>
      <c r="N1792" s="6">
        <v>0</v>
      </c>
      <c r="O1792" s="6">
        <v>0</v>
      </c>
      <c r="P1792" s="6">
        <v>1</v>
      </c>
      <c r="Q1792" s="7"/>
      <c r="R1792" s="7"/>
    </row>
    <row r="1793" spans="1:18">
      <c r="A1793" s="4" t="s">
        <v>2395</v>
      </c>
      <c r="B1793" s="4">
        <f t="shared" si="27"/>
        <v>2</v>
      </c>
      <c r="C1793" s="4" t="s">
        <v>36</v>
      </c>
      <c r="D1793" s="1" t="str">
        <f>IFERROR(VLOOKUP(A1793,[1]biopep_DB!$F$2:$J$1654,5,0),)</f>
        <v>Structural requirements of Angiotensin I-converting enzyme inhibitory peptides: quantitative structure-activity relationship study of di- and tripeptides.; Isolation and characterization of peptides with antihypertensive activity in foodstuffs.</v>
      </c>
      <c r="E1793" s="1" t="str">
        <f>IFERROR(VLOOKUP(A1793,[1]biopep_DB!$F$2:$L$1654,6,0),0)</f>
        <v>10.1021/jf051263l; 10.1080/10408398.2012.664829</v>
      </c>
      <c r="F1793" s="1" t="str">
        <f>IFERROR(VLOOKUP(A1793,[1]biopep_DB!$F$2:$L$1654,7,0),0)</f>
        <v>16448176 24915368</v>
      </c>
      <c r="G1793" s="5">
        <v>280.32</v>
      </c>
      <c r="H1793" s="5">
        <v>5.52</v>
      </c>
      <c r="I1793" s="5">
        <v>-0.24</v>
      </c>
      <c r="J1793" s="6">
        <v>1.45</v>
      </c>
      <c r="K1793" s="5">
        <v>5</v>
      </c>
      <c r="L1793" s="6">
        <v>0.5</v>
      </c>
      <c r="M1793" s="6">
        <v>-1.95</v>
      </c>
      <c r="N1793" s="6">
        <v>0</v>
      </c>
      <c r="O1793" s="6">
        <v>0</v>
      </c>
      <c r="P1793" s="6">
        <v>1</v>
      </c>
      <c r="Q1793" s="7"/>
      <c r="R1793" s="7"/>
    </row>
    <row r="1794" spans="1:18">
      <c r="A1794" s="4" t="s">
        <v>2396</v>
      </c>
      <c r="B1794" s="4">
        <f t="shared" si="27"/>
        <v>3</v>
      </c>
      <c r="C1794" s="4" t="s">
        <v>36</v>
      </c>
      <c r="D1794" s="1" t="str">
        <f>IFERROR(VLOOKUP(A1794,[1]biopep_DB!$F$2:$J$1654,5,0),)</f>
        <v>Structural requirements of Angiotensin I-converting enzyme inhibitory peptides: quantitative structure-activity relationship study of di- and tripeptides.</v>
      </c>
      <c r="E1794" s="1" t="str">
        <f>IFERROR(VLOOKUP(A1794,[1]biopep_DB!$F$2:$L$1654,6,0),0)</f>
        <v>10.1021/jf051263l</v>
      </c>
      <c r="F1794" s="1" t="str">
        <f>IFERROR(VLOOKUP(A1794,[1]biopep_DB!$F$2:$L$1654,7,0),0)</f>
        <v>16448176</v>
      </c>
      <c r="G1794" s="5">
        <v>351.4</v>
      </c>
      <c r="H1794" s="5">
        <v>5.52</v>
      </c>
      <c r="I1794" s="5">
        <v>-0.24</v>
      </c>
      <c r="J1794" s="6">
        <v>1.5667</v>
      </c>
      <c r="K1794" s="5">
        <v>6.67</v>
      </c>
      <c r="L1794" s="6">
        <v>0.6667</v>
      </c>
      <c r="M1794" s="6">
        <v>-1.9033</v>
      </c>
      <c r="N1794" s="6">
        <v>0.3333</v>
      </c>
      <c r="O1794" s="6">
        <v>0</v>
      </c>
      <c r="P1794" s="6">
        <v>0.6667</v>
      </c>
      <c r="Q1794" s="7"/>
      <c r="R1794" s="7"/>
    </row>
    <row r="1795" spans="1:18">
      <c r="A1795" s="4" t="s">
        <v>2397</v>
      </c>
      <c r="B1795" s="4">
        <f t="shared" si="27"/>
        <v>3</v>
      </c>
      <c r="C1795" s="4"/>
      <c r="D1795" s="1" t="str">
        <f>IFERROR(VLOOKUP(A1795,[1]biopep_DB!$F$2:$J$1654,5,0),)</f>
        <v/>
      </c>
      <c r="E1795" s="1" t="str">
        <f>IFERROR(VLOOKUP(A1795,[1]biopep_DB!$F$2:$L$1654,6,0),0)</f>
        <v/>
      </c>
      <c r="F1795" s="1" t="str">
        <f>IFERROR(VLOOKUP(A1795,[1]biopep_DB!$F$2:$L$1654,7,0),0)</f>
        <v/>
      </c>
      <c r="G1795" s="5">
        <v>409.43</v>
      </c>
      <c r="H1795" s="5">
        <v>4.6</v>
      </c>
      <c r="I1795" s="5">
        <v>-1.23</v>
      </c>
      <c r="J1795" s="6">
        <v>-0.2</v>
      </c>
      <c r="K1795" s="5">
        <v>6.67</v>
      </c>
      <c r="L1795" s="6">
        <v>0.3333</v>
      </c>
      <c r="M1795" s="6">
        <v>-0.7533</v>
      </c>
      <c r="N1795" s="6">
        <v>0.3333</v>
      </c>
      <c r="O1795" s="6">
        <v>0</v>
      </c>
      <c r="P1795" s="6">
        <v>0.6667</v>
      </c>
      <c r="Q1795" s="7"/>
      <c r="R1795" s="7"/>
    </row>
    <row r="1796" spans="1:18">
      <c r="A1796" s="4" t="s">
        <v>2398</v>
      </c>
      <c r="B1796" s="4">
        <f t="shared" si="27"/>
        <v>3</v>
      </c>
      <c r="C1796" s="4" t="s">
        <v>1914</v>
      </c>
      <c r="D1796" s="1" t="str">
        <f>IFERROR(VLOOKUP(A1796,[1]biopep_DB!$F$2:$J$1654,5,0),)</f>
        <v>Inhibition of angiotensin-converting enzyme by synthetic peptide fragments of human kappa-casein.; What are the ideal properties for functional food peptides with antihypertensive effect? A computational peptidology approach.</v>
      </c>
      <c r="E1796" s="1" t="str">
        <f>IFERROR(VLOOKUP(A1796,[1]biopep_DB!$F$2:$L$1654,6,0),0)</f>
        <v>10.1016/j.foodchem.2013.05.140</v>
      </c>
      <c r="F1796" s="1" t="str">
        <f>IFERROR(VLOOKUP(A1796,[1]biopep_DB!$F$2:$L$1654,7,0),0)</f>
        <v>1368540 23871047</v>
      </c>
      <c r="G1796" s="5">
        <v>377.43</v>
      </c>
      <c r="H1796" s="5">
        <v>5.52</v>
      </c>
      <c r="I1796" s="5">
        <v>-0.24</v>
      </c>
      <c r="J1796" s="6">
        <v>0.4333</v>
      </c>
      <c r="K1796" s="5">
        <v>70.87</v>
      </c>
      <c r="L1796" s="6">
        <v>0.6667</v>
      </c>
      <c r="M1796" s="6">
        <v>-1.3</v>
      </c>
      <c r="N1796" s="6">
        <v>0</v>
      </c>
      <c r="O1796" s="6">
        <v>0.3333</v>
      </c>
      <c r="P1796" s="6">
        <v>0.6667</v>
      </c>
      <c r="Q1796" s="7"/>
      <c r="R1796" s="7"/>
    </row>
    <row r="1797" spans="1:18">
      <c r="A1797" s="4" t="s">
        <v>2399</v>
      </c>
      <c r="B1797" s="4">
        <f t="shared" si="27"/>
        <v>5</v>
      </c>
      <c r="C1797" s="4" t="s">
        <v>1103</v>
      </c>
      <c r="D1797" s="1" t="str">
        <f>IFERROR(VLOOKUP(A1797,[1]biopep_DB!$F$2:$J$1654,5,0),)</f>
        <v/>
      </c>
      <c r="E1797" s="1" t="str">
        <f>IFERROR(VLOOKUP(A1797,[1]biopep_DB!$F$2:$L$1654,6,0),0)</f>
        <v/>
      </c>
      <c r="F1797" s="1" t="str">
        <f>IFERROR(VLOOKUP(A1797,[1]biopep_DB!$F$2:$L$1654,7,0),0)</f>
        <v/>
      </c>
      <c r="G1797" s="5">
        <v>654.8</v>
      </c>
      <c r="H1797" s="5">
        <v>8.59</v>
      </c>
      <c r="I1797" s="5">
        <v>0.76</v>
      </c>
      <c r="J1797" s="6">
        <v>1.2</v>
      </c>
      <c r="K1797" s="5">
        <v>-22.06</v>
      </c>
      <c r="L1797" s="6">
        <v>0.6</v>
      </c>
      <c r="M1797" s="6">
        <v>-1.868</v>
      </c>
      <c r="N1797" s="6">
        <v>0.2</v>
      </c>
      <c r="O1797" s="6">
        <v>0</v>
      </c>
      <c r="P1797" s="6">
        <v>0.8</v>
      </c>
      <c r="Q1797" s="7"/>
      <c r="R1797" s="7"/>
    </row>
    <row r="1798" spans="1:18">
      <c r="A1798" s="4" t="s">
        <v>2400</v>
      </c>
      <c r="B1798" s="4">
        <f t="shared" ref="B1798:B1808" si="28">LEN(A1798)</f>
        <v>2</v>
      </c>
      <c r="C1798" s="4" t="s">
        <v>31</v>
      </c>
      <c r="D1798" s="1" t="str">
        <f>IFERROR(VLOOKUP(A1798,[1]biopep_DB!$F$2:$J$1654,5,0),)</f>
        <v>Structure and activity of angiotensin I converting enzyme inhibitory peptides from sake and sake lees.; Structural requirements of Angiotensin I-converting enzyme inhibitory peptides: quantitative structure-activity relationship study of di- and tripeptides.; Assessing the dependence of (51)V A(z) value on the aromatic ring orientation of V(IV)O(2+) pyridine complexes.; Antihypertensive peptides from food proteins: a review.; Vegetable foods: a cheap source of proteins and peptides with antihypertensive, antioxidant, and other less occurrence bioactivities.; What are the ideal properties for functional food peptides with antihypertensive effect? A computational peptidology approach.</v>
      </c>
      <c r="E1798" s="1" t="str">
        <f>IFERROR(VLOOKUP(A1798,[1]biopep_DB!$F$2:$L$1654,6,0),0)</f>
        <v>10.1271/bbb.58.1767; 10.1021/jf051263l; 10.1021/ic9001779; 10.1039/c2fo10192k; 10.1016/j.talanta.2012.12.041; 10.1016/j.foodchem.2013.05.140</v>
      </c>
      <c r="F1798" s="1" t="str">
        <f>IFERROR(VLOOKUP(A1798,[1]biopep_DB!$F$2:$L$1654,7,0),0)</f>
        <v>7765503 16448176 19449891 22249830 23598136 23871047</v>
      </c>
      <c r="G1798" s="5">
        <v>367.4</v>
      </c>
      <c r="H1798" s="5">
        <v>5.52</v>
      </c>
      <c r="I1798" s="5">
        <v>-0.24</v>
      </c>
      <c r="J1798" s="6">
        <v>-1.1</v>
      </c>
      <c r="K1798" s="5">
        <v>-46.85</v>
      </c>
      <c r="L1798" s="6">
        <v>0.5</v>
      </c>
      <c r="M1798" s="6">
        <v>-1.095</v>
      </c>
      <c r="N1798" s="6">
        <v>0</v>
      </c>
      <c r="O1798" s="6">
        <v>0</v>
      </c>
      <c r="P1798" s="6">
        <v>1</v>
      </c>
      <c r="Q1798" s="7"/>
      <c r="R1798" s="7"/>
    </row>
    <row r="1799" spans="1:18">
      <c r="A1799" s="4" t="s">
        <v>2401</v>
      </c>
      <c r="B1799" s="4">
        <f t="shared" si="28"/>
        <v>2</v>
      </c>
      <c r="C1799" s="4"/>
      <c r="D1799" s="1" t="str">
        <f>IFERROR(VLOOKUP(A1799,[1]biopep_DB!$F$2:$J$1654,5,0),)</f>
        <v>Quantitative structure-activity relationship study of bitter di- and tri-peptides including relationship with angiotensin I-converting enzyme inhibitory activity.</v>
      </c>
      <c r="E1799" s="1" t="str">
        <f>IFERROR(VLOOKUP(A1799,[1]biopep_DB!$F$2:$L$1654,6,0),0)</f>
        <v>10.1002/psc.800</v>
      </c>
      <c r="F1799" s="1" t="str">
        <f>IFERROR(VLOOKUP(A1799,[1]biopep_DB!$F$2:$L$1654,7,0),0)</f>
        <v>17117396</v>
      </c>
      <c r="G1799" s="5">
        <v>344.36</v>
      </c>
      <c r="H1799" s="5">
        <v>5.52</v>
      </c>
      <c r="I1799" s="5">
        <v>-0.24</v>
      </c>
      <c r="J1799" s="6">
        <v>-1.3</v>
      </c>
      <c r="K1799" s="5">
        <v>66.7</v>
      </c>
      <c r="L1799" s="6">
        <v>0</v>
      </c>
      <c r="M1799" s="6">
        <v>0.14</v>
      </c>
      <c r="N1799" s="6">
        <v>0</v>
      </c>
      <c r="O1799" s="6">
        <v>0</v>
      </c>
      <c r="P1799" s="6">
        <v>1</v>
      </c>
      <c r="Q1799" s="7"/>
      <c r="R1799" s="7"/>
    </row>
    <row r="1800" spans="1:18">
      <c r="A1800" s="4" t="s">
        <v>2402</v>
      </c>
      <c r="B1800" s="4">
        <f t="shared" si="28"/>
        <v>9</v>
      </c>
      <c r="C1800" s="4"/>
      <c r="G1800" s="5">
        <v>1038.2</v>
      </c>
      <c r="H1800" s="5">
        <v>9.7</v>
      </c>
      <c r="I1800" s="5">
        <v>1.76</v>
      </c>
      <c r="J1800" s="6">
        <v>-0.3333</v>
      </c>
      <c r="K1800" s="5">
        <v>61.93</v>
      </c>
      <c r="L1800" s="6">
        <v>0.5556</v>
      </c>
      <c r="M1800" s="6">
        <v>-0.5433</v>
      </c>
      <c r="N1800" s="6">
        <v>0.4444</v>
      </c>
      <c r="O1800" s="6">
        <v>0.1111</v>
      </c>
      <c r="P1800" s="6">
        <v>0.3333</v>
      </c>
      <c r="Q1800" s="7"/>
      <c r="R1800" s="7"/>
    </row>
    <row r="1801" spans="1:18">
      <c r="A1801" s="4" t="s">
        <v>2403</v>
      </c>
      <c r="B1801" s="4">
        <f t="shared" si="28"/>
        <v>5</v>
      </c>
      <c r="C1801" s="4" t="s">
        <v>2404</v>
      </c>
      <c r="D1801" s="1" t="str">
        <f>IFERROR(VLOOKUP(A1801,[1]biopep_DB!$F$2:$J$1654,5,0),)</f>
        <v>A new QSAR model, for angiotensin I-converting enzyme inhibitory oligopeptides.; Vegetable foods: a cheap source of proteins and peptides with antihypertensive, antioxidant, and other less occurrence bioactivities.</v>
      </c>
      <c r="E1801" s="1" t="str">
        <f>IFERROR(VLOOKUP(A1801,[1]biopep_DB!$F$2:$L$1654,6,0),0)</f>
        <v>10.1016/j.foodchem.2012.09.092; 10.1016/j.talanta.2012.12.041</v>
      </c>
      <c r="F1801" s="1" t="str">
        <f>IFERROR(VLOOKUP(A1801,[1]biopep_DB!$F$2:$L$1654,7,0),0)</f>
        <v>23194537 23598136</v>
      </c>
      <c r="G1801" s="5">
        <v>659.73</v>
      </c>
      <c r="H1801" s="5">
        <v>5.52</v>
      </c>
      <c r="I1801" s="5">
        <v>-0.24</v>
      </c>
      <c r="J1801" s="6">
        <v>0.08</v>
      </c>
      <c r="K1801" s="5">
        <v>157.08</v>
      </c>
      <c r="L1801" s="6">
        <v>0.6</v>
      </c>
      <c r="M1801" s="6">
        <v>-0.902</v>
      </c>
      <c r="N1801" s="6">
        <v>0.2</v>
      </c>
      <c r="O1801" s="6">
        <v>0.2</v>
      </c>
      <c r="P1801" s="6">
        <v>0.6</v>
      </c>
      <c r="Q1801" s="7"/>
      <c r="R1801" s="7"/>
    </row>
    <row r="1802" spans="1:18">
      <c r="A1802" s="4" t="s">
        <v>2405</v>
      </c>
      <c r="B1802" s="4">
        <f t="shared" si="28"/>
        <v>9</v>
      </c>
      <c r="C1802" s="4" t="s">
        <v>1212</v>
      </c>
      <c r="D1802" s="1" t="str">
        <f>IFERROR(VLOOKUP(A1802,[1]biopep_DB!$F$2:$J$1654,5,0),)</f>
        <v>QSAR study on angiotensin-converting enzyme inhibitor oligopeptides based on a novel set of sequence information descriptors.; A new QSAR model, for angiotensin I-converting enzyme inhibitory oligopeptides.; Vegetable foods: a cheap source of proteins and peptides with antihypertensive, antioxidant, and other less occurrence bioactivities.</v>
      </c>
      <c r="E1802" s="1" t="str">
        <f>IFERROR(VLOOKUP(A1802,[1]biopep_DB!$F$2:$L$1654,6,0),0)</f>
        <v>10.1007/s00894-010-0862-x; 10.1016/j.foodchem.2012.09.092; 10.1016/j.talanta.2012.12.041</v>
      </c>
      <c r="F1802" s="1" t="str">
        <f>IFERROR(VLOOKUP(A1802,[1]biopep_DB!$F$2:$L$1654,7,0),0)</f>
        <v>20941517 23194537 23598136</v>
      </c>
      <c r="G1802" s="5">
        <v>1058.18</v>
      </c>
      <c r="H1802" s="5">
        <v>4.05</v>
      </c>
      <c r="I1802" s="5">
        <v>-1.24</v>
      </c>
      <c r="J1802" s="6">
        <v>0.5333</v>
      </c>
      <c r="K1802" s="5">
        <v>117.39</v>
      </c>
      <c r="L1802" s="6">
        <v>0.5556</v>
      </c>
      <c r="M1802" s="6">
        <v>-1.5122</v>
      </c>
      <c r="N1802" s="6">
        <v>0.2222</v>
      </c>
      <c r="O1802" s="6">
        <v>0.3333</v>
      </c>
      <c r="P1802" s="6">
        <v>0.5556</v>
      </c>
      <c r="Q1802" s="7"/>
      <c r="R1802" s="7"/>
    </row>
    <row r="1803" spans="1:18">
      <c r="A1803" s="4" t="s">
        <v>2406</v>
      </c>
      <c r="B1803" s="4">
        <f t="shared" si="28"/>
        <v>6</v>
      </c>
      <c r="C1803" s="4" t="s">
        <v>2407</v>
      </c>
      <c r="D1803" s="1" t="str">
        <f>IFERROR(VLOOKUP(A1803,[1]biopep_DB!$F$2:$J$1654,5,0),)</f>
        <v/>
      </c>
      <c r="E1803" s="1" t="str">
        <f>IFERROR(VLOOKUP(A1803,[1]biopep_DB!$F$2:$L$1654,6,0),0)</f>
        <v/>
      </c>
      <c r="F1803" s="1" t="str">
        <f>IFERROR(VLOOKUP(A1803,[1]biopep_DB!$F$2:$L$1654,7,0),0)</f>
        <v/>
      </c>
      <c r="G1803" s="5">
        <v>788.84</v>
      </c>
      <c r="H1803" s="5">
        <v>4.6</v>
      </c>
      <c r="I1803" s="5">
        <v>-1.23</v>
      </c>
      <c r="J1803" s="6">
        <v>-0.5167</v>
      </c>
      <c r="K1803" s="5">
        <v>132.57</v>
      </c>
      <c r="L1803" s="6">
        <v>0.5</v>
      </c>
      <c r="M1803" s="6">
        <v>-0.4783</v>
      </c>
      <c r="N1803" s="6">
        <v>0.3333</v>
      </c>
      <c r="O1803" s="6">
        <v>0.1667</v>
      </c>
      <c r="P1803" s="6">
        <v>0.5</v>
      </c>
      <c r="Q1803" s="7"/>
      <c r="R1803" s="7"/>
    </row>
    <row r="1804" spans="1:18">
      <c r="A1804" s="4" t="s">
        <v>2408</v>
      </c>
      <c r="B1804" s="4">
        <f t="shared" si="28"/>
        <v>3</v>
      </c>
      <c r="C1804" s="4"/>
      <c r="D1804" s="1" t="str">
        <f>IFERROR(VLOOKUP(A1804,[1]biopep_DB!$F$2:$J$1654,5,0),)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804" s="1" t="str">
        <f>IFERROR(VLOOKUP(A1804,[1]biopep_DB!$F$2:$L$1654,6,0),0)</f>
        <v>10.1002/psc.800; 10.1007/s00894-010-0862-x; 10.1016/j.foodchem.2013.05.140</v>
      </c>
      <c r="F1804" s="1" t="str">
        <f>IFERROR(VLOOKUP(A1804,[1]biopep_DB!$F$2:$L$1654,7,0),0)</f>
        <v>17117396 20941517 23871047</v>
      </c>
      <c r="G1804" s="5">
        <v>401.41</v>
      </c>
      <c r="H1804" s="5">
        <v>5.52</v>
      </c>
      <c r="I1804" s="5">
        <v>-0.24</v>
      </c>
      <c r="J1804" s="6">
        <v>-1</v>
      </c>
      <c r="K1804" s="5">
        <v>19.5</v>
      </c>
      <c r="L1804" s="6">
        <v>0</v>
      </c>
      <c r="M1804" s="6">
        <v>-0.22</v>
      </c>
      <c r="N1804" s="6">
        <v>0</v>
      </c>
      <c r="O1804" s="6">
        <v>0.3333</v>
      </c>
      <c r="P1804" s="6">
        <v>0.6667</v>
      </c>
      <c r="Q1804" s="7"/>
      <c r="R1804" s="7"/>
    </row>
    <row r="1805" spans="1:18">
      <c r="A1805" s="4" t="s">
        <v>2409</v>
      </c>
      <c r="B1805" s="4">
        <f t="shared" si="28"/>
        <v>8</v>
      </c>
      <c r="C1805" s="4" t="s">
        <v>2410</v>
      </c>
      <c r="D1805" s="1" t="str">
        <f>IFERROR(VLOOKUP(A1805,[1]biopep_DB!$F$2:$J$1654,5,0),)</f>
        <v>A new QSAR model, for angiotensin I-converting enzyme inhibitory oligopeptides.</v>
      </c>
      <c r="E1805" s="1" t="str">
        <f>IFERROR(VLOOKUP(A1805,[1]biopep_DB!$F$2:$L$1654,6,0),0)</f>
        <v>10.1016/j.foodchem.2012.09.092</v>
      </c>
      <c r="F1805" s="1" t="str">
        <f>IFERROR(VLOOKUP(A1805,[1]biopep_DB!$F$2:$L$1654,7,0),0)</f>
        <v>23194537</v>
      </c>
      <c r="G1805" s="5">
        <v>1105.26</v>
      </c>
      <c r="H1805" s="5">
        <v>5.52</v>
      </c>
      <c r="I1805" s="5">
        <v>-0.24</v>
      </c>
      <c r="J1805" s="6">
        <v>-0.7625</v>
      </c>
      <c r="K1805" s="5">
        <v>44.83</v>
      </c>
      <c r="L1805" s="6">
        <v>0.375</v>
      </c>
      <c r="M1805" s="6">
        <v>-0.5162</v>
      </c>
      <c r="N1805" s="6">
        <v>0.125</v>
      </c>
      <c r="O1805" s="6">
        <v>0.125</v>
      </c>
      <c r="P1805" s="6">
        <v>0.5</v>
      </c>
      <c r="Q1805" s="7"/>
      <c r="R1805" s="7"/>
    </row>
    <row r="1806" spans="1:18">
      <c r="A1806" s="4" t="s">
        <v>2411</v>
      </c>
      <c r="B1806" s="4">
        <f t="shared" si="28"/>
        <v>4</v>
      </c>
      <c r="C1806" s="4" t="s">
        <v>2412</v>
      </c>
      <c r="D1806" s="1" t="str">
        <f>IFERROR(VLOOKUP(A1806,[1]biopep_DB!$F$2:$J$1654,5,0),)</f>
        <v>Antihypertensive peptides from food proteins: a review.; Isolation and characterization of peptides with antihypertensive activity in foodstuffs.</v>
      </c>
      <c r="E1806" s="1" t="str">
        <f>IFERROR(VLOOKUP(A1806,[1]biopep_DB!$F$2:$L$1654,6,0),0)</f>
        <v>10.1039/c2fo10192k; 10.1080/10408398.2012.664829</v>
      </c>
      <c r="F1806" s="1" t="str">
        <f>IFERROR(VLOOKUP(A1806,[1]biopep_DB!$F$2:$L$1654,7,0),0)</f>
        <v>22249830 24915368</v>
      </c>
      <c r="G1806" s="5">
        <v>571.63</v>
      </c>
      <c r="H1806" s="5">
        <v>8.59</v>
      </c>
      <c r="I1806" s="5">
        <v>0.76</v>
      </c>
      <c r="J1806" s="6">
        <v>-1.325</v>
      </c>
      <c r="K1806" s="5">
        <v>-3.93</v>
      </c>
      <c r="L1806" s="6">
        <v>0.25</v>
      </c>
      <c r="M1806" s="6">
        <v>0.2975</v>
      </c>
      <c r="N1806" s="6">
        <v>0.25</v>
      </c>
      <c r="O1806" s="6">
        <v>0</v>
      </c>
      <c r="P1806" s="6">
        <v>0.5</v>
      </c>
      <c r="Q1806" s="7"/>
      <c r="R1806" s="7"/>
    </row>
    <row r="1807" spans="1:18">
      <c r="A1807" s="4" t="s">
        <v>2413</v>
      </c>
      <c r="B1807" s="4">
        <f t="shared" si="28"/>
        <v>8</v>
      </c>
      <c r="C1807" s="4"/>
      <c r="D1807" s="1" t="str">
        <f>IFERROR(VLOOKUP(A1807,[1]biopep_DB!$F$2:$J$1654,5,0),)</f>
        <v/>
      </c>
      <c r="E1807" s="1" t="str">
        <f>IFERROR(VLOOKUP(A1807,[1]biopep_DB!$F$2:$L$1654,6,0),0)</f>
        <v/>
      </c>
      <c r="F1807" s="1" t="str">
        <f>IFERROR(VLOOKUP(A1807,[1]biopep_DB!$F$2:$L$1654,7,0),0)</f>
        <v/>
      </c>
      <c r="G1807" s="5">
        <v>940.05</v>
      </c>
      <c r="H1807" s="5">
        <v>5.52</v>
      </c>
      <c r="I1807" s="5">
        <v>-0.24</v>
      </c>
      <c r="J1807" s="6">
        <v>-0.1</v>
      </c>
      <c r="K1807" s="5">
        <v>28.21</v>
      </c>
      <c r="L1807" s="6">
        <v>0.375</v>
      </c>
      <c r="M1807" s="6">
        <v>-1</v>
      </c>
      <c r="N1807" s="6">
        <v>0.125</v>
      </c>
      <c r="O1807" s="6">
        <v>0.25</v>
      </c>
      <c r="P1807" s="6">
        <v>0.625</v>
      </c>
      <c r="Q1807" s="7"/>
      <c r="R1807" s="7"/>
    </row>
    <row r="1808" spans="1:18">
      <c r="A1808" s="4" t="s">
        <v>2414</v>
      </c>
      <c r="B1808" s="4">
        <f t="shared" si="28"/>
        <v>3</v>
      </c>
      <c r="C1808" s="4"/>
      <c r="D1808" s="1" t="str">
        <f>IFERROR(VLOOKUP(A1808,[1]biopep_DB!$F$2:$J$1654,5,0),)</f>
        <v>Quantitative structure-activity relationship study of bitter di- and tri-peptides including relationship with angiotensin I-converting enzyme inhibitory activity.; QSAR study on angiotensin-converting enzyme inhibitor oligopeptides based on a novel set of sequence information descriptors.; What are the ideal properties for functional food peptides with antihypertensive effect? A computational peptidology approach.</v>
      </c>
      <c r="E1808" s="1" t="str">
        <f>IFERROR(VLOOKUP(A1808,[1]biopep_DB!$F$2:$L$1654,6,0),0)</f>
        <v>10.1002/psc.800; 10.1007/s00894-010-0862-x; 10.1016/j.foodchem.2013.05.140</v>
      </c>
      <c r="F1808" s="1" t="str">
        <f>IFERROR(VLOOKUP(A1808,[1]biopep_DB!$F$2:$L$1654,7,0),0)</f>
        <v>17117396 20941517 23871047</v>
      </c>
      <c r="G1808" s="5">
        <v>507.53</v>
      </c>
      <c r="H1808" s="5">
        <v>5.52</v>
      </c>
      <c r="I1808" s="5">
        <v>-0.24</v>
      </c>
      <c r="J1808" s="6">
        <v>-1.3</v>
      </c>
      <c r="K1808" s="5">
        <v>88.93</v>
      </c>
      <c r="L1808" s="6">
        <v>0</v>
      </c>
      <c r="M1808" s="6">
        <v>0.14</v>
      </c>
      <c r="N1808" s="6">
        <v>0</v>
      </c>
      <c r="O1808" s="6">
        <v>0</v>
      </c>
      <c r="P1808" s="6">
        <v>1</v>
      </c>
      <c r="Q1808" s="7"/>
      <c r="R1808" s="7"/>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ACEiP_Properties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2026-04-17T08:01:00Z</dcterms:created>
  <dcterms:modified xsi:type="dcterms:W3CDTF">2026-04-17T10:14:04Z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7FEA90C966504F86981F7A2C491C4B53_12</vt:lpwstr>
  </property>
  <property fmtid="{D5CDD505-2E9C-101B-9397-08002B2CF9AE}" pid="3" name="KSOProductBuildVer">
    <vt:lpwstr>2052-12.1.0.25225</vt:lpwstr>
  </property>
  <property fmtid="{D5CDD505-2E9C-101B-9397-08002B2CF9AE}" pid="4" name="CalculationRule">
    <vt:i4>0</vt:i4>
  </property>
</Properties>
</file>